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rids\Downloads\Data Analyst-Take Home\"/>
    </mc:Choice>
  </mc:AlternateContent>
  <xr:revisionPtr revIDLastSave="0" documentId="13_ncr:1_{3C1DFD8C-BC58-439C-AA95-0B0CD755D2E2}" xr6:coauthVersionLast="47" xr6:coauthVersionMax="47" xr10:uidLastSave="{00000000-0000-0000-0000-000000000000}"/>
  <bookViews>
    <workbookView xWindow="-108" yWindow="-108" windowWidth="23256" windowHeight="12456" firstSheet="2" activeTab="5" xr2:uid="{D82E89EA-10E9-422E-BF79-19BE69095A4F}"/>
  </bookViews>
  <sheets>
    <sheet name="Missing Values Analysis" sheetId="2" r:id="rId1"/>
    <sheet name="Duplicate Checker" sheetId="3" r:id="rId2"/>
    <sheet name="Outlier" sheetId="4" r:id="rId3"/>
    <sheet name="Data Dictionary+Transformation" sheetId="5" r:id="rId4"/>
    <sheet name="Data Quality" sheetId="6" r:id="rId5"/>
    <sheet name="Exploratory Data Analysis (EDA)" sheetId="1" r:id="rId6"/>
    <sheet name="Top Categories &amp; Products" sheetId="7" r:id="rId7"/>
    <sheet name="Segment customers" sheetId="8" r:id="rId8"/>
  </sheets>
  <definedNames>
    <definedName name="_xlnm._FilterDatabase" localSheetId="5" hidden="1">'Exploratory Data Analysis (EDA)'!$A$1:$M$1001</definedName>
    <definedName name="_xlnm._FilterDatabase" localSheetId="6" hidden="1">'Top Categories &amp; Products'!$F$2:$H$2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2" i="8"/>
  <c r="P1001" i="8"/>
  <c r="O1001" i="8"/>
  <c r="O1000" i="8"/>
  <c r="P1000" i="8" s="1"/>
  <c r="O999" i="8"/>
  <c r="P999" i="8" s="1"/>
  <c r="P998" i="8"/>
  <c r="O998" i="8"/>
  <c r="P997" i="8"/>
  <c r="O997" i="8"/>
  <c r="O996" i="8"/>
  <c r="P996" i="8" s="1"/>
  <c r="O995" i="8"/>
  <c r="P995" i="8" s="1"/>
  <c r="O994" i="8"/>
  <c r="P994" i="8" s="1"/>
  <c r="P993" i="8"/>
  <c r="O993" i="8"/>
  <c r="O992" i="8"/>
  <c r="P992" i="8" s="1"/>
  <c r="O991" i="8"/>
  <c r="P991" i="8" s="1"/>
  <c r="P990" i="8"/>
  <c r="O990" i="8"/>
  <c r="P989" i="8"/>
  <c r="O989" i="8"/>
  <c r="O988" i="8"/>
  <c r="P988" i="8" s="1"/>
  <c r="O987" i="8"/>
  <c r="P987" i="8" s="1"/>
  <c r="P986" i="8"/>
  <c r="O986" i="8"/>
  <c r="P985" i="8"/>
  <c r="O985" i="8"/>
  <c r="O984" i="8"/>
  <c r="P984" i="8" s="1"/>
  <c r="O983" i="8"/>
  <c r="P983" i="8" s="1"/>
  <c r="P982" i="8"/>
  <c r="O982" i="8"/>
  <c r="P981" i="8"/>
  <c r="O981" i="8"/>
  <c r="O980" i="8"/>
  <c r="P980" i="8" s="1"/>
  <c r="O979" i="8"/>
  <c r="P979" i="8" s="1"/>
  <c r="P978" i="8"/>
  <c r="O978" i="8"/>
  <c r="P977" i="8"/>
  <c r="O977" i="8"/>
  <c r="O976" i="8"/>
  <c r="P976" i="8" s="1"/>
  <c r="O975" i="8"/>
  <c r="P975" i="8" s="1"/>
  <c r="P974" i="8"/>
  <c r="O974" i="8"/>
  <c r="P973" i="8"/>
  <c r="O973" i="8"/>
  <c r="O972" i="8"/>
  <c r="P972" i="8" s="1"/>
  <c r="O971" i="8"/>
  <c r="P971" i="8" s="1"/>
  <c r="P970" i="8"/>
  <c r="O970" i="8"/>
  <c r="P969" i="8"/>
  <c r="O969" i="8"/>
  <c r="O968" i="8"/>
  <c r="P968" i="8" s="1"/>
  <c r="O967" i="8"/>
  <c r="P967" i="8" s="1"/>
  <c r="P966" i="8"/>
  <c r="O966" i="8"/>
  <c r="P965" i="8"/>
  <c r="O965" i="8"/>
  <c r="O964" i="8"/>
  <c r="P964" i="8" s="1"/>
  <c r="O963" i="8"/>
  <c r="P963" i="8" s="1"/>
  <c r="P962" i="8"/>
  <c r="O962" i="8"/>
  <c r="P961" i="8"/>
  <c r="O961" i="8"/>
  <c r="O960" i="8"/>
  <c r="P960" i="8" s="1"/>
  <c r="O959" i="8"/>
  <c r="P959" i="8" s="1"/>
  <c r="P958" i="8"/>
  <c r="O958" i="8"/>
  <c r="P957" i="8"/>
  <c r="O957" i="8"/>
  <c r="O956" i="8"/>
  <c r="P956" i="8" s="1"/>
  <c r="O955" i="8"/>
  <c r="P955" i="8" s="1"/>
  <c r="P954" i="8"/>
  <c r="O954" i="8"/>
  <c r="P953" i="8"/>
  <c r="O953" i="8"/>
  <c r="O952" i="8"/>
  <c r="P952" i="8" s="1"/>
  <c r="O951" i="8"/>
  <c r="P951" i="8" s="1"/>
  <c r="P950" i="8"/>
  <c r="O950" i="8"/>
  <c r="P949" i="8"/>
  <c r="O949" i="8"/>
  <c r="O948" i="8"/>
  <c r="P948" i="8" s="1"/>
  <c r="O947" i="8"/>
  <c r="P947" i="8" s="1"/>
  <c r="O946" i="8"/>
  <c r="P946" i="8" s="1"/>
  <c r="P945" i="8"/>
  <c r="O945" i="8"/>
  <c r="O944" i="8"/>
  <c r="P944" i="8" s="1"/>
  <c r="O943" i="8"/>
  <c r="P943" i="8" s="1"/>
  <c r="P942" i="8"/>
  <c r="O942" i="8"/>
  <c r="O941" i="8"/>
  <c r="P941" i="8" s="1"/>
  <c r="O940" i="8"/>
  <c r="P940" i="8" s="1"/>
  <c r="O939" i="8"/>
  <c r="P939" i="8" s="1"/>
  <c r="P938" i="8"/>
  <c r="O938" i="8"/>
  <c r="P937" i="8"/>
  <c r="O937" i="8"/>
  <c r="O936" i="8"/>
  <c r="P936" i="8" s="1"/>
  <c r="O935" i="8"/>
  <c r="P935" i="8" s="1"/>
  <c r="P934" i="8"/>
  <c r="O934" i="8"/>
  <c r="P933" i="8"/>
  <c r="O933" i="8"/>
  <c r="O932" i="8"/>
  <c r="P932" i="8" s="1"/>
  <c r="O931" i="8"/>
  <c r="P931" i="8" s="1"/>
  <c r="O930" i="8"/>
  <c r="P930" i="8" s="1"/>
  <c r="P929" i="8"/>
  <c r="O929" i="8"/>
  <c r="O928" i="8"/>
  <c r="P928" i="8" s="1"/>
  <c r="O927" i="8"/>
  <c r="P927" i="8" s="1"/>
  <c r="P926" i="8"/>
  <c r="O926" i="8"/>
  <c r="P925" i="8"/>
  <c r="O925" i="8"/>
  <c r="O924" i="8"/>
  <c r="P924" i="8" s="1"/>
  <c r="O923" i="8"/>
  <c r="P923" i="8" s="1"/>
  <c r="P922" i="8"/>
  <c r="O922" i="8"/>
  <c r="P921" i="8"/>
  <c r="O921" i="8"/>
  <c r="O920" i="8"/>
  <c r="P920" i="8" s="1"/>
  <c r="O919" i="8"/>
  <c r="P919" i="8" s="1"/>
  <c r="P918" i="8"/>
  <c r="O918" i="8"/>
  <c r="P917" i="8"/>
  <c r="O917" i="8"/>
  <c r="O916" i="8"/>
  <c r="P916" i="8" s="1"/>
  <c r="O915" i="8"/>
  <c r="P915" i="8" s="1"/>
  <c r="O914" i="8"/>
  <c r="P914" i="8" s="1"/>
  <c r="P913" i="8"/>
  <c r="O913" i="8"/>
  <c r="O912" i="8"/>
  <c r="P912" i="8" s="1"/>
  <c r="O911" i="8"/>
  <c r="P911" i="8" s="1"/>
  <c r="P910" i="8"/>
  <c r="O910" i="8"/>
  <c r="O909" i="8"/>
  <c r="P909" i="8" s="1"/>
  <c r="O908" i="8"/>
  <c r="P908" i="8" s="1"/>
  <c r="O907" i="8"/>
  <c r="P907" i="8" s="1"/>
  <c r="P906" i="8"/>
  <c r="O906" i="8"/>
  <c r="P905" i="8"/>
  <c r="O905" i="8"/>
  <c r="O904" i="8"/>
  <c r="P904" i="8" s="1"/>
  <c r="O903" i="8"/>
  <c r="P903" i="8" s="1"/>
  <c r="P902" i="8"/>
  <c r="O902" i="8"/>
  <c r="P901" i="8"/>
  <c r="O901" i="8"/>
  <c r="O900" i="8"/>
  <c r="P900" i="8" s="1"/>
  <c r="O899" i="8"/>
  <c r="P899" i="8" s="1"/>
  <c r="O898" i="8"/>
  <c r="P898" i="8" s="1"/>
  <c r="P897" i="8"/>
  <c r="O897" i="8"/>
  <c r="O896" i="8"/>
  <c r="P896" i="8" s="1"/>
  <c r="O895" i="8"/>
  <c r="P895" i="8" s="1"/>
  <c r="P894" i="8"/>
  <c r="O894" i="8"/>
  <c r="O893" i="8"/>
  <c r="P893" i="8" s="1"/>
  <c r="O892" i="8"/>
  <c r="P892" i="8" s="1"/>
  <c r="O891" i="8"/>
  <c r="P891" i="8" s="1"/>
  <c r="P890" i="8"/>
  <c r="O890" i="8"/>
  <c r="P889" i="8"/>
  <c r="O889" i="8"/>
  <c r="O888" i="8"/>
  <c r="P888" i="8" s="1"/>
  <c r="O887" i="8"/>
  <c r="P887" i="8" s="1"/>
  <c r="P886" i="8"/>
  <c r="O886" i="8"/>
  <c r="P885" i="8"/>
  <c r="O885" i="8"/>
  <c r="O884" i="8"/>
  <c r="P884" i="8" s="1"/>
  <c r="O883" i="8"/>
  <c r="P883" i="8" s="1"/>
  <c r="O882" i="8"/>
  <c r="P882" i="8" s="1"/>
  <c r="P881" i="8"/>
  <c r="O881" i="8"/>
  <c r="O880" i="8"/>
  <c r="P880" i="8" s="1"/>
  <c r="O879" i="8"/>
  <c r="P879" i="8" s="1"/>
  <c r="P878" i="8"/>
  <c r="O878" i="8"/>
  <c r="O877" i="8"/>
  <c r="P877" i="8" s="1"/>
  <c r="O876" i="8"/>
  <c r="P876" i="8" s="1"/>
  <c r="O875" i="8"/>
  <c r="P875" i="8" s="1"/>
  <c r="P874" i="8"/>
  <c r="O874" i="8"/>
  <c r="P873" i="8"/>
  <c r="O873" i="8"/>
  <c r="O872" i="8"/>
  <c r="P872" i="8" s="1"/>
  <c r="O871" i="8"/>
  <c r="P871" i="8" s="1"/>
  <c r="P870" i="8"/>
  <c r="O870" i="8"/>
  <c r="P869" i="8"/>
  <c r="O869" i="8"/>
  <c r="O868" i="8"/>
  <c r="P868" i="8" s="1"/>
  <c r="O867" i="8"/>
  <c r="P867" i="8" s="1"/>
  <c r="O866" i="8"/>
  <c r="P866" i="8" s="1"/>
  <c r="P865" i="8"/>
  <c r="O865" i="8"/>
  <c r="O864" i="8"/>
  <c r="P864" i="8" s="1"/>
  <c r="O863" i="8"/>
  <c r="P863" i="8" s="1"/>
  <c r="P862" i="8"/>
  <c r="O862" i="8"/>
  <c r="O861" i="8"/>
  <c r="P861" i="8" s="1"/>
  <c r="O860" i="8"/>
  <c r="P860" i="8" s="1"/>
  <c r="O859" i="8"/>
  <c r="P859" i="8" s="1"/>
  <c r="P858" i="8"/>
  <c r="O858" i="8"/>
  <c r="P857" i="8"/>
  <c r="O857" i="8"/>
  <c r="O856" i="8"/>
  <c r="P856" i="8" s="1"/>
  <c r="O855" i="8"/>
  <c r="P855" i="8" s="1"/>
  <c r="P854" i="8"/>
  <c r="O854" i="8"/>
  <c r="P853" i="8"/>
  <c r="O853" i="8"/>
  <c r="O852" i="8"/>
  <c r="P852" i="8" s="1"/>
  <c r="O851" i="8"/>
  <c r="P851" i="8" s="1"/>
  <c r="O850" i="8"/>
  <c r="P850" i="8" s="1"/>
  <c r="P849" i="8"/>
  <c r="O849" i="8"/>
  <c r="O848" i="8"/>
  <c r="P848" i="8" s="1"/>
  <c r="O847" i="8"/>
  <c r="P847" i="8" s="1"/>
  <c r="P846" i="8"/>
  <c r="O846" i="8"/>
  <c r="O845" i="8"/>
  <c r="P845" i="8" s="1"/>
  <c r="O844" i="8"/>
  <c r="P844" i="8" s="1"/>
  <c r="O843" i="8"/>
  <c r="P843" i="8" s="1"/>
  <c r="P842" i="8"/>
  <c r="O842" i="8"/>
  <c r="P841" i="8"/>
  <c r="O841" i="8"/>
  <c r="O840" i="8"/>
  <c r="P840" i="8" s="1"/>
  <c r="O839" i="8"/>
  <c r="P839" i="8" s="1"/>
  <c r="P838" i="8"/>
  <c r="O838" i="8"/>
  <c r="P837" i="8"/>
  <c r="O837" i="8"/>
  <c r="O836" i="8"/>
  <c r="P836" i="8" s="1"/>
  <c r="O835" i="8"/>
  <c r="P835" i="8" s="1"/>
  <c r="O834" i="8"/>
  <c r="P834" i="8" s="1"/>
  <c r="P833" i="8"/>
  <c r="O833" i="8"/>
  <c r="O832" i="8"/>
  <c r="P832" i="8" s="1"/>
  <c r="O831" i="8"/>
  <c r="P831" i="8" s="1"/>
  <c r="O830" i="8"/>
  <c r="P830" i="8" s="1"/>
  <c r="O829" i="8"/>
  <c r="P829" i="8" s="1"/>
  <c r="O828" i="8"/>
  <c r="P828" i="8" s="1"/>
  <c r="O827" i="8"/>
  <c r="P827" i="8" s="1"/>
  <c r="P826" i="8"/>
  <c r="O826" i="8"/>
  <c r="P825" i="8"/>
  <c r="O825" i="8"/>
  <c r="O824" i="8"/>
  <c r="P824" i="8" s="1"/>
  <c r="O823" i="8"/>
  <c r="P823" i="8" s="1"/>
  <c r="O822" i="8"/>
  <c r="P822" i="8" s="1"/>
  <c r="P821" i="8"/>
  <c r="O821" i="8"/>
  <c r="O820" i="8"/>
  <c r="P820" i="8" s="1"/>
  <c r="O819" i="8"/>
  <c r="P819" i="8" s="1"/>
  <c r="P818" i="8"/>
  <c r="O818" i="8"/>
  <c r="P817" i="8"/>
  <c r="O817" i="8"/>
  <c r="O816" i="8"/>
  <c r="P816" i="8" s="1"/>
  <c r="O815" i="8"/>
  <c r="P815" i="8" s="1"/>
  <c r="P814" i="8"/>
  <c r="O814" i="8"/>
  <c r="O813" i="8"/>
  <c r="P813" i="8" s="1"/>
  <c r="O812" i="8"/>
  <c r="P812" i="8" s="1"/>
  <c r="O811" i="8"/>
  <c r="P811" i="8" s="1"/>
  <c r="P810" i="8"/>
  <c r="O810" i="8"/>
  <c r="P809" i="8"/>
  <c r="O809" i="8"/>
  <c r="O808" i="8"/>
  <c r="P808" i="8" s="1"/>
  <c r="O807" i="8"/>
  <c r="P807" i="8" s="1"/>
  <c r="P806" i="8"/>
  <c r="O806" i="8"/>
  <c r="P805" i="8"/>
  <c r="O805" i="8"/>
  <c r="O804" i="8"/>
  <c r="P804" i="8" s="1"/>
  <c r="O803" i="8"/>
  <c r="P803" i="8" s="1"/>
  <c r="O802" i="8"/>
  <c r="P802" i="8" s="1"/>
  <c r="P801" i="8"/>
  <c r="O801" i="8"/>
  <c r="O800" i="8"/>
  <c r="P800" i="8" s="1"/>
  <c r="O799" i="8"/>
  <c r="P799" i="8" s="1"/>
  <c r="P798" i="8"/>
  <c r="O798" i="8"/>
  <c r="O797" i="8"/>
  <c r="P797" i="8" s="1"/>
  <c r="O796" i="8"/>
  <c r="P796" i="8" s="1"/>
  <c r="O795" i="8"/>
  <c r="P795" i="8" s="1"/>
  <c r="P794" i="8"/>
  <c r="O794" i="8"/>
  <c r="P793" i="8"/>
  <c r="O793" i="8"/>
  <c r="O792" i="8"/>
  <c r="P792" i="8" s="1"/>
  <c r="O791" i="8"/>
  <c r="P791" i="8" s="1"/>
  <c r="O790" i="8"/>
  <c r="P790" i="8" s="1"/>
  <c r="P789" i="8"/>
  <c r="O789" i="8"/>
  <c r="O788" i="8"/>
  <c r="P788" i="8" s="1"/>
  <c r="O787" i="8"/>
  <c r="P787" i="8" s="1"/>
  <c r="O786" i="8"/>
  <c r="P786" i="8" s="1"/>
  <c r="P785" i="8"/>
  <c r="O785" i="8"/>
  <c r="O784" i="8"/>
  <c r="P784" i="8" s="1"/>
  <c r="O783" i="8"/>
  <c r="P783" i="8" s="1"/>
  <c r="P782" i="8"/>
  <c r="O782" i="8"/>
  <c r="O781" i="8"/>
  <c r="P781" i="8" s="1"/>
  <c r="O780" i="8"/>
  <c r="P780" i="8" s="1"/>
  <c r="O779" i="8"/>
  <c r="P779" i="8" s="1"/>
  <c r="P778" i="8"/>
  <c r="O778" i="8"/>
  <c r="O777" i="8"/>
  <c r="P777" i="8" s="1"/>
  <c r="O776" i="8"/>
  <c r="P776" i="8" s="1"/>
  <c r="O775" i="8"/>
  <c r="P775" i="8" s="1"/>
  <c r="O774" i="8"/>
  <c r="P774" i="8" s="1"/>
  <c r="P773" i="8"/>
  <c r="O773" i="8"/>
  <c r="O772" i="8"/>
  <c r="P772" i="8" s="1"/>
  <c r="O771" i="8"/>
  <c r="P771" i="8" s="1"/>
  <c r="O770" i="8"/>
  <c r="P770" i="8" s="1"/>
  <c r="O769" i="8"/>
  <c r="P769" i="8" s="1"/>
  <c r="O768" i="8"/>
  <c r="P768" i="8" s="1"/>
  <c r="O767" i="8"/>
  <c r="P767" i="8" s="1"/>
  <c r="P766" i="8"/>
  <c r="O766" i="8"/>
  <c r="O765" i="8"/>
  <c r="P765" i="8" s="1"/>
  <c r="O764" i="8"/>
  <c r="P764" i="8" s="1"/>
  <c r="O763" i="8"/>
  <c r="P763" i="8" s="1"/>
  <c r="P762" i="8"/>
  <c r="O762" i="8"/>
  <c r="O761" i="8"/>
  <c r="P761" i="8" s="1"/>
  <c r="O760" i="8"/>
  <c r="P760" i="8" s="1"/>
  <c r="O759" i="8"/>
  <c r="P759" i="8" s="1"/>
  <c r="O758" i="8"/>
  <c r="P758" i="8" s="1"/>
  <c r="P757" i="8"/>
  <c r="O757" i="8"/>
  <c r="O756" i="8"/>
  <c r="P756" i="8" s="1"/>
  <c r="O755" i="8"/>
  <c r="P755" i="8" s="1"/>
  <c r="O754" i="8"/>
  <c r="P754" i="8" s="1"/>
  <c r="O753" i="8"/>
  <c r="P753" i="8" s="1"/>
  <c r="O752" i="8"/>
  <c r="P752" i="8" s="1"/>
  <c r="O751" i="8"/>
  <c r="P751" i="8" s="1"/>
  <c r="P750" i="8"/>
  <c r="O750" i="8"/>
  <c r="O749" i="8"/>
  <c r="P749" i="8" s="1"/>
  <c r="O748" i="8"/>
  <c r="P748" i="8" s="1"/>
  <c r="O747" i="8"/>
  <c r="P747" i="8" s="1"/>
  <c r="P746" i="8"/>
  <c r="O746" i="8"/>
  <c r="P745" i="8"/>
  <c r="O745" i="8"/>
  <c r="O744" i="8"/>
  <c r="P744" i="8" s="1"/>
  <c r="O743" i="8"/>
  <c r="P743" i="8" s="1"/>
  <c r="O742" i="8"/>
  <c r="P742" i="8" s="1"/>
  <c r="P741" i="8"/>
  <c r="O741" i="8"/>
  <c r="O740" i="8"/>
  <c r="P740" i="8" s="1"/>
  <c r="O739" i="8"/>
  <c r="P739" i="8" s="1"/>
  <c r="O738" i="8"/>
  <c r="P738" i="8" s="1"/>
  <c r="O737" i="8"/>
  <c r="P737" i="8" s="1"/>
  <c r="O736" i="8"/>
  <c r="P736" i="8" s="1"/>
  <c r="O735" i="8"/>
  <c r="P735" i="8" s="1"/>
  <c r="P734" i="8"/>
  <c r="O734" i="8"/>
  <c r="O733" i="8"/>
  <c r="P733" i="8" s="1"/>
  <c r="O732" i="8"/>
  <c r="P732" i="8" s="1"/>
  <c r="O731" i="8"/>
  <c r="P731" i="8" s="1"/>
  <c r="P730" i="8"/>
  <c r="O730" i="8"/>
  <c r="O729" i="8"/>
  <c r="P729" i="8" s="1"/>
  <c r="O728" i="8"/>
  <c r="P728" i="8" s="1"/>
  <c r="O727" i="8"/>
  <c r="P727" i="8" s="1"/>
  <c r="O726" i="8"/>
  <c r="P726" i="8" s="1"/>
  <c r="P725" i="8"/>
  <c r="O725" i="8"/>
  <c r="O724" i="8"/>
  <c r="P724" i="8" s="1"/>
  <c r="O723" i="8"/>
  <c r="P723" i="8" s="1"/>
  <c r="O722" i="8"/>
  <c r="P722" i="8" s="1"/>
  <c r="O721" i="8"/>
  <c r="P721" i="8" s="1"/>
  <c r="O720" i="8"/>
  <c r="P720" i="8" s="1"/>
  <c r="O719" i="8"/>
  <c r="P719" i="8" s="1"/>
  <c r="O718" i="8"/>
  <c r="P718" i="8" s="1"/>
  <c r="O717" i="8"/>
  <c r="P717" i="8" s="1"/>
  <c r="O716" i="8"/>
  <c r="P716" i="8" s="1"/>
  <c r="O715" i="8"/>
  <c r="P715" i="8" s="1"/>
  <c r="P714" i="8"/>
  <c r="O714" i="8"/>
  <c r="P713" i="8"/>
  <c r="O713" i="8"/>
  <c r="O712" i="8"/>
  <c r="P712" i="8" s="1"/>
  <c r="O711" i="8"/>
  <c r="P711" i="8" s="1"/>
  <c r="O710" i="8"/>
  <c r="P710" i="8" s="1"/>
  <c r="P709" i="8"/>
  <c r="O709" i="8"/>
  <c r="O708" i="8"/>
  <c r="P708" i="8" s="1"/>
  <c r="O707" i="8"/>
  <c r="P707" i="8" s="1"/>
  <c r="O706" i="8"/>
  <c r="P706" i="8" s="1"/>
  <c r="O705" i="8"/>
  <c r="P705" i="8" s="1"/>
  <c r="O704" i="8"/>
  <c r="P704" i="8" s="1"/>
  <c r="O703" i="8"/>
  <c r="P703" i="8" s="1"/>
  <c r="O702" i="8"/>
  <c r="P702" i="8" s="1"/>
  <c r="O701" i="8"/>
  <c r="P701" i="8" s="1"/>
  <c r="O700" i="8"/>
  <c r="P700" i="8" s="1"/>
  <c r="O699" i="8"/>
  <c r="P699" i="8" s="1"/>
  <c r="P698" i="8"/>
  <c r="O698" i="8"/>
  <c r="O697" i="8"/>
  <c r="P697" i="8" s="1"/>
  <c r="O696" i="8"/>
  <c r="P696" i="8" s="1"/>
  <c r="O695" i="8"/>
  <c r="P695" i="8" s="1"/>
  <c r="P694" i="8"/>
  <c r="O694" i="8"/>
  <c r="P693" i="8"/>
  <c r="O693" i="8"/>
  <c r="O692" i="8"/>
  <c r="P692" i="8" s="1"/>
  <c r="O691" i="8"/>
  <c r="P691" i="8" s="1"/>
  <c r="O690" i="8"/>
  <c r="P690" i="8" s="1"/>
  <c r="P689" i="8"/>
  <c r="O689" i="8"/>
  <c r="O688" i="8"/>
  <c r="P688" i="8" s="1"/>
  <c r="O687" i="8"/>
  <c r="P687" i="8" s="1"/>
  <c r="P686" i="8"/>
  <c r="O686" i="8"/>
  <c r="O685" i="8"/>
  <c r="P685" i="8" s="1"/>
  <c r="O684" i="8"/>
  <c r="P684" i="8" s="1"/>
  <c r="O683" i="8"/>
  <c r="P683" i="8" s="1"/>
  <c r="P682" i="8"/>
  <c r="O682" i="8"/>
  <c r="P681" i="8"/>
  <c r="O681" i="8"/>
  <c r="O680" i="8"/>
  <c r="P680" i="8" s="1"/>
  <c r="O679" i="8"/>
  <c r="P679" i="8" s="1"/>
  <c r="P678" i="8"/>
  <c r="O678" i="8"/>
  <c r="P677" i="8"/>
  <c r="O677" i="8"/>
  <c r="O676" i="8"/>
  <c r="P676" i="8" s="1"/>
  <c r="O675" i="8"/>
  <c r="P675" i="8" s="1"/>
  <c r="O674" i="8"/>
  <c r="P674" i="8" s="1"/>
  <c r="P673" i="8"/>
  <c r="O673" i="8"/>
  <c r="O672" i="8"/>
  <c r="P672" i="8" s="1"/>
  <c r="O671" i="8"/>
  <c r="P671" i="8" s="1"/>
  <c r="P670" i="8"/>
  <c r="O670" i="8"/>
  <c r="P669" i="8"/>
  <c r="O669" i="8"/>
  <c r="O668" i="8"/>
  <c r="P668" i="8" s="1"/>
  <c r="O667" i="8"/>
  <c r="P667" i="8" s="1"/>
  <c r="P666" i="8"/>
  <c r="O666" i="8"/>
  <c r="P665" i="8"/>
  <c r="O665" i="8"/>
  <c r="O664" i="8"/>
  <c r="P664" i="8" s="1"/>
  <c r="O663" i="8"/>
  <c r="P663" i="8" s="1"/>
  <c r="P662" i="8"/>
  <c r="O662" i="8"/>
  <c r="P661" i="8"/>
  <c r="O661" i="8"/>
  <c r="P660" i="8"/>
  <c r="O660" i="8"/>
  <c r="O659" i="8"/>
  <c r="P659" i="8" s="1"/>
  <c r="O658" i="8"/>
  <c r="P658" i="8" s="1"/>
  <c r="P657" i="8"/>
  <c r="O657" i="8"/>
  <c r="P656" i="8"/>
  <c r="O656" i="8"/>
  <c r="O655" i="8"/>
  <c r="P655" i="8" s="1"/>
  <c r="O654" i="8"/>
  <c r="P654" i="8" s="1"/>
  <c r="P653" i="8"/>
  <c r="O653" i="8"/>
  <c r="P652" i="8"/>
  <c r="O652" i="8"/>
  <c r="O651" i="8"/>
  <c r="P651" i="8" s="1"/>
  <c r="O650" i="8"/>
  <c r="P650" i="8" s="1"/>
  <c r="O649" i="8"/>
  <c r="P649" i="8" s="1"/>
  <c r="O648" i="8"/>
  <c r="P648" i="8" s="1"/>
  <c r="O647" i="8"/>
  <c r="P647" i="8" s="1"/>
  <c r="O646" i="8"/>
  <c r="P646" i="8" s="1"/>
  <c r="O645" i="8"/>
  <c r="P645" i="8" s="1"/>
  <c r="O644" i="8"/>
  <c r="P644" i="8" s="1"/>
  <c r="P643" i="8"/>
  <c r="O643" i="8"/>
  <c r="O642" i="8"/>
  <c r="P642" i="8" s="1"/>
  <c r="O641" i="8"/>
  <c r="P641" i="8" s="1"/>
  <c r="P640" i="8"/>
  <c r="O640" i="8"/>
  <c r="O639" i="8"/>
  <c r="P639" i="8" s="1"/>
  <c r="O638" i="8"/>
  <c r="P638" i="8" s="1"/>
  <c r="O637" i="8"/>
  <c r="P637" i="8" s="1"/>
  <c r="O636" i="8"/>
  <c r="P636" i="8" s="1"/>
  <c r="O635" i="8"/>
  <c r="P635" i="8" s="1"/>
  <c r="O634" i="8"/>
  <c r="P634" i="8" s="1"/>
  <c r="P633" i="8"/>
  <c r="O633" i="8"/>
  <c r="P632" i="8"/>
  <c r="O632" i="8"/>
  <c r="P631" i="8"/>
  <c r="O631" i="8"/>
  <c r="O630" i="8"/>
  <c r="P630" i="8" s="1"/>
  <c r="P629" i="8"/>
  <c r="O629" i="8"/>
  <c r="O628" i="8"/>
  <c r="P628" i="8" s="1"/>
  <c r="O627" i="8"/>
  <c r="P627" i="8" s="1"/>
  <c r="O626" i="8"/>
  <c r="P626" i="8" s="1"/>
  <c r="O625" i="8"/>
  <c r="P625" i="8" s="1"/>
  <c r="O624" i="8"/>
  <c r="P624" i="8" s="1"/>
  <c r="P623" i="8"/>
  <c r="O623" i="8"/>
  <c r="O622" i="8"/>
  <c r="P622" i="8" s="1"/>
  <c r="O621" i="8"/>
  <c r="P621" i="8" s="1"/>
  <c r="P620" i="8"/>
  <c r="O620" i="8"/>
  <c r="O619" i="8"/>
  <c r="P619" i="8" s="1"/>
  <c r="O618" i="8"/>
  <c r="P618" i="8" s="1"/>
  <c r="P617" i="8"/>
  <c r="O617" i="8"/>
  <c r="O616" i="8"/>
  <c r="P616" i="8" s="1"/>
  <c r="O615" i="8"/>
  <c r="P615" i="8" s="1"/>
  <c r="O614" i="8"/>
  <c r="P614" i="8" s="1"/>
  <c r="O613" i="8"/>
  <c r="P613" i="8" s="1"/>
  <c r="O612" i="8"/>
  <c r="P612" i="8" s="1"/>
  <c r="P611" i="8"/>
  <c r="O611" i="8"/>
  <c r="O610" i="8"/>
  <c r="P610" i="8" s="1"/>
  <c r="P609" i="8"/>
  <c r="O609" i="8"/>
  <c r="P608" i="8"/>
  <c r="O608" i="8"/>
  <c r="O607" i="8"/>
  <c r="P607" i="8" s="1"/>
  <c r="O606" i="8"/>
  <c r="P606" i="8" s="1"/>
  <c r="O605" i="8"/>
  <c r="P605" i="8" s="1"/>
  <c r="O604" i="8"/>
  <c r="P604" i="8" s="1"/>
  <c r="O603" i="8"/>
  <c r="P603" i="8" s="1"/>
  <c r="O602" i="8"/>
  <c r="P602" i="8" s="1"/>
  <c r="O601" i="8"/>
  <c r="P601" i="8" s="1"/>
  <c r="P600" i="8"/>
  <c r="O600" i="8"/>
  <c r="P599" i="8"/>
  <c r="O599" i="8"/>
  <c r="O598" i="8"/>
  <c r="P598" i="8" s="1"/>
  <c r="P597" i="8"/>
  <c r="O597" i="8"/>
  <c r="O596" i="8"/>
  <c r="P596" i="8" s="1"/>
  <c r="O595" i="8"/>
  <c r="P595" i="8" s="1"/>
  <c r="O594" i="8"/>
  <c r="P594" i="8" s="1"/>
  <c r="O593" i="8"/>
  <c r="P593" i="8" s="1"/>
  <c r="P592" i="8"/>
  <c r="O592" i="8"/>
  <c r="P591" i="8"/>
  <c r="O591" i="8"/>
  <c r="O590" i="8"/>
  <c r="P590" i="8" s="1"/>
  <c r="O589" i="8"/>
  <c r="P589" i="8" s="1"/>
  <c r="P588" i="8"/>
  <c r="O588" i="8"/>
  <c r="O587" i="8"/>
  <c r="P587" i="8" s="1"/>
  <c r="O586" i="8"/>
  <c r="P586" i="8" s="1"/>
  <c r="P585" i="8"/>
  <c r="O585" i="8"/>
  <c r="O584" i="8"/>
  <c r="P584" i="8" s="1"/>
  <c r="O583" i="8"/>
  <c r="P583" i="8" s="1"/>
  <c r="O582" i="8"/>
  <c r="P582" i="8" s="1"/>
  <c r="O581" i="8"/>
  <c r="P581" i="8" s="1"/>
  <c r="O580" i="8"/>
  <c r="P580" i="8" s="1"/>
  <c r="P579" i="8"/>
  <c r="O579" i="8"/>
  <c r="O578" i="8"/>
  <c r="P578" i="8" s="1"/>
  <c r="P577" i="8"/>
  <c r="O577" i="8"/>
  <c r="P576" i="8"/>
  <c r="O576" i="8"/>
  <c r="O575" i="8"/>
  <c r="P575" i="8" s="1"/>
  <c r="O574" i="8"/>
  <c r="P574" i="8" s="1"/>
  <c r="O573" i="8"/>
  <c r="P573" i="8" s="1"/>
  <c r="O572" i="8"/>
  <c r="P572" i="8" s="1"/>
  <c r="O571" i="8"/>
  <c r="P571" i="8" s="1"/>
  <c r="O570" i="8"/>
  <c r="P570" i="8" s="1"/>
  <c r="O569" i="8"/>
  <c r="P569" i="8" s="1"/>
  <c r="P568" i="8"/>
  <c r="O568" i="8"/>
  <c r="P567" i="8"/>
  <c r="O567" i="8"/>
  <c r="O566" i="8"/>
  <c r="P566" i="8" s="1"/>
  <c r="P565" i="8"/>
  <c r="O565" i="8"/>
  <c r="O564" i="8"/>
  <c r="P564" i="8" s="1"/>
  <c r="O563" i="8"/>
  <c r="P563" i="8" s="1"/>
  <c r="O562" i="8"/>
  <c r="P562" i="8" s="1"/>
  <c r="O561" i="8"/>
  <c r="P561" i="8" s="1"/>
  <c r="O560" i="8"/>
  <c r="P560" i="8" s="1"/>
  <c r="P559" i="8"/>
  <c r="O559" i="8"/>
  <c r="O558" i="8"/>
  <c r="P558" i="8" s="1"/>
  <c r="O557" i="8"/>
  <c r="P557" i="8" s="1"/>
  <c r="P556" i="8"/>
  <c r="O556" i="8"/>
  <c r="O555" i="8"/>
  <c r="P555" i="8" s="1"/>
  <c r="O554" i="8"/>
  <c r="P554" i="8" s="1"/>
  <c r="P553" i="8"/>
  <c r="O553" i="8"/>
  <c r="O552" i="8"/>
  <c r="P552" i="8" s="1"/>
  <c r="O551" i="8"/>
  <c r="P551" i="8" s="1"/>
  <c r="O550" i="8"/>
  <c r="P550" i="8" s="1"/>
  <c r="O549" i="8"/>
  <c r="P549" i="8" s="1"/>
  <c r="O548" i="8"/>
  <c r="P548" i="8" s="1"/>
  <c r="P547" i="8"/>
  <c r="O547" i="8"/>
  <c r="O546" i="8"/>
  <c r="P546" i="8" s="1"/>
  <c r="P545" i="8"/>
  <c r="O545" i="8"/>
  <c r="P544" i="8"/>
  <c r="O544" i="8"/>
  <c r="O543" i="8"/>
  <c r="P543" i="8" s="1"/>
  <c r="O542" i="8"/>
  <c r="P542" i="8" s="1"/>
  <c r="O541" i="8"/>
  <c r="P541" i="8" s="1"/>
  <c r="O540" i="8"/>
  <c r="P540" i="8" s="1"/>
  <c r="O539" i="8"/>
  <c r="P539" i="8" s="1"/>
  <c r="O538" i="8"/>
  <c r="P538" i="8" s="1"/>
  <c r="P537" i="8"/>
  <c r="O537" i="8"/>
  <c r="P536" i="8"/>
  <c r="O536" i="8"/>
  <c r="P535" i="8"/>
  <c r="O535" i="8"/>
  <c r="O534" i="8"/>
  <c r="P534" i="8" s="1"/>
  <c r="P533" i="8"/>
  <c r="O533" i="8"/>
  <c r="O532" i="8"/>
  <c r="P532" i="8" s="1"/>
  <c r="O531" i="8"/>
  <c r="P531" i="8" s="1"/>
  <c r="O530" i="8"/>
  <c r="P530" i="8" s="1"/>
  <c r="O529" i="8"/>
  <c r="P529" i="8" s="1"/>
  <c r="P528" i="8"/>
  <c r="O528" i="8"/>
  <c r="P527" i="8"/>
  <c r="O527" i="8"/>
  <c r="O526" i="8"/>
  <c r="P526" i="8" s="1"/>
  <c r="O525" i="8"/>
  <c r="P525" i="8" s="1"/>
  <c r="P524" i="8"/>
  <c r="O524" i="8"/>
  <c r="O523" i="8"/>
  <c r="P523" i="8" s="1"/>
  <c r="O522" i="8"/>
  <c r="P522" i="8" s="1"/>
  <c r="P521" i="8"/>
  <c r="O521" i="8"/>
  <c r="O520" i="8"/>
  <c r="P520" i="8" s="1"/>
  <c r="O519" i="8"/>
  <c r="P519" i="8" s="1"/>
  <c r="O518" i="8"/>
  <c r="P518" i="8" s="1"/>
  <c r="O517" i="8"/>
  <c r="P517" i="8" s="1"/>
  <c r="O516" i="8"/>
  <c r="P516" i="8" s="1"/>
  <c r="P515" i="8"/>
  <c r="O515" i="8"/>
  <c r="O514" i="8"/>
  <c r="P514" i="8" s="1"/>
  <c r="P513" i="8"/>
  <c r="O513" i="8"/>
  <c r="P512" i="8"/>
  <c r="O512" i="8"/>
  <c r="O511" i="8"/>
  <c r="P511" i="8" s="1"/>
  <c r="O510" i="8"/>
  <c r="P510" i="8" s="1"/>
  <c r="O509" i="8"/>
  <c r="P509" i="8" s="1"/>
  <c r="O508" i="8"/>
  <c r="P508" i="8" s="1"/>
  <c r="O507" i="8"/>
  <c r="P507" i="8" s="1"/>
  <c r="O506" i="8"/>
  <c r="P506" i="8" s="1"/>
  <c r="O505" i="8"/>
  <c r="P505" i="8" s="1"/>
  <c r="P504" i="8"/>
  <c r="O504" i="8"/>
  <c r="P503" i="8"/>
  <c r="O503" i="8"/>
  <c r="O502" i="8"/>
  <c r="P502" i="8" s="1"/>
  <c r="P501" i="8"/>
  <c r="O501" i="8"/>
  <c r="O500" i="8"/>
  <c r="P500" i="8" s="1"/>
  <c r="O499" i="8"/>
  <c r="P499" i="8" s="1"/>
  <c r="O498" i="8"/>
  <c r="P498" i="8" s="1"/>
  <c r="O497" i="8"/>
  <c r="P497" i="8" s="1"/>
  <c r="P496" i="8"/>
  <c r="O496" i="8"/>
  <c r="P495" i="8"/>
  <c r="O495" i="8"/>
  <c r="O494" i="8"/>
  <c r="P494" i="8" s="1"/>
  <c r="O493" i="8"/>
  <c r="P493" i="8" s="1"/>
  <c r="P492" i="8"/>
  <c r="O492" i="8"/>
  <c r="O491" i="8"/>
  <c r="P491" i="8" s="1"/>
  <c r="O490" i="8"/>
  <c r="P490" i="8" s="1"/>
  <c r="P489" i="8"/>
  <c r="O489" i="8"/>
  <c r="O488" i="8"/>
  <c r="P488" i="8" s="1"/>
  <c r="P487" i="8"/>
  <c r="O487" i="8"/>
  <c r="O486" i="8"/>
  <c r="P486" i="8" s="1"/>
  <c r="O485" i="8"/>
  <c r="P485" i="8" s="1"/>
  <c r="O484" i="8"/>
  <c r="P484" i="8" s="1"/>
  <c r="P483" i="8"/>
  <c r="O483" i="8"/>
  <c r="O482" i="8"/>
  <c r="P482" i="8" s="1"/>
  <c r="P481" i="8"/>
  <c r="O481" i="8"/>
  <c r="P480" i="8"/>
  <c r="O480" i="8"/>
  <c r="O479" i="8"/>
  <c r="P479" i="8" s="1"/>
  <c r="O478" i="8"/>
  <c r="P478" i="8" s="1"/>
  <c r="O477" i="8"/>
  <c r="P477" i="8" s="1"/>
  <c r="O476" i="8"/>
  <c r="P476" i="8" s="1"/>
  <c r="O475" i="8"/>
  <c r="P475" i="8" s="1"/>
  <c r="O474" i="8"/>
  <c r="P474" i="8" s="1"/>
  <c r="P473" i="8"/>
  <c r="O473" i="8"/>
  <c r="P472" i="8"/>
  <c r="O472" i="8"/>
  <c r="P471" i="8"/>
  <c r="O471" i="8"/>
  <c r="O470" i="8"/>
  <c r="P470" i="8" s="1"/>
  <c r="P469" i="8"/>
  <c r="O469" i="8"/>
  <c r="O468" i="8"/>
  <c r="P468" i="8" s="1"/>
  <c r="O467" i="8"/>
  <c r="P467" i="8" s="1"/>
  <c r="O466" i="8"/>
  <c r="P466" i="8" s="1"/>
  <c r="O465" i="8"/>
  <c r="P465" i="8" s="1"/>
  <c r="P464" i="8"/>
  <c r="O464" i="8"/>
  <c r="P463" i="8"/>
  <c r="O463" i="8"/>
  <c r="O462" i="8"/>
  <c r="P462" i="8" s="1"/>
  <c r="O461" i="8"/>
  <c r="P461" i="8" s="1"/>
  <c r="P460" i="8"/>
  <c r="O460" i="8"/>
  <c r="O459" i="8"/>
  <c r="P459" i="8" s="1"/>
  <c r="O458" i="8"/>
  <c r="P458" i="8" s="1"/>
  <c r="P457" i="8"/>
  <c r="O457" i="8"/>
  <c r="O456" i="8"/>
  <c r="P456" i="8" s="1"/>
  <c r="P455" i="8"/>
  <c r="O455" i="8"/>
  <c r="O454" i="8"/>
  <c r="P454" i="8" s="1"/>
  <c r="O453" i="8"/>
  <c r="P453" i="8" s="1"/>
  <c r="O452" i="8"/>
  <c r="P452" i="8" s="1"/>
  <c r="P451" i="8"/>
  <c r="O451" i="8"/>
  <c r="O450" i="8"/>
  <c r="P450" i="8" s="1"/>
  <c r="P449" i="8"/>
  <c r="O449" i="8"/>
  <c r="P448" i="8"/>
  <c r="O448" i="8"/>
  <c r="P447" i="8"/>
  <c r="O447" i="8"/>
  <c r="O446" i="8"/>
  <c r="P446" i="8" s="1"/>
  <c r="O445" i="8"/>
  <c r="P445" i="8" s="1"/>
  <c r="O444" i="8"/>
  <c r="P444" i="8" s="1"/>
  <c r="O443" i="8"/>
  <c r="P443" i="8" s="1"/>
  <c r="O442" i="8"/>
  <c r="P442" i="8" s="1"/>
  <c r="P441" i="8"/>
  <c r="O441" i="8"/>
  <c r="P440" i="8"/>
  <c r="O440" i="8"/>
  <c r="P439" i="8"/>
  <c r="O439" i="8"/>
  <c r="O438" i="8"/>
  <c r="P438" i="8" s="1"/>
  <c r="P437" i="8"/>
  <c r="O437" i="8"/>
  <c r="O436" i="8"/>
  <c r="P436" i="8" s="1"/>
  <c r="O435" i="8"/>
  <c r="P435" i="8" s="1"/>
  <c r="O434" i="8"/>
  <c r="P434" i="8" s="1"/>
  <c r="O433" i="8"/>
  <c r="P433" i="8" s="1"/>
  <c r="P432" i="8"/>
  <c r="O432" i="8"/>
  <c r="P431" i="8"/>
  <c r="O431" i="8"/>
  <c r="O430" i="8"/>
  <c r="P430" i="8" s="1"/>
  <c r="O429" i="8"/>
  <c r="P429" i="8" s="1"/>
  <c r="P428" i="8"/>
  <c r="O428" i="8"/>
  <c r="O427" i="8"/>
  <c r="P427" i="8" s="1"/>
  <c r="O426" i="8"/>
  <c r="P426" i="8" s="1"/>
  <c r="P425" i="8"/>
  <c r="O425" i="8"/>
  <c r="O424" i="8"/>
  <c r="P424" i="8" s="1"/>
  <c r="P423" i="8"/>
  <c r="O423" i="8"/>
  <c r="O422" i="8"/>
  <c r="P422" i="8" s="1"/>
  <c r="O421" i="8"/>
  <c r="P421" i="8" s="1"/>
  <c r="O420" i="8"/>
  <c r="P420" i="8" s="1"/>
  <c r="P419" i="8"/>
  <c r="O419" i="8"/>
  <c r="O418" i="8"/>
  <c r="P418" i="8" s="1"/>
  <c r="P417" i="8"/>
  <c r="O417" i="8"/>
  <c r="P416" i="8"/>
  <c r="O416" i="8"/>
  <c r="O415" i="8"/>
  <c r="P415" i="8" s="1"/>
  <c r="O414" i="8"/>
  <c r="P414" i="8" s="1"/>
  <c r="O413" i="8"/>
  <c r="P413" i="8" s="1"/>
  <c r="O412" i="8"/>
  <c r="P412" i="8" s="1"/>
  <c r="O411" i="8"/>
  <c r="P411" i="8" s="1"/>
  <c r="O410" i="8"/>
  <c r="P410" i="8" s="1"/>
  <c r="P409" i="8"/>
  <c r="O409" i="8"/>
  <c r="P408" i="8"/>
  <c r="O408" i="8"/>
  <c r="P407" i="8"/>
  <c r="O407" i="8"/>
  <c r="O406" i="8"/>
  <c r="P406" i="8" s="1"/>
  <c r="P405" i="8"/>
  <c r="O405" i="8"/>
  <c r="O404" i="8"/>
  <c r="P404" i="8" s="1"/>
  <c r="O403" i="8"/>
  <c r="P403" i="8" s="1"/>
  <c r="O402" i="8"/>
  <c r="P402" i="8" s="1"/>
  <c r="O401" i="8"/>
  <c r="P401" i="8" s="1"/>
  <c r="P400" i="8"/>
  <c r="O400" i="8"/>
  <c r="P399" i="8"/>
  <c r="O399" i="8"/>
  <c r="O398" i="8"/>
  <c r="P398" i="8" s="1"/>
  <c r="O397" i="8"/>
  <c r="P397" i="8" s="1"/>
  <c r="O396" i="8"/>
  <c r="P396" i="8" s="1"/>
  <c r="O395" i="8"/>
  <c r="P395" i="8" s="1"/>
  <c r="O394" i="8"/>
  <c r="P394" i="8" s="1"/>
  <c r="P393" i="8"/>
  <c r="O393" i="8"/>
  <c r="P392" i="8"/>
  <c r="O392" i="8"/>
  <c r="P391" i="8"/>
  <c r="O391" i="8"/>
  <c r="O390" i="8"/>
  <c r="P390" i="8" s="1"/>
  <c r="O389" i="8"/>
  <c r="P389" i="8" s="1"/>
  <c r="O388" i="8"/>
  <c r="P388" i="8" s="1"/>
  <c r="O387" i="8"/>
  <c r="P387" i="8" s="1"/>
  <c r="O386" i="8"/>
  <c r="P386" i="8" s="1"/>
  <c r="P385" i="8"/>
  <c r="O385" i="8"/>
  <c r="P384" i="8"/>
  <c r="O384" i="8"/>
  <c r="O383" i="8"/>
  <c r="P383" i="8" s="1"/>
  <c r="O382" i="8"/>
  <c r="P382" i="8" s="1"/>
  <c r="O381" i="8"/>
  <c r="P381" i="8" s="1"/>
  <c r="O380" i="8"/>
  <c r="P380" i="8" s="1"/>
  <c r="O379" i="8"/>
  <c r="P379" i="8" s="1"/>
  <c r="O378" i="8"/>
  <c r="P378" i="8" s="1"/>
  <c r="P377" i="8"/>
  <c r="O377" i="8"/>
  <c r="P376" i="8"/>
  <c r="O376" i="8"/>
  <c r="P375" i="8"/>
  <c r="O375" i="8"/>
  <c r="O374" i="8"/>
  <c r="P374" i="8" s="1"/>
  <c r="P373" i="8"/>
  <c r="O373" i="8"/>
  <c r="O372" i="8"/>
  <c r="P372" i="8" s="1"/>
  <c r="O371" i="8"/>
  <c r="P371" i="8" s="1"/>
  <c r="O370" i="8"/>
  <c r="P370" i="8" s="1"/>
  <c r="O369" i="8"/>
  <c r="P369" i="8" s="1"/>
  <c r="P368" i="8"/>
  <c r="O368" i="8"/>
  <c r="P367" i="8"/>
  <c r="O367" i="8"/>
  <c r="O366" i="8"/>
  <c r="P366" i="8" s="1"/>
  <c r="O365" i="8"/>
  <c r="P365" i="8" s="1"/>
  <c r="O364" i="8"/>
  <c r="P364" i="8" s="1"/>
  <c r="O363" i="8"/>
  <c r="P363" i="8" s="1"/>
  <c r="O362" i="8"/>
  <c r="P362" i="8" s="1"/>
  <c r="P361" i="8"/>
  <c r="O361" i="8"/>
  <c r="O360" i="8"/>
  <c r="P360" i="8" s="1"/>
  <c r="P359" i="8"/>
  <c r="O359" i="8"/>
  <c r="O358" i="8"/>
  <c r="P358" i="8" s="1"/>
  <c r="O357" i="8"/>
  <c r="P357" i="8" s="1"/>
  <c r="O356" i="8"/>
  <c r="P356" i="8" s="1"/>
  <c r="O355" i="8"/>
  <c r="P355" i="8" s="1"/>
  <c r="O354" i="8"/>
  <c r="P354" i="8" s="1"/>
  <c r="P353" i="8"/>
  <c r="O353" i="8"/>
  <c r="P352" i="8"/>
  <c r="O352" i="8"/>
  <c r="O351" i="8"/>
  <c r="P351" i="8" s="1"/>
  <c r="O350" i="8"/>
  <c r="P350" i="8" s="1"/>
  <c r="P349" i="8"/>
  <c r="O349" i="8"/>
  <c r="P348" i="8"/>
  <c r="O348" i="8"/>
  <c r="P347" i="8"/>
  <c r="O347" i="8"/>
  <c r="O346" i="8"/>
  <c r="P346" i="8" s="1"/>
  <c r="O345" i="8"/>
  <c r="P345" i="8" s="1"/>
  <c r="O344" i="8"/>
  <c r="P344" i="8" s="1"/>
  <c r="O343" i="8"/>
  <c r="P343" i="8" s="1"/>
  <c r="O342" i="8"/>
  <c r="P342" i="8" s="1"/>
  <c r="O341" i="8"/>
  <c r="P341" i="8" s="1"/>
  <c r="P340" i="8"/>
  <c r="O340" i="8"/>
  <c r="P339" i="8"/>
  <c r="O339" i="8"/>
  <c r="O338" i="8"/>
  <c r="P338" i="8" s="1"/>
  <c r="O337" i="8"/>
  <c r="P337" i="8" s="1"/>
  <c r="O336" i="8"/>
  <c r="P336" i="8" s="1"/>
  <c r="O335" i="8"/>
  <c r="P335" i="8" s="1"/>
  <c r="O334" i="8"/>
  <c r="P334" i="8" s="1"/>
  <c r="P333" i="8"/>
  <c r="O333" i="8"/>
  <c r="P332" i="8"/>
  <c r="O332" i="8"/>
  <c r="P331" i="8"/>
  <c r="O331" i="8"/>
  <c r="O330" i="8"/>
  <c r="P330" i="8" s="1"/>
  <c r="O329" i="8"/>
  <c r="P329" i="8" s="1"/>
  <c r="O328" i="8"/>
  <c r="P328" i="8" s="1"/>
  <c r="P327" i="8"/>
  <c r="O327" i="8"/>
  <c r="O326" i="8"/>
  <c r="P326" i="8" s="1"/>
  <c r="P325" i="8"/>
  <c r="O325" i="8"/>
  <c r="P324" i="8"/>
  <c r="O324" i="8"/>
  <c r="O323" i="8"/>
  <c r="P323" i="8" s="1"/>
  <c r="O322" i="8"/>
  <c r="P322" i="8" s="1"/>
  <c r="O321" i="8"/>
  <c r="P321" i="8" s="1"/>
  <c r="O320" i="8"/>
  <c r="P320" i="8" s="1"/>
  <c r="O319" i="8"/>
  <c r="P319" i="8" s="1"/>
  <c r="O318" i="8"/>
  <c r="P318" i="8" s="1"/>
  <c r="P317" i="8"/>
  <c r="O317" i="8"/>
  <c r="P316" i="8"/>
  <c r="O316" i="8"/>
  <c r="P315" i="8"/>
  <c r="O315" i="8"/>
  <c r="O314" i="8"/>
  <c r="P314" i="8" s="1"/>
  <c r="O313" i="8"/>
  <c r="P313" i="8" s="1"/>
  <c r="O312" i="8"/>
  <c r="P312" i="8" s="1"/>
  <c r="O311" i="8"/>
  <c r="P311" i="8" s="1"/>
  <c r="O310" i="8"/>
  <c r="P310" i="8" s="1"/>
  <c r="O309" i="8"/>
  <c r="P309" i="8" s="1"/>
  <c r="P308" i="8"/>
  <c r="O308" i="8"/>
  <c r="P307" i="8"/>
  <c r="O307" i="8"/>
  <c r="O306" i="8"/>
  <c r="P306" i="8" s="1"/>
  <c r="O305" i="8"/>
  <c r="P305" i="8" s="1"/>
  <c r="O304" i="8"/>
  <c r="P304" i="8" s="1"/>
  <c r="O303" i="8"/>
  <c r="P303" i="8" s="1"/>
  <c r="O302" i="8"/>
  <c r="P302" i="8" s="1"/>
  <c r="P301" i="8"/>
  <c r="O301" i="8"/>
  <c r="P300" i="8"/>
  <c r="O300" i="8"/>
  <c r="P299" i="8"/>
  <c r="O299" i="8"/>
  <c r="O298" i="8"/>
  <c r="P298" i="8" s="1"/>
  <c r="O297" i="8"/>
  <c r="P297" i="8" s="1"/>
  <c r="O296" i="8"/>
  <c r="P296" i="8" s="1"/>
  <c r="O295" i="8"/>
  <c r="P295" i="8" s="1"/>
  <c r="O294" i="8"/>
  <c r="P294" i="8" s="1"/>
  <c r="P293" i="8"/>
  <c r="O293" i="8"/>
  <c r="P292" i="8"/>
  <c r="O292" i="8"/>
  <c r="O291" i="8"/>
  <c r="P291" i="8" s="1"/>
  <c r="O290" i="8"/>
  <c r="P290" i="8" s="1"/>
  <c r="O289" i="8"/>
  <c r="P289" i="8" s="1"/>
  <c r="O288" i="8"/>
  <c r="P288" i="8" s="1"/>
  <c r="O287" i="8"/>
  <c r="P287" i="8" s="1"/>
  <c r="O286" i="8"/>
  <c r="P286" i="8" s="1"/>
  <c r="P285" i="8"/>
  <c r="O285" i="8"/>
  <c r="P284" i="8"/>
  <c r="O284" i="8"/>
  <c r="P283" i="8"/>
  <c r="O283" i="8"/>
  <c r="O282" i="8"/>
  <c r="P282" i="8" s="1"/>
  <c r="P281" i="8"/>
  <c r="O281" i="8"/>
  <c r="O280" i="8"/>
  <c r="P280" i="8" s="1"/>
  <c r="O279" i="8"/>
  <c r="P279" i="8" s="1"/>
  <c r="O278" i="8"/>
  <c r="P278" i="8" s="1"/>
  <c r="P277" i="8"/>
  <c r="O277" i="8"/>
  <c r="P276" i="8"/>
  <c r="O276" i="8"/>
  <c r="P275" i="8"/>
  <c r="O275" i="8"/>
  <c r="O274" i="8"/>
  <c r="P274" i="8" s="1"/>
  <c r="O273" i="8"/>
  <c r="P273" i="8" s="1"/>
  <c r="O272" i="8"/>
  <c r="P272" i="8" s="1"/>
  <c r="O271" i="8"/>
  <c r="P271" i="8" s="1"/>
  <c r="O270" i="8"/>
  <c r="P270" i="8" s="1"/>
  <c r="O269" i="8"/>
  <c r="P269" i="8" s="1"/>
  <c r="O268" i="8"/>
  <c r="P268" i="8" s="1"/>
  <c r="O267" i="8"/>
  <c r="P267" i="8" s="1"/>
  <c r="O266" i="8"/>
  <c r="P266" i="8" s="1"/>
  <c r="P265" i="8"/>
  <c r="O265" i="8"/>
  <c r="P264" i="8"/>
  <c r="O264" i="8"/>
  <c r="O263" i="8"/>
  <c r="P263" i="8" s="1"/>
  <c r="O262" i="8"/>
  <c r="P262" i="8" s="1"/>
  <c r="O261" i="8"/>
  <c r="P261" i="8" s="1"/>
  <c r="O260" i="8"/>
  <c r="P260" i="8" s="1"/>
  <c r="O259" i="8"/>
  <c r="P259" i="8" s="1"/>
  <c r="O258" i="8"/>
  <c r="P258" i="8" s="1"/>
  <c r="P257" i="8"/>
  <c r="O257" i="8"/>
  <c r="P256" i="8"/>
  <c r="O256" i="8"/>
  <c r="P255" i="8"/>
  <c r="O255" i="8"/>
  <c r="O254" i="8"/>
  <c r="P254" i="8" s="1"/>
  <c r="P253" i="8"/>
  <c r="O253" i="8"/>
  <c r="O252" i="8"/>
  <c r="P252" i="8" s="1"/>
  <c r="O251" i="8"/>
  <c r="P251" i="8" s="1"/>
  <c r="O250" i="8"/>
  <c r="P250" i="8" s="1"/>
  <c r="O249" i="8"/>
  <c r="P249" i="8" s="1"/>
  <c r="P248" i="8"/>
  <c r="O248" i="8"/>
  <c r="P247" i="8"/>
  <c r="O247" i="8"/>
  <c r="O246" i="8"/>
  <c r="P246" i="8" s="1"/>
  <c r="O245" i="8"/>
  <c r="P245" i="8" s="1"/>
  <c r="P244" i="8"/>
  <c r="O244" i="8"/>
  <c r="O243" i="8"/>
  <c r="P243" i="8" s="1"/>
  <c r="O242" i="8"/>
  <c r="P242" i="8" s="1"/>
  <c r="P241" i="8"/>
  <c r="O241" i="8"/>
  <c r="O240" i="8"/>
  <c r="P240" i="8" s="1"/>
  <c r="P239" i="8"/>
  <c r="O239" i="8"/>
  <c r="O238" i="8"/>
  <c r="P238" i="8" s="1"/>
  <c r="O237" i="8"/>
  <c r="P237" i="8" s="1"/>
  <c r="O236" i="8"/>
  <c r="P236" i="8" s="1"/>
  <c r="O235" i="8"/>
  <c r="P235" i="8" s="1"/>
  <c r="O234" i="8"/>
  <c r="P234" i="8" s="1"/>
  <c r="P233" i="8"/>
  <c r="O233" i="8"/>
  <c r="P232" i="8"/>
  <c r="O232" i="8"/>
  <c r="O231" i="8"/>
  <c r="P231" i="8" s="1"/>
  <c r="O230" i="8"/>
  <c r="P230" i="8" s="1"/>
  <c r="O229" i="8"/>
  <c r="P229" i="8" s="1"/>
  <c r="O228" i="8"/>
  <c r="P228" i="8" s="1"/>
  <c r="O227" i="8"/>
  <c r="P227" i="8" s="1"/>
  <c r="O226" i="8"/>
  <c r="P226" i="8" s="1"/>
  <c r="P225" i="8"/>
  <c r="O225" i="8"/>
  <c r="P224" i="8"/>
  <c r="O224" i="8"/>
  <c r="P223" i="8"/>
  <c r="O223" i="8"/>
  <c r="O222" i="8"/>
  <c r="P222" i="8" s="1"/>
  <c r="O221" i="8"/>
  <c r="P221" i="8" s="1"/>
  <c r="O220" i="8"/>
  <c r="P220" i="8" s="1"/>
  <c r="O219" i="8"/>
  <c r="P219" i="8" s="1"/>
  <c r="O218" i="8"/>
  <c r="P218" i="8" s="1"/>
  <c r="P217" i="8"/>
  <c r="O217" i="8"/>
  <c r="P216" i="8"/>
  <c r="O216" i="8"/>
  <c r="P215" i="8"/>
  <c r="O215" i="8"/>
  <c r="O214" i="8"/>
  <c r="P214" i="8" s="1"/>
  <c r="O213" i="8"/>
  <c r="P213" i="8" s="1"/>
  <c r="P212" i="8"/>
  <c r="O212" i="8"/>
  <c r="O211" i="8"/>
  <c r="P211" i="8" s="1"/>
  <c r="O210" i="8"/>
  <c r="P210" i="8" s="1"/>
  <c r="P209" i="8"/>
  <c r="O209" i="8"/>
  <c r="O208" i="8"/>
  <c r="P208" i="8" s="1"/>
  <c r="P207" i="8"/>
  <c r="O207" i="8"/>
  <c r="O206" i="8"/>
  <c r="P206" i="8" s="1"/>
  <c r="O205" i="8"/>
  <c r="P205" i="8" s="1"/>
  <c r="O204" i="8"/>
  <c r="P204" i="8" s="1"/>
  <c r="O203" i="8"/>
  <c r="P203" i="8" s="1"/>
  <c r="O202" i="8"/>
  <c r="P202" i="8" s="1"/>
  <c r="P201" i="8"/>
  <c r="O201" i="8"/>
  <c r="P200" i="8"/>
  <c r="O200" i="8"/>
  <c r="P199" i="8"/>
  <c r="O199" i="8"/>
  <c r="O198" i="8"/>
  <c r="P198" i="8" s="1"/>
  <c r="O197" i="8"/>
  <c r="P197" i="8" s="1"/>
  <c r="O196" i="8"/>
  <c r="P196" i="8" s="1"/>
  <c r="O195" i="8"/>
  <c r="P195" i="8" s="1"/>
  <c r="O194" i="8"/>
  <c r="P194" i="8" s="1"/>
  <c r="P193" i="8"/>
  <c r="O193" i="8"/>
  <c r="P192" i="8"/>
  <c r="O192" i="8"/>
  <c r="P191" i="8"/>
  <c r="O191" i="8"/>
  <c r="O190" i="8"/>
  <c r="P190" i="8" s="1"/>
  <c r="O189" i="8"/>
  <c r="P189" i="8" s="1"/>
  <c r="O188" i="8"/>
  <c r="P188" i="8" s="1"/>
  <c r="O187" i="8"/>
  <c r="P187" i="8" s="1"/>
  <c r="O186" i="8"/>
  <c r="P186" i="8" s="1"/>
  <c r="O185" i="8"/>
  <c r="P185" i="8" s="1"/>
  <c r="P184" i="8"/>
  <c r="O184" i="8"/>
  <c r="P183" i="8"/>
  <c r="O183" i="8"/>
  <c r="O182" i="8"/>
  <c r="P182" i="8" s="1"/>
  <c r="O181" i="8"/>
  <c r="P181" i="8" s="1"/>
  <c r="O180" i="8"/>
  <c r="P180" i="8" s="1"/>
  <c r="O179" i="8"/>
  <c r="P179" i="8" s="1"/>
  <c r="O178" i="8"/>
  <c r="P178" i="8" s="1"/>
  <c r="P177" i="8"/>
  <c r="O177" i="8"/>
  <c r="O176" i="8"/>
  <c r="P176" i="8" s="1"/>
  <c r="O175" i="8"/>
  <c r="P175" i="8" s="1"/>
  <c r="O174" i="8"/>
  <c r="P174" i="8" s="1"/>
  <c r="P173" i="8"/>
  <c r="O173" i="8"/>
  <c r="P172" i="8"/>
  <c r="O172" i="8"/>
  <c r="O171" i="8"/>
  <c r="P171" i="8" s="1"/>
  <c r="O170" i="8"/>
  <c r="P170" i="8" s="1"/>
  <c r="O169" i="8"/>
  <c r="P169" i="8" s="1"/>
  <c r="O168" i="8"/>
  <c r="P168" i="8" s="1"/>
  <c r="O167" i="8"/>
  <c r="P167" i="8" s="1"/>
  <c r="O166" i="8"/>
  <c r="P166" i="8" s="1"/>
  <c r="P165" i="8"/>
  <c r="O165" i="8"/>
  <c r="P164" i="8"/>
  <c r="O164" i="8"/>
  <c r="P163" i="8"/>
  <c r="O163" i="8"/>
  <c r="O162" i="8"/>
  <c r="P162" i="8" s="1"/>
  <c r="O161" i="8"/>
  <c r="P161" i="8" s="1"/>
  <c r="O160" i="8"/>
  <c r="P160" i="8" s="1"/>
  <c r="O159" i="8"/>
  <c r="P159" i="8" s="1"/>
  <c r="O158" i="8"/>
  <c r="P158" i="8" s="1"/>
  <c r="P157" i="8"/>
  <c r="O157" i="8"/>
  <c r="P156" i="8"/>
  <c r="O156" i="8"/>
  <c r="P155" i="8"/>
  <c r="O155" i="8"/>
  <c r="O154" i="8"/>
  <c r="P154" i="8" s="1"/>
  <c r="O153" i="8"/>
  <c r="P153" i="8" s="1"/>
  <c r="P152" i="8"/>
  <c r="O152" i="8"/>
  <c r="O151" i="8"/>
  <c r="P151" i="8" s="1"/>
  <c r="O150" i="8"/>
  <c r="P150" i="8" s="1"/>
  <c r="P149" i="8"/>
  <c r="O149" i="8"/>
  <c r="O148" i="8"/>
  <c r="P148" i="8" s="1"/>
  <c r="P147" i="8"/>
  <c r="O147" i="8"/>
  <c r="O146" i="8"/>
  <c r="P146" i="8" s="1"/>
  <c r="O145" i="8"/>
  <c r="P145" i="8" s="1"/>
  <c r="P144" i="8"/>
  <c r="O144" i="8"/>
  <c r="O143" i="8"/>
  <c r="P143" i="8" s="1"/>
  <c r="O142" i="8"/>
  <c r="P142" i="8" s="1"/>
  <c r="P141" i="8"/>
  <c r="O141" i="8"/>
  <c r="O140" i="8"/>
  <c r="P140" i="8" s="1"/>
  <c r="O139" i="8"/>
  <c r="P139" i="8" s="1"/>
  <c r="O138" i="8"/>
  <c r="P138" i="8" s="1"/>
  <c r="O137" i="8"/>
  <c r="P137" i="8" s="1"/>
  <c r="O136" i="8"/>
  <c r="P136" i="8" s="1"/>
  <c r="O135" i="8"/>
  <c r="P135" i="8" s="1"/>
  <c r="O134" i="8"/>
  <c r="P134" i="8" s="1"/>
  <c r="P133" i="8"/>
  <c r="O133" i="8"/>
  <c r="P132" i="8"/>
  <c r="O132" i="8"/>
  <c r="O131" i="8"/>
  <c r="P131" i="8" s="1"/>
  <c r="O130" i="8"/>
  <c r="P130" i="8" s="1"/>
  <c r="P129" i="8"/>
  <c r="O129" i="8"/>
  <c r="O128" i="8"/>
  <c r="P128" i="8" s="1"/>
  <c r="O127" i="8"/>
  <c r="P127" i="8" s="1"/>
  <c r="O126" i="8"/>
  <c r="P126" i="8" s="1"/>
  <c r="O125" i="8"/>
  <c r="P125" i="8" s="1"/>
  <c r="O124" i="8"/>
  <c r="P124" i="8" s="1"/>
  <c r="P123" i="8"/>
  <c r="O123" i="8"/>
  <c r="O122" i="8"/>
  <c r="P122" i="8" s="1"/>
  <c r="P121" i="8"/>
  <c r="O121" i="8"/>
  <c r="O120" i="8"/>
  <c r="P120" i="8" s="1"/>
  <c r="P119" i="8"/>
  <c r="O119" i="8"/>
  <c r="O118" i="8"/>
  <c r="P118" i="8" s="1"/>
  <c r="O117" i="8"/>
  <c r="P117" i="8" s="1"/>
  <c r="O116" i="8"/>
  <c r="P116" i="8" s="1"/>
  <c r="O115" i="8"/>
  <c r="P115" i="8" s="1"/>
  <c r="O114" i="8"/>
  <c r="P114" i="8" s="1"/>
  <c r="O113" i="8"/>
  <c r="P113" i="8" s="1"/>
  <c r="P112" i="8"/>
  <c r="O112" i="8"/>
  <c r="O111" i="8"/>
  <c r="P111" i="8" s="1"/>
  <c r="O110" i="8"/>
  <c r="P110" i="8" s="1"/>
  <c r="O109" i="8"/>
  <c r="P109" i="8" s="1"/>
  <c r="O108" i="8"/>
  <c r="P108" i="8" s="1"/>
  <c r="O107" i="8"/>
  <c r="P107" i="8" s="1"/>
  <c r="O106" i="8"/>
  <c r="P106" i="8" s="1"/>
  <c r="P105" i="8"/>
  <c r="O105" i="8"/>
  <c r="O104" i="8"/>
  <c r="P104" i="8" s="1"/>
  <c r="P103" i="8"/>
  <c r="O103" i="8"/>
  <c r="O102" i="8"/>
  <c r="P102" i="8" s="1"/>
  <c r="O101" i="8"/>
  <c r="P101" i="8" s="1"/>
  <c r="O100" i="8"/>
  <c r="P100" i="8" s="1"/>
  <c r="O99" i="8"/>
  <c r="P99" i="8" s="1"/>
  <c r="O98" i="8"/>
  <c r="P98" i="8" s="1"/>
  <c r="O97" i="8"/>
  <c r="P97" i="8" s="1"/>
  <c r="P96" i="8"/>
  <c r="O96" i="8"/>
  <c r="O95" i="8"/>
  <c r="P95" i="8" s="1"/>
  <c r="O94" i="8"/>
  <c r="P94" i="8" s="1"/>
  <c r="O93" i="8"/>
  <c r="P93" i="8" s="1"/>
  <c r="O92" i="8"/>
  <c r="P92" i="8" s="1"/>
  <c r="O91" i="8"/>
  <c r="P91" i="8" s="1"/>
  <c r="O90" i="8"/>
  <c r="P90" i="8" s="1"/>
  <c r="P89" i="8"/>
  <c r="O89" i="8"/>
  <c r="O88" i="8"/>
  <c r="P88" i="8" s="1"/>
  <c r="P87" i="8"/>
  <c r="O87" i="8"/>
  <c r="O86" i="8"/>
  <c r="P86" i="8" s="1"/>
  <c r="O85" i="8"/>
  <c r="P85" i="8" s="1"/>
  <c r="O84" i="8"/>
  <c r="P84" i="8" s="1"/>
  <c r="O83" i="8"/>
  <c r="P83" i="8" s="1"/>
  <c r="O82" i="8"/>
  <c r="P82" i="8" s="1"/>
  <c r="O81" i="8"/>
  <c r="P81" i="8" s="1"/>
  <c r="P80" i="8"/>
  <c r="O80" i="8"/>
  <c r="O79" i="8"/>
  <c r="P79" i="8" s="1"/>
  <c r="O78" i="8"/>
  <c r="P78" i="8" s="1"/>
  <c r="P77" i="8"/>
  <c r="O77" i="8"/>
  <c r="O76" i="8"/>
  <c r="P76" i="8" s="1"/>
  <c r="O75" i="8"/>
  <c r="P75" i="8" s="1"/>
  <c r="O74" i="8"/>
  <c r="P74" i="8" s="1"/>
  <c r="O73" i="8"/>
  <c r="P73" i="8" s="1"/>
  <c r="P72" i="8"/>
  <c r="O72" i="8"/>
  <c r="O71" i="8"/>
  <c r="P71" i="8" s="1"/>
  <c r="O70" i="8"/>
  <c r="P70" i="8" s="1"/>
  <c r="O69" i="8"/>
  <c r="P69" i="8" s="1"/>
  <c r="O68" i="8"/>
  <c r="P68" i="8" s="1"/>
  <c r="O67" i="8"/>
  <c r="P67" i="8" s="1"/>
  <c r="O66" i="8"/>
  <c r="P66" i="8" s="1"/>
  <c r="O65" i="8"/>
  <c r="P65" i="8" s="1"/>
  <c r="P64" i="8"/>
  <c r="O64" i="8"/>
  <c r="O63" i="8"/>
  <c r="P63" i="8" s="1"/>
  <c r="O62" i="8"/>
  <c r="P62" i="8" s="1"/>
  <c r="O61" i="8"/>
  <c r="P61" i="8" s="1"/>
  <c r="P60" i="8"/>
  <c r="O60" i="8"/>
  <c r="O59" i="8"/>
  <c r="P59" i="8" s="1"/>
  <c r="O58" i="8"/>
  <c r="P58" i="8" s="1"/>
  <c r="O57" i="8"/>
  <c r="P57" i="8" s="1"/>
  <c r="O56" i="8"/>
  <c r="P56" i="8" s="1"/>
  <c r="O55" i="8"/>
  <c r="P55" i="8" s="1"/>
  <c r="O54" i="8"/>
  <c r="P54" i="8" s="1"/>
  <c r="O53" i="8"/>
  <c r="P53" i="8" s="1"/>
  <c r="O52" i="8"/>
  <c r="P52" i="8" s="1"/>
  <c r="O51" i="8"/>
  <c r="P51" i="8" s="1"/>
  <c r="O50" i="8"/>
  <c r="P50" i="8" s="1"/>
  <c r="O49" i="8"/>
  <c r="P49" i="8" s="1"/>
  <c r="P48" i="8"/>
  <c r="O48" i="8"/>
  <c r="O47" i="8"/>
  <c r="P47" i="8" s="1"/>
  <c r="O46" i="8"/>
  <c r="P46" i="8" s="1"/>
  <c r="O45" i="8"/>
  <c r="P45" i="8" s="1"/>
  <c r="O44" i="8"/>
  <c r="P44" i="8" s="1"/>
  <c r="O43" i="8"/>
  <c r="P43" i="8" s="1"/>
  <c r="O42" i="8"/>
  <c r="P42" i="8" s="1"/>
  <c r="O41" i="8"/>
  <c r="P41" i="8" s="1"/>
  <c r="O40" i="8"/>
  <c r="P40" i="8" s="1"/>
  <c r="O39" i="8"/>
  <c r="P39" i="8" s="1"/>
  <c r="O38" i="8"/>
  <c r="P38" i="8" s="1"/>
  <c r="O37" i="8"/>
  <c r="P37" i="8" s="1"/>
  <c r="O36" i="8"/>
  <c r="P36" i="8" s="1"/>
  <c r="O35" i="8"/>
  <c r="P35" i="8" s="1"/>
  <c r="O34" i="8"/>
  <c r="P34" i="8" s="1"/>
  <c r="O33" i="8"/>
  <c r="P33" i="8" s="1"/>
  <c r="O32" i="8"/>
  <c r="P32" i="8" s="1"/>
  <c r="O31" i="8"/>
  <c r="P31" i="8" s="1"/>
  <c r="O30" i="8"/>
  <c r="P30" i="8" s="1"/>
  <c r="O29" i="8"/>
  <c r="P29" i="8" s="1"/>
  <c r="O28" i="8"/>
  <c r="P28" i="8" s="1"/>
  <c r="O27" i="8"/>
  <c r="P27" i="8" s="1"/>
  <c r="O26" i="8"/>
  <c r="P26" i="8" s="1"/>
  <c r="O25" i="8"/>
  <c r="P25" i="8" s="1"/>
  <c r="O24" i="8"/>
  <c r="P24" i="8" s="1"/>
  <c r="O23" i="8"/>
  <c r="P23" i="8" s="1"/>
  <c r="O22" i="8"/>
  <c r="P22" i="8" s="1"/>
  <c r="O21" i="8"/>
  <c r="P21" i="8" s="1"/>
  <c r="O20" i="8"/>
  <c r="P20" i="8" s="1"/>
  <c r="O19" i="8"/>
  <c r="P19" i="8" s="1"/>
  <c r="O18" i="8"/>
  <c r="P18" i="8" s="1"/>
  <c r="P17" i="8"/>
  <c r="O17" i="8"/>
  <c r="O16" i="8"/>
  <c r="P16" i="8" s="1"/>
  <c r="P15" i="8"/>
  <c r="O15" i="8"/>
  <c r="O14" i="8"/>
  <c r="P14" i="8" s="1"/>
  <c r="O13" i="8"/>
  <c r="P13" i="8" s="1"/>
  <c r="O12" i="8"/>
  <c r="P12" i="8" s="1"/>
  <c r="O11" i="8"/>
  <c r="P11" i="8" s="1"/>
  <c r="O10" i="8"/>
  <c r="P10" i="8" s="1"/>
  <c r="O9" i="8"/>
  <c r="P9" i="8" s="1"/>
  <c r="P8" i="8"/>
  <c r="O8" i="8"/>
  <c r="O7" i="8"/>
  <c r="P7" i="8" s="1"/>
  <c r="O6" i="8"/>
  <c r="P6" i="8" s="1"/>
  <c r="O5" i="8"/>
  <c r="P5" i="8" s="1"/>
  <c r="O4" i="8"/>
  <c r="P4" i="8" s="1"/>
  <c r="O3" i="8"/>
  <c r="P3" i="8" s="1"/>
  <c r="O2" i="8"/>
  <c r="P2" i="8" s="1"/>
  <c r="S3" i="1"/>
  <c r="S4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C4" i="2"/>
  <c r="C3" i="2"/>
</calcChain>
</file>

<file path=xl/sharedStrings.xml><?xml version="1.0" encoding="utf-8"?>
<sst xmlns="http://schemas.openxmlformats.org/spreadsheetml/2006/main" count="12944" uniqueCount="1115">
  <si>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</si>
  <si>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</si>
  <si>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</si>
  <si>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</si>
  <si>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</si>
  <si>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</si>
  <si>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</si>
  <si>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</si>
  <si>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</si>
  <si>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</si>
  <si>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</si>
  <si>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</si>
  <si>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</si>
  <si>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</si>
  <si>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</si>
  <si>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</si>
  <si>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</si>
  <si>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</si>
  <si>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</si>
  <si>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</si>
  <si>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</si>
  <si>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</si>
  <si>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</si>
  <si>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</si>
  <si>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</si>
  <si>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</si>
  <si>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</si>
  <si>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</si>
  <si>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</si>
  <si>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</si>
  <si>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</si>
  <si>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</si>
  <si>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</si>
  <si>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</si>
  <si>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</si>
  <si>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</si>
  <si>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</si>
  <si>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</si>
  <si>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</si>
  <si>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</si>
  <si>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</si>
  <si>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</si>
  <si>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</si>
  <si>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</si>
  <si>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</si>
  <si>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</si>
  <si>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</si>
  <si>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</si>
  <si>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</si>
  <si>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</si>
  <si>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</si>
  <si>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</si>
  <si>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</si>
  <si>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</si>
  <si>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</si>
  <si>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</si>
  <si>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</si>
  <si>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</si>
  <si>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</si>
  <si>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</si>
  <si>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</si>
  <si>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</si>
  <si>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</si>
  <si>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</si>
  <si>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</si>
  <si>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</si>
  <si>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</si>
  <si>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</si>
  <si>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</si>
  <si>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</si>
  <si>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</si>
  <si>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</si>
  <si>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</si>
  <si>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</si>
  <si>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</si>
  <si>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</si>
  <si>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</si>
  <si>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</si>
  <si>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</si>
  <si>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</si>
  <si>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</si>
  <si>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</si>
  <si>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</si>
  <si>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</si>
  <si>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</si>
  <si>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</si>
  <si>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</si>
  <si>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</si>
  <si>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</si>
  <si>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</si>
  <si>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</si>
  <si>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</si>
  <si>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</si>
  <si>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</si>
  <si>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</si>
  <si>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</si>
  <si>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</si>
  <si>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</si>
  <si>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</si>
  <si>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</si>
  <si>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</si>
  <si>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</si>
  <si>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</si>
  <si>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</si>
  <si>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</si>
  <si>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</si>
  <si>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</si>
  <si>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</si>
  <si>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</si>
  <si>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</si>
  <si>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</si>
  <si>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</si>
  <si>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</si>
  <si>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</si>
  <si>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</si>
  <si>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</si>
  <si>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</si>
  <si>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</si>
  <si>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</si>
  <si>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</si>
  <si>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</si>
  <si>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</si>
  <si>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</si>
  <si>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</si>
  <si>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</si>
  <si>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</si>
  <si>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</si>
  <si>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</si>
  <si>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</si>
  <si>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</si>
  <si>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</si>
  <si>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</si>
  <si>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</si>
  <si>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</si>
  <si>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</si>
  <si>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</si>
  <si>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</si>
  <si>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</si>
  <si>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</si>
  <si>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</si>
  <si>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</si>
  <si>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</si>
  <si>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</si>
  <si>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</si>
  <si>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</si>
  <si>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</si>
  <si>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</si>
  <si>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</si>
  <si>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</si>
  <si>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</si>
  <si>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</si>
  <si>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</si>
  <si>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</si>
  <si>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</si>
  <si>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</si>
  <si>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</si>
  <si>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</si>
  <si>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</si>
  <si>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</si>
  <si>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</si>
  <si>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</si>
  <si>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</si>
  <si>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</si>
  <si>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</si>
  <si>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</si>
  <si>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</si>
  <si>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</si>
  <si>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</si>
  <si>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</si>
  <si>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</si>
  <si>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</si>
  <si>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</si>
  <si>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</si>
  <si>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</si>
  <si>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</si>
  <si>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</si>
  <si>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</si>
  <si>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</si>
  <si>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</si>
  <si>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</si>
  <si>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</si>
  <si>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</si>
  <si>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</si>
  <si>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</si>
  <si>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</si>
  <si>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</si>
  <si>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</si>
  <si>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</si>
  <si>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</si>
  <si>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</si>
  <si>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</si>
  <si>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</si>
  <si>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</si>
  <si>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</si>
  <si>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</si>
  <si>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</si>
  <si>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</si>
  <si>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</si>
  <si>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</si>
  <si>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</si>
  <si>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</si>
  <si>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</si>
  <si>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</si>
  <si>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</si>
  <si>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</si>
  <si>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</si>
  <si>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</si>
  <si>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</si>
  <si>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</si>
  <si>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</si>
  <si>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</si>
  <si>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</si>
  <si>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</si>
  <si>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</si>
  <si>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</si>
  <si>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</si>
  <si>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</si>
  <si>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</si>
  <si>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</si>
  <si>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</si>
  <si>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</si>
  <si>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</si>
  <si>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</si>
  <si>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</si>
  <si>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</si>
  <si>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</si>
  <si>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</si>
  <si>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</si>
  <si>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</si>
  <si>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</si>
  <si>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</si>
  <si>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</si>
  <si>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</si>
  <si>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</si>
  <si>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</si>
  <si>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</si>
  <si>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</si>
  <si>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</si>
  <si>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</si>
  <si>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</si>
  <si>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</si>
  <si>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</si>
  <si>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</si>
  <si>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</si>
  <si>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</si>
  <si>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</si>
  <si>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</si>
  <si>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</si>
  <si>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</si>
  <si>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</si>
  <si>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</si>
  <si>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</si>
  <si>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</si>
  <si>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</si>
  <si>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</si>
  <si>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</si>
  <si>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</si>
  <si>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</si>
  <si>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</si>
  <si>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</si>
  <si>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</si>
  <si>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</si>
  <si>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</si>
  <si>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</si>
  <si>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</si>
  <si>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</si>
  <si>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</si>
  <si>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</si>
  <si>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</si>
  <si>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</si>
  <si>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</si>
  <si>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</si>
  <si>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</si>
  <si>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</si>
  <si>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</si>
  <si>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</si>
  <si>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</si>
  <si>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</si>
  <si>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</si>
  <si>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</si>
  <si>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</si>
  <si>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</si>
  <si>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</si>
  <si>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</si>
  <si>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</si>
  <si>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</si>
  <si>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</si>
  <si>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</si>
  <si>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</si>
  <si>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</si>
  <si>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</si>
  <si>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</si>
  <si>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</si>
  <si>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</si>
  <si>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</si>
  <si>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</si>
  <si>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</si>
  <si>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</si>
  <si>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</si>
  <si>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</si>
  <si>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</si>
  <si>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</si>
  <si>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</si>
  <si>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</si>
  <si>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</si>
  <si>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</si>
  <si>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</si>
  <si>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</si>
  <si>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</si>
  <si>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</si>
  <si>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</si>
  <si>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</si>
  <si>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</si>
  <si>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</si>
  <si>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</si>
  <si>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</si>
  <si>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</si>
  <si>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</si>
  <si>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</si>
  <si>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</si>
  <si>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</si>
  <si>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</si>
  <si>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</si>
  <si>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</si>
  <si>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</si>
  <si>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</si>
  <si>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</si>
  <si>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</si>
  <si>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</si>
  <si>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</si>
  <si>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</si>
  <si>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</si>
  <si>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</si>
  <si>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</si>
  <si>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</si>
  <si>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</si>
  <si>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</si>
  <si>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</si>
  <si>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</si>
  <si>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</si>
  <si>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</si>
  <si>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</si>
  <si>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</si>
  <si>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</si>
  <si>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</si>
  <si>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</si>
  <si>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</si>
  <si>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</si>
  <si>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</si>
  <si>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</si>
  <si>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</si>
  <si>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</si>
  <si>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</si>
  <si>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</si>
  <si>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</si>
  <si>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</si>
  <si>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</si>
  <si>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</si>
  <si>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</si>
  <si>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</si>
  <si>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</si>
  <si>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</si>
  <si>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</si>
  <si>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</si>
  <si>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</si>
  <si>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</si>
  <si>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</si>
  <si>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</si>
  <si>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</si>
  <si>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</si>
  <si>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</si>
  <si>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</si>
  <si>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</si>
  <si>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</si>
  <si>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</si>
  <si>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</si>
  <si>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</si>
  <si>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</si>
  <si>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</si>
  <si>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</si>
  <si>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</si>
  <si>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</si>
  <si>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</si>
  <si>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</si>
  <si>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</si>
  <si>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</si>
  <si>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</si>
  <si>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</si>
  <si>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</si>
  <si>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</si>
  <si>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</si>
  <si>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</si>
  <si>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</si>
  <si>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</si>
  <si>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</si>
  <si>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</si>
  <si>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</si>
  <si>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</si>
  <si>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</si>
  <si>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</si>
  <si>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</si>
  <si>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</si>
  <si>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</si>
  <si>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</si>
  <si>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</si>
  <si>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</si>
  <si>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</si>
  <si>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</si>
  <si>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</si>
  <si>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</si>
  <si>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</si>
  <si>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</si>
  <si>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</si>
  <si>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</si>
  <si>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</si>
  <si>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</si>
  <si>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</si>
  <si>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</si>
  <si>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</si>
  <si>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</si>
  <si>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</si>
  <si>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</si>
  <si>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</si>
  <si>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</si>
  <si>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</si>
  <si>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</si>
  <si>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</si>
  <si>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</si>
  <si>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</si>
  <si>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</si>
  <si>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</si>
  <si>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</si>
  <si>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</si>
  <si>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</si>
  <si>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</si>
  <si>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</si>
  <si>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</si>
  <si>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</si>
  <si>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</si>
  <si>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</si>
  <si>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</si>
  <si>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</si>
  <si>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</si>
  <si>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</si>
  <si>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</si>
  <si>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</si>
  <si>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</si>
  <si>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</si>
  <si>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</si>
  <si>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</si>
  <si>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</si>
  <si>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</si>
  <si>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</si>
  <si>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</si>
  <si>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</si>
  <si>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</si>
  <si>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</si>
  <si>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</si>
  <si>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</si>
  <si>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</si>
  <si>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</si>
  <si>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</si>
  <si>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</si>
  <si>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</si>
  <si>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</si>
  <si>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</si>
  <si>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</si>
  <si>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</si>
  <si>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</si>
  <si>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</si>
  <si>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</si>
  <si>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</si>
  <si>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</si>
  <si>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</si>
  <si>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</si>
  <si>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</si>
  <si>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</si>
  <si>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</si>
  <si>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</si>
  <si>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</si>
  <si>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</si>
  <si>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</si>
  <si>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</si>
  <si>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</si>
  <si>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</si>
  <si>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</si>
  <si>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</si>
  <si>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</si>
  <si>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</si>
  <si>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</si>
  <si>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</si>
  <si>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</si>
  <si>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</si>
  <si>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</si>
  <si>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</si>
  <si>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</si>
  <si>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</si>
  <si>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</si>
  <si>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</si>
  <si>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</si>
  <si>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</si>
  <si>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</si>
  <si>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</si>
  <si>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</si>
  <si>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</si>
  <si>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</si>
  <si>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</si>
  <si>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</si>
  <si>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</si>
  <si>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</si>
  <si>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</si>
  <si>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</si>
  <si>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</si>
  <si>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</si>
  <si>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</si>
  <si>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</si>
  <si>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</si>
  <si>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</si>
  <si>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</si>
  <si>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</si>
  <si>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</si>
  <si>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</si>
  <si>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</si>
  <si>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</si>
  <si>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</si>
  <si>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</si>
  <si>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</si>
  <si>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</si>
  <si>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</si>
  <si>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</si>
  <si>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</si>
  <si>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</si>
  <si>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</si>
  <si>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</si>
  <si>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</si>
  <si>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</si>
  <si>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</si>
  <si>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</si>
  <si>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</si>
  <si>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</si>
  <si>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</si>
  <si>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</si>
  <si>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</si>
  <si>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</si>
  <si>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</si>
  <si>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</si>
  <si>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</si>
  <si>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</si>
  <si>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</si>
  <si>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</si>
  <si>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</si>
  <si>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</si>
  <si>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</si>
  <si>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</si>
  <si>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</si>
  <si>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</si>
  <si>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</si>
  <si>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</si>
  <si>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</si>
  <si>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</si>
  <si>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</si>
  <si>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</si>
  <si>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</si>
  <si>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</si>
  <si>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</si>
  <si>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</si>
  <si>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</si>
  <si>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</si>
  <si>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</si>
  <si>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</si>
  <si>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</si>
  <si>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</si>
  <si>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</si>
  <si>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</si>
  <si>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</si>
  <si>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</si>
  <si>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</si>
  <si>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</si>
  <si>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</si>
  <si>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</si>
  <si>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</si>
  <si>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</si>
  <si>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</si>
  <si>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</si>
  <si>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</si>
  <si>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</si>
  <si>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</si>
  <si>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</si>
  <si>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</si>
  <si>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</si>
  <si>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</si>
  <si>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</si>
  <si>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</si>
  <si>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</si>
  <si>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</si>
  <si>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</si>
  <si>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</si>
  <si>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</si>
  <si>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</si>
  <si>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</si>
  <si>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</si>
  <si>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</si>
  <si>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</si>
  <si>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</si>
  <si>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</si>
  <si>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</si>
  <si>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</si>
  <si>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</si>
  <si>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</si>
  <si>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</si>
  <si>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</si>
  <si>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</si>
  <si>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</si>
  <si>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</si>
  <si>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</si>
  <si>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</si>
  <si>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</si>
  <si>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</si>
  <si>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</si>
  <si>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</si>
  <si>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</si>
  <si>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</si>
  <si>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</si>
  <si>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</si>
  <si>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</si>
  <si>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</si>
  <si>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</si>
  <si>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</si>
  <si>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</si>
  <si>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</si>
  <si>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</si>
  <si>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</si>
  <si>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</si>
  <si>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</si>
  <si>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</si>
  <si>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</si>
  <si>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</si>
  <si>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</si>
  <si>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</si>
  <si>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</si>
  <si>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</si>
  <si>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</si>
  <si>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</si>
  <si>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</si>
  <si>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</si>
  <si>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</si>
  <si>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</si>
  <si>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</si>
  <si>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</si>
  <si>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</si>
  <si>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</si>
  <si>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</si>
  <si>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</si>
  <si>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</si>
  <si>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</si>
  <si>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</si>
  <si>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</si>
  <si>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</si>
  <si>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</si>
  <si>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</si>
  <si>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</si>
  <si>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</si>
  <si>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</si>
  <si>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</si>
  <si>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</si>
  <si>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</si>
  <si>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</si>
  <si>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</si>
  <si>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</si>
  <si>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</si>
  <si>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</si>
  <si>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</si>
  <si>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</si>
  <si>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</si>
  <si>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</si>
  <si>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</si>
  <si>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</si>
  <si>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</si>
  <si>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</si>
  <si>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</si>
  <si>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</si>
  <si>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</si>
  <si>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</si>
  <si>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</si>
  <si>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</si>
  <si>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</si>
  <si>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</si>
  <si>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</si>
  <si>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</si>
  <si>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</si>
  <si>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</si>
  <si>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</si>
  <si>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</si>
  <si>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</si>
  <si>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</si>
  <si>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</si>
  <si>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</si>
  <si>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</si>
  <si>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</si>
  <si>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</si>
  <si>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</si>
  <si>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</si>
  <si>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</si>
  <si>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</si>
  <si>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</si>
  <si>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</si>
  <si>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</si>
  <si>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</si>
  <si>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</si>
  <si>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</si>
  <si>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</si>
  <si>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</si>
  <si>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</si>
  <si>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</si>
  <si>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</si>
  <si>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</si>
  <si>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</si>
  <si>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</si>
  <si>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</si>
  <si>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</si>
  <si>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</si>
  <si>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</si>
  <si>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</si>
  <si>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</si>
  <si>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</si>
  <si>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</si>
  <si>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</si>
  <si>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</si>
  <si>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</si>
  <si>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</si>
  <si>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</si>
  <si>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</si>
  <si>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</si>
  <si>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</si>
  <si>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</si>
  <si>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</si>
  <si>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</si>
  <si>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</si>
  <si>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</si>
  <si>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</si>
  <si>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</si>
  <si>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</si>
  <si>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</si>
  <si>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</si>
  <si>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</si>
  <si>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</si>
  <si>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</si>
  <si>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</si>
  <si>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</si>
  <si>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</si>
  <si>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</si>
  <si>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</si>
  <si>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</si>
  <si>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</si>
  <si>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</si>
  <si>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</si>
  <si>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</si>
  <si>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</si>
  <si>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</si>
  <si>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</si>
  <si>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</si>
  <si>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</si>
  <si>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</si>
  <si>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</si>
  <si>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</si>
  <si>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</si>
  <si>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</si>
  <si>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</si>
  <si>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</si>
  <si>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</si>
  <si>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</si>
  <si>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</si>
  <si>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</si>
  <si>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</si>
  <si>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</si>
  <si>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</si>
  <si>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</si>
  <si>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</si>
  <si>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</si>
  <si>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</si>
  <si>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</si>
  <si>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</si>
  <si>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</si>
  <si>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</si>
  <si>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</si>
  <si>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</si>
  <si>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</si>
  <si>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</si>
  <si>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</si>
  <si>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</si>
  <si>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</si>
  <si>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</si>
  <si>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</si>
  <si>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</si>
  <si>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</si>
  <si>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</si>
  <si>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</si>
  <si>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</si>
  <si>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</si>
  <si>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</si>
  <si>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</si>
  <si>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</si>
  <si>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</si>
  <si>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</si>
  <si>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</si>
  <si>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</si>
  <si>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</si>
  <si>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</si>
  <si>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</si>
  <si>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</si>
  <si>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</si>
  <si>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</si>
  <si>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</si>
  <si>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</si>
  <si>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</si>
  <si>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</si>
  <si>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</si>
  <si>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</si>
  <si>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</si>
  <si>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</si>
  <si>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</si>
  <si>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</si>
  <si>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</si>
  <si>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</si>
  <si>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</si>
  <si>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</si>
  <si>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</si>
  <si>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</si>
  <si>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</si>
  <si>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</si>
  <si>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</si>
  <si>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</si>
  <si>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</si>
  <si>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</si>
  <si>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</si>
  <si>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</si>
  <si>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</si>
  <si>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</si>
  <si>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</si>
  <si>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</si>
  <si>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</si>
  <si>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</si>
  <si>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</si>
  <si>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</si>
  <si>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</si>
  <si>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</si>
  <si>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</si>
  <si>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</si>
  <si>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</si>
  <si>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</si>
  <si>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</si>
  <si>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</si>
  <si>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</si>
  <si>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</si>
  <si>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</si>
  <si>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</si>
  <si>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</si>
  <si>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</si>
  <si>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</si>
  <si>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</si>
  <si>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</si>
  <si>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</si>
  <si>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</si>
  <si>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</si>
  <si>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</si>
  <si>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</si>
  <si>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</si>
  <si>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</si>
  <si>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</si>
  <si>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</si>
  <si>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</si>
  <si>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</si>
  <si>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</si>
  <si>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</si>
  <si>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</si>
  <si>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</si>
  <si>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</si>
  <si>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</si>
  <si>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</si>
  <si>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</si>
  <si>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</si>
  <si>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</si>
  <si>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</si>
  <si>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</si>
  <si>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</si>
  <si>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</si>
  <si>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</si>
  <si>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</si>
  <si>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</si>
  <si>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</si>
  <si>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</si>
  <si>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</si>
  <si>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</si>
  <si>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</si>
  <si>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</si>
  <si>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</si>
  <si>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</si>
  <si>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</si>
  <si>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</si>
  <si>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</si>
  <si>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</si>
  <si>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</si>
  <si>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</si>
  <si>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</si>
  <si>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</si>
  <si>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</si>
  <si>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</si>
  <si>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</si>
  <si>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</si>
  <si>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</si>
  <si>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</si>
  <si>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</si>
  <si>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</si>
  <si>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</si>
  <si>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</si>
  <si>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</si>
  <si>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</si>
  <si>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</si>
  <si>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</si>
  <si>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</si>
  <si>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</si>
  <si>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</si>
  <si>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</si>
  <si>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</si>
  <si>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</si>
  <si>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</si>
  <si>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</si>
  <si>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</si>
  <si>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</si>
  <si>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</si>
  <si>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</si>
  <si>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</si>
  <si>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</si>
  <si>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</si>
  <si>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</si>
  <si>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</si>
  <si>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</si>
  <si>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</si>
  <si>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</si>
  <si>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</si>
  <si>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</si>
  <si>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</si>
  <si>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</si>
  <si>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</si>
  <si>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</si>
  <si>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</si>
  <si>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</si>
  <si>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</si>
  <si>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</si>
  <si>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</si>
  <si>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</si>
  <si>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</si>
  <si>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</si>
  <si>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</si>
  <si>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</si>
  <si>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</si>
  <si>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</si>
  <si>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</si>
  <si>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</si>
  <si>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</si>
  <si>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</si>
  <si>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</si>
  <si>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</si>
  <si>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</si>
  <si>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</si>
  <si>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</si>
  <si>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</si>
  <si>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</si>
  <si>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</si>
  <si>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</si>
  <si>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</si>
  <si>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</si>
  <si>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</si>
  <si>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</si>
  <si>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</si>
  <si>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</si>
  <si>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</si>
  <si>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</si>
  <si>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</si>
  <si>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</si>
  <si>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</si>
  <si>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</si>
  <si>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</si>
  <si>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</si>
  <si>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</si>
  <si>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</si>
  <si>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</si>
  <si>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</si>
  <si>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</si>
  <si>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</si>
  <si>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</si>
  <si>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</si>
  <si>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</si>
  <si>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</si>
  <si>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</si>
  <si>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</si>
  <si>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</si>
  <si>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</si>
  <si>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</si>
  <si>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</si>
  <si>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</si>
  <si>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</si>
  <si>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</si>
  <si>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</si>
  <si>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</si>
  <si>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</si>
  <si>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</si>
  <si>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</si>
  <si>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</si>
  <si>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</si>
  <si>
    <t>Missing Count</t>
  </si>
  <si>
    <t>Action</t>
  </si>
  <si>
    <t>Impute with median (4.0) or create “Not Reviewed” category</t>
  </si>
  <si>
    <t>Impute using most frequent category (“F”), or predict based on name if available</t>
  </si>
  <si>
    <t>Column Name</t>
  </si>
  <si>
    <t>Recommendation:</t>
  </si>
  <si>
    <t>review_score →</t>
  </si>
  <si>
    <t xml:space="preserve"> fill missing with median = 4.0</t>
  </si>
  <si>
    <t>gender →</t>
  </si>
  <si>
    <t xml:space="preserve"> fill missing with mode (“F”) or keep as “Unknown” category for fairness</t>
  </si>
  <si>
    <t>Duplicate Check</t>
  </si>
  <si>
    <t>Metric</t>
  </si>
  <si>
    <t>Value</t>
  </si>
  <si>
    <t>Total Rows</t>
  </si>
  <si>
    <t>Duplicate Rows</t>
  </si>
  <si>
    <t>Outlier Detection</t>
  </si>
  <si>
    <t>Checked Numerical Columns</t>
  </si>
  <si>
    <t>Quantity</t>
  </si>
  <si>
    <t>Price</t>
  </si>
  <si>
    <t>Age</t>
  </si>
  <si>
    <t>Review_score</t>
  </si>
  <si>
    <t>Feature</t>
  </si>
  <si>
    <t>Notes</t>
  </si>
  <si>
    <t>Range 1–5 → reasonable, no outliers</t>
  </si>
  <si>
    <t>Range 10.7–499.5 → aligned with consumer goods pricing</t>
  </si>
  <si>
    <t>Range 18–75 → realistic customer demographic</t>
  </si>
  <si>
    <t>1–5 → valid rating scale</t>
  </si>
  <si>
    <t>No statistically unusual extreme outliers detected</t>
  </si>
  <si>
    <t>No removal needed for now</t>
  </si>
  <si>
    <t>Description</t>
  </si>
  <si>
    <t>Type</t>
  </si>
  <si>
    <t>Transformations Needed</t>
  </si>
  <si>
    <t>Unique customer identifier</t>
  </si>
  <si>
    <t>int</t>
  </si>
  <si>
    <t>None</t>
  </si>
  <si>
    <t>Date of purchase</t>
  </si>
  <si>
    <t>object → datetime</t>
  </si>
  <si>
    <t>Convert to datetime</t>
  </si>
  <si>
    <t>Unique product identifier</t>
  </si>
  <si>
    <t>Category ID</t>
  </si>
  <si>
    <t>Product category label</t>
  </si>
  <si>
    <t>object</t>
  </si>
  <si>
    <t>Product label</t>
  </si>
  <si>
    <t>Units bought</t>
  </si>
  <si>
    <t>Unit price</t>
  </si>
  <si>
    <t>float</t>
  </si>
  <si>
    <t>Payment type</t>
  </si>
  <si>
    <t>Standardize values if needed</t>
  </si>
  <si>
    <t>Customer location</t>
  </si>
  <si>
    <t>Customer rating (1–5)</t>
  </si>
  <si>
    <t>Impute missing w/ median</t>
  </si>
  <si>
    <t>Gender of customer</t>
  </si>
  <si>
    <t>Impute missing as “Unknown”</t>
  </si>
  <si>
    <t>Age of customer</t>
  </si>
  <si>
    <t>Data Quality Issues &amp; Fix Strategy</t>
  </si>
  <si>
    <t>Issue</t>
  </si>
  <si>
    <t>Root Cause</t>
  </si>
  <si>
    <t>Fix</t>
  </si>
  <si>
    <t>Missing review_score</t>
  </si>
  <si>
    <t>Not all customers left reviews</t>
  </si>
  <si>
    <t>Replace NA with median (4.0)</t>
  </si>
  <si>
    <t>Missing gender</t>
  </si>
  <si>
    <t>User didn’t fill profile info</t>
  </si>
  <si>
    <t>Label as “Unknown”</t>
  </si>
  <si>
    <t>order_date stored as text</t>
  </si>
  <si>
    <t>Incorrect data type</t>
  </si>
  <si>
    <t>Convert to datetime for sorting &amp; EDA</t>
  </si>
  <si>
    <t>Data Dictionary + Transformations</t>
  </si>
  <si>
    <t>Total Revenue</t>
  </si>
  <si>
    <t>Calculate Profit</t>
  </si>
  <si>
    <t>Cost = 70% of selling price</t>
  </si>
  <si>
    <t>Profit Margin = 30%</t>
  </si>
  <si>
    <t>Average Order Value (AOV)</t>
  </si>
  <si>
    <t>Total Profit</t>
  </si>
  <si>
    <t>Monthly Sales Trend</t>
  </si>
  <si>
    <t>Row Labels</t>
  </si>
  <si>
    <t>Grand Total</t>
  </si>
  <si>
    <t>Sum of Total Revenue</t>
  </si>
  <si>
    <t>&lt;3/19/2024</t>
  </si>
  <si>
    <t>2024</t>
  </si>
  <si>
    <t>2025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</si>
  <si>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</si>
  <si>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</si>
  <si>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</si>
  <si>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</si>
  <si>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</si>
  <si>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</si>
  <si>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</si>
  <si>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</si>
  <si>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</si>
  <si>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</si>
  <si>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</si>
  <si>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</si>
  <si>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Top Categories</t>
  </si>
  <si>
    <t>Top Products</t>
  </si>
  <si>
    <t>Age Group</t>
  </si>
  <si>
    <t>18-30</t>
  </si>
  <si>
    <t>31-45</t>
  </si>
  <si>
    <t>46-60</t>
  </si>
  <si>
    <t>60+</t>
  </si>
  <si>
    <t>Segment customers by Age Group</t>
  </si>
  <si>
    <t>Segment customers by Gender</t>
  </si>
  <si>
    <t>Segment customers by City</t>
  </si>
  <si>
    <t>Total Revenue($)</t>
  </si>
  <si>
    <t>Calculate Profit($)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</si>
</sst>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0" fontId="0" fillId="0" borderId="0" xfId="0" applyAlignment="1">
      <alignment horizontal="left" vertical="center" inden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/>
    <xf numFmtId="0" fontId="16" fillId="0" borderId="14" xfId="0" applyFont="1" applyBorder="1"/>
    <xf numFmtId="164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/>
    <xf numFmtId="0" fontId="16" fillId="33" borderId="0" xfId="0" applyFont="1" applyFill="1"/>
    <xf numFmtId="0" fontId="0" fillId="33" borderId="0" xfId="0" applyFill="1"/>
    <xf numFmtId="164" fontId="0" fillId="0" borderId="0" xfId="0" applyNumberFormat="1"/>
    <xf numFmtId="165" fontId="0" fillId="0" borderId="10" xfId="43" applyNumberFormat="1" applyFont="1" applyBorder="1"/>
    <xf numFmtId="165" fontId="0" fillId="0" borderId="0" xfId="43" applyNumberFormat="1" applyFont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650031FB-0353-44DA-A300-374F894F65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[online_retail_data.xlsx]Exploratory Data Analysis (EDA)!PivotTable2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Monthly Sales Trends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Data Analysis (EDA)'!$V$4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'Exploratory Data Analysis (EDA)'!$U$5:$U$22</c:f>
              <c:multiLvlStrCache>
                <c:ptCount val="14"/>
                <c:lvl>
                  <c:pt idx="0">
                    <c:v>&lt;3/19/2024</c:v>
                  </c:pt>
                  <c:pt idx="1">
                    <c:v>Mar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</c:lvl>
                <c:lvl>
                  <c:pt idx="0">
                    <c:v>&lt;3/19/2024</c:v>
                  </c:pt>
                  <c:pt idx="1">
                    <c:v>2024</c:v>
                  </c:pt>
                  <c:pt idx="11">
                    <c:v>2025</c:v>
                  </c:pt>
                </c:lvl>
              </c:multiLvlStrCache>
            </c:multiLvlStrRef>
          </c:cat>
          <c:val>
            <c:numRef>
              <c:f>'Exploratory Data Analysis (EDA)'!$V$5:$V$22</c:f>
              <c:numCache>
                <c:formatCode>General</c:formatCode>
                <c:ptCount val="14"/>
                <c:pt idx="1">
                  <c:v>30620.98</c:v>
                </c:pt>
                <c:pt idx="2">
                  <c:v>50375.399999999987</c:v>
                </c:pt>
                <c:pt idx="3">
                  <c:v>61448.18</c:v>
                </c:pt>
                <c:pt idx="4">
                  <c:v>59127.399999999994</c:v>
                </c:pt>
                <c:pt idx="5">
                  <c:v>57939.859999999993</c:v>
                </c:pt>
                <c:pt idx="6">
                  <c:v>79070.119999999981</c:v>
                </c:pt>
                <c:pt idx="7">
                  <c:v>69323.09</c:v>
                </c:pt>
                <c:pt idx="8">
                  <c:v>55328.98000000001</c:v>
                </c:pt>
                <c:pt idx="9">
                  <c:v>55404.740000000013</c:v>
                </c:pt>
                <c:pt idx="10">
                  <c:v>78432.940000000017</c:v>
                </c:pt>
                <c:pt idx="11">
                  <c:v>60210.83</c:v>
                </c:pt>
                <c:pt idx="12">
                  <c:v>48826.040000000008</c:v>
                </c:pt>
                <c:pt idx="13">
                  <c:v>31218.320000000003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ABF-B626-D292D126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071120"/>
        <c:axId val="422080240"/>
      </c:lineChart>
      <c:catAx>
        <c:axId val="4220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80240"/>
        <c:crosses val="autoZero"/>
        <c:auto val="1"/>
        <c:lblAlgn val="ctr"/>
        <c:lblOffset val="100"/>
        <c:noMultiLvlLbl val="0"/>
      </c:catAx>
      <c:valAx>
        <c:axId val="4220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7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222693</xdr:colOff>
      <xdr:row>1</xdr:row>
      <xdr:rowOff>160834</xdr:rowOff>
    </xdr:from>
    <xdr:to>
      <xdr:col>32</xdr:col>
      <xdr:colOff>175345</xdr:colOff>
      <xdr:row>18</xdr:row>
      <xdr:rowOff>128513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E6EBB3-22B2-5473-14DA-5DFC42F0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001.893234027775" createdVersion="8" refreshedVersion="8" minRefreshableVersion="3" recordCount="1001" xr:uid="{03C71B06-C390-494D-837A-0F73B4559545}">
  <cacheSource type="worksheet">
    <worksheetSource ref="A1:O1048576" sheet="Exploratory Data Analysis (EDA)"/>
  </cacheSource>
  <cacheFields count="17">
    <cacheField name="customer_id" numFmtId="0">
      <sharedItems containsString="0" containsBlank="1" containsNumber="1" containsInteger="1" minValue="10201" maxValue="99923"/>
    </cacheField>
    <cacheField name="order_date" numFmtId="0">
      <sharedItems containsNonDate="0" containsDate="1" containsString="0" containsBlank="1" minDate="2024-03-19T00:00:00" maxDate="2025-03-20T00:00:00" count="343"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5T00:00:00"/>
        <d v="2024-04-26T00:00:00"/>
        <d v="2024-04-27T00:00:00"/>
        <d v="2024-04-28T00:00:00"/>
        <d v="2024-04-30T00:00:00"/>
        <d v="2024-05-01T00:00:00"/>
        <d v="2024-05-02T00:00:00"/>
        <d v="2024-05-03T00:00:00"/>
        <d v="2024-05-04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4T00:00:00"/>
        <d v="2024-09-05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3T00:00:00"/>
        <d v="2025-01-04T00:00:00"/>
        <d v="2025-01-05T00:00:00"/>
        <d v="2025-01-06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6T00:00:00"/>
        <d v="2025-03-17T00:00:00"/>
        <d v="2025-03-18T00:00:00"/>
        <d v="2025-03-19T00:00:00"/>
        <m/>
      </sharedItems>
      <fieldGroup par="16"/>
    </cacheField>
    <cacheField name="product_id" numFmtId="0">
      <sharedItems containsString="0" containsBlank="1" containsNumber="1" containsInteger="1" minValue="100" maxValue="995"/>
    </cacheField>
    <cacheField name="category_id" numFmtId="0">
      <sharedItems containsString="0" containsBlank="1" containsNumber="1" containsInteger="1" minValue="10" maxValue="50"/>
    </cacheField>
    <cacheField name="category_name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price" numFmtId="0">
      <sharedItems containsString="0" containsBlank="1" containsNumber="1" minValue="10.72" maxValue="499.5"/>
    </cacheField>
    <cacheField name="payment_method" numFmtId="0">
      <sharedItems containsBlank="1"/>
    </cacheField>
    <cacheField name="city" numFmtId="0">
      <sharedItems containsBlank="1"/>
    </cacheField>
    <cacheField name="review_score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75"/>
    </cacheField>
    <cacheField name="Total Revenue" numFmtId="0">
      <sharedItems containsString="0" containsBlank="1" containsNumber="1" minValue="20.84" maxValue="2437.6499999999996"/>
    </cacheField>
    <cacheField name="Calculate Profit" numFmtId="0">
      <sharedItems containsString="0" containsBlank="1" containsNumber="1" minValue="6.2519999999999998" maxValue="731.29499999999985"/>
    </cacheField>
    <cacheField name="Months (order_date)" numFmtId="0" databaseField="0">
      <fieldGroup base="1">
        <rangePr groupBy="months" startDate="2024-03-19T00:00:00" endDate="2025-03-20T00:00:00"/>
        <groupItems count="14">
          <s v="&lt;3/1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0/2025"/>
        </groupItems>
      </fieldGroup>
    </cacheField>
    <cacheField name="Years (order_date)" numFmtId="0" databaseField="0">
      <fieldGroup base="1">
        <rangePr groupBy="years" startDate="2024-03-19T00:00:00" endDate="2025-03-20T00:00:00"/>
        <groupItems count="4">
          <s v="&lt;3/19/2024"/>
          <s v="2024"/>
          <s v="2025"/>
          <s v="&gt;3/2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idscape Solutions" refreshedDate="46001.901964351855" createdVersion="8" refreshedVersion="8" minRefreshableVersion="3" recordCount="1001" xr:uid="{ADF3FBDD-69C1-48BA-B64F-8FB8A842201D}">
  <cacheSource type="worksheet">
    <worksheetSource ref="A1:P1048576" sheet="Segment customers"/>
  </cacheSource>
  <cacheFields count="16">
    <cacheField name="customer_id" numFmtId="0">
      <sharedItems containsString="0" containsBlank="1" containsNumber="1" containsInteger="1" minValue="10201" maxValue="99923"/>
    </cacheField>
    <cacheField name="order_date" numFmtId="0">
      <sharedItems containsNonDate="0" containsDate="1" containsString="0" containsBlank="1" minDate="2024-03-19T00:00:00" maxDate="2025-03-20T00:00:00"/>
    </cacheField>
    <cacheField name="product_id" numFmtId="0">
      <sharedItems containsString="0" containsBlank="1" containsNumber="1" containsInteger="1" minValue="100" maxValue="995"/>
    </cacheField>
    <cacheField name="category_id" numFmtId="0">
      <sharedItems containsString="0" containsBlank="1" containsNumber="1" containsInteger="1" minValue="10" maxValue="50"/>
    </cacheField>
    <cacheField name="category_name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price" numFmtId="0">
      <sharedItems containsString="0" containsBlank="1" containsNumber="1" minValue="10.72" maxValue="499.5"/>
    </cacheField>
    <cacheField name="payment_method" numFmtId="0">
      <sharedItems containsBlank="1"/>
    </cacheField>
    <cacheField name="city" numFmtId="0">
      <sharedItems containsBlank="1" count="963">
        <s v="Fullerland"/>
        <s v="East Maryland"/>
        <s v="Lake Triciaburgh"/>
        <s v="Peterston"/>
        <s v="North Thomas"/>
        <s v="Katherineview"/>
        <s v="Vasquezmouth"/>
        <s v="Michaelside"/>
        <s v="Port Melissa"/>
        <s v="South Wanda"/>
        <s v="Parkerfurt"/>
        <s v="Webbfort"/>
        <s v="Julieborough"/>
        <s v="Edwardview"/>
        <s v="Scottville"/>
        <s v="Mendezburgh"/>
        <s v="South William"/>
        <s v="South Veronica"/>
        <s v="West Krista"/>
        <s v="New Felicia"/>
        <s v="Joshuamouth"/>
        <s v="Danielton"/>
        <s v="South Michael"/>
        <s v="Jacobfurt"/>
        <s v="Austinbury"/>
        <s v="South Anthony"/>
        <s v="West Molly"/>
        <s v="Adamsfort"/>
        <s v="New Mindymouth"/>
        <s v="New Isaacmouth"/>
        <s v="Port Jordan"/>
        <s v="Kevinland"/>
        <s v="Port Justinbury"/>
        <s v="Martinburgh"/>
        <s v="Williamsfort"/>
        <s v="Simonfort"/>
        <s v="Port Sandra"/>
        <s v="Anthonyville"/>
        <s v="Cynthiaport"/>
        <s v="West Reginaldbury"/>
        <s v="Port Kenneth"/>
        <s v="Davidton"/>
        <s v="North Marissa"/>
        <s v="South Anthonyfurt"/>
        <s v="Walkerland"/>
        <s v="Port Jeffrey"/>
        <s v="Lake Sethfurt"/>
        <s v="Martineztown"/>
        <s v="Jasontown"/>
        <s v="East Matthew"/>
        <s v="Maxwellhaven"/>
        <s v="East Dawn"/>
        <s v="Jennifermouth"/>
        <s v="North Donna"/>
        <s v="New David"/>
        <s v="West Alicia"/>
        <s v="Lake Tinahaven"/>
        <s v="West Elizabethbury"/>
        <s v="North Alexis"/>
        <s v="Annaborough"/>
        <s v="East Kristen"/>
        <s v="Douglasport"/>
        <s v="Port Johnport"/>
        <s v="Connerburgh"/>
        <s v="Kathleenton"/>
        <s v="Lake Nicholas"/>
        <s v="West Geraldhaven"/>
        <s v="North Davidchester"/>
        <s v="Michaelchester"/>
        <s v="West Rogerberg"/>
        <s v="Huntberg"/>
        <s v="Lake Ian"/>
        <s v="Morrisport"/>
        <s v="Fishertown"/>
        <s v="Johnnyton"/>
        <s v="Wrightfort"/>
        <s v="West Jerome"/>
        <s v="North Jonathanborough"/>
        <s v="Michaelfurt"/>
        <s v="North Matthew"/>
        <s v="Lake Catherine"/>
        <s v="Ramirezmouth"/>
        <s v="Johnnystad"/>
        <s v="Taylorland"/>
        <s v="Port Maxwell"/>
        <s v="Thomastown"/>
        <s v="Crosbyfort"/>
        <s v="Williamton"/>
        <s v="Huffmanshire"/>
        <s v="Greenborough"/>
        <s v="West Rebekahland"/>
        <s v="Lake Jasmineport"/>
        <s v="Jensenstad"/>
        <s v="Cameronside"/>
        <s v="Garciamouth"/>
        <s v="South Coltonport"/>
        <s v="East Lisaview"/>
        <s v="Rachelland"/>
        <s v="Ericfurt"/>
        <s v="Lake Jason"/>
        <s v="Jeffreyville"/>
        <s v="Robertton"/>
        <s v="Douglashaven"/>
        <s v="Lake Scottfurt"/>
        <s v="Williamston"/>
        <s v="Gonzalesside"/>
        <s v="South Becky"/>
        <s v="Loribury"/>
        <s v="South Donna"/>
        <s v="Henryborough"/>
        <s v="Raytown"/>
        <s v="Ronaldborough"/>
        <s v="South Lauramouth"/>
        <s v="South Carolynchester"/>
        <s v="Lake Linda"/>
        <s v="Port Thomaston"/>
        <s v="Reedside"/>
        <s v="East Loretta"/>
        <s v="Jasonfort"/>
        <s v="North Kathryn"/>
        <s v="Colemanmouth"/>
        <s v="Amyhaven"/>
        <s v="Lake Jennifer"/>
        <s v="Montgomeryberg"/>
        <s v="Robertsbury"/>
        <s v="Lake Kimberlyburgh"/>
        <s v="South Edgartown"/>
        <s v="Taylorview"/>
        <s v="Brownbury"/>
        <s v="Dukeborough"/>
        <s v="Reidville"/>
        <s v="Hodgemouth"/>
        <s v="Sanchezborough"/>
        <s v="Shawnburgh"/>
        <s v="Millerhaven"/>
        <s v="West Daniel"/>
        <s v="Port Kellyview"/>
        <s v="West Joshuahaven"/>
        <s v="Shanetown"/>
        <s v="South Brianna"/>
        <s v="Jenkinshaven"/>
        <s v="Brendaton"/>
        <s v="New Amy"/>
        <s v="South Shanehaven"/>
        <s v="Port Andre"/>
        <s v="Rosebury"/>
        <s v="Guzmanside"/>
        <s v="Snyderborough"/>
        <s v="East Corytown"/>
        <s v="Garrisonberg"/>
        <s v="East Daniel"/>
        <s v="West Stevenburgh"/>
        <s v="South Huntermouth"/>
        <s v="West Thomas"/>
        <s v="Sarahtown"/>
        <s v="West Robertmouth"/>
        <s v="South Thomasmouth"/>
        <s v="Mejiahaven"/>
        <s v="Martinside"/>
        <s v="Cassandramouth"/>
        <s v="Garciaville"/>
        <s v="Donaldhaven"/>
        <s v="Port Christopherbury"/>
        <s v="Lake Mallory"/>
        <s v="West Michellemouth"/>
        <s v="Smithville"/>
        <s v="Port Richardfurt"/>
        <s v="Port Jeremyfurt"/>
        <s v="Kathleenview"/>
        <s v="North Stevenshire"/>
        <s v="Allisonland"/>
        <s v="Calebmouth"/>
        <s v="New Melissa"/>
        <s v="South Robert"/>
        <s v="Levyport"/>
        <s v="Michellebury"/>
        <s v="Brayfurt"/>
        <s v="Francofort"/>
        <s v="Port Marvinmouth"/>
        <s v="Lake Nancy"/>
        <s v="Mccallhaven"/>
        <s v="East Justin"/>
        <s v="Nancytown"/>
        <s v="Kruegerton"/>
        <s v="Justinport"/>
        <s v="North Stevenborough"/>
        <s v="Vickimouth"/>
        <s v="Lake Gabriella"/>
        <s v="Jamesmouth"/>
        <s v="Jamesfort"/>
        <s v="East Christopherfurt"/>
        <s v="New Edwardville"/>
        <s v="Rebeccaborough"/>
        <s v="Devonmouth"/>
        <s v="Adamsbury"/>
        <s v="New Kyle"/>
        <s v="West Patriciachester"/>
        <s v="East Hannahhaven"/>
        <s v="New Donnatown"/>
        <s v="Meyerchester"/>
        <s v="Port Christopher"/>
        <s v="New Carolfort"/>
        <s v="Port Patriciashire"/>
        <s v="Georgeville"/>
        <s v="North Dana"/>
        <s v="Lake Matthew"/>
        <s v="Garzaport"/>
        <s v="Shawnview"/>
        <s v="Pettymouth"/>
        <s v="Port Matthew"/>
        <s v="Paulberg"/>
        <s v="Joshuastad"/>
        <s v="Scottburgh"/>
        <s v="Christinaview"/>
        <s v="West Amanda"/>
        <s v="Benjaminburgh"/>
        <s v="Stacieberg"/>
        <s v="Osborneland"/>
        <s v="North Bradleymouth"/>
        <s v="East Mariebury"/>
        <s v="North Christinaview"/>
        <s v="North Angela"/>
        <s v="West Timothy"/>
        <s v="Rossview"/>
        <s v="North Jessicabury"/>
        <s v="Port Denisemouth"/>
        <s v="Gregoryview"/>
        <s v="Lake Rhondatown"/>
        <s v="Port Edward"/>
        <s v="Brownshire"/>
        <s v="Port Jenniferchester"/>
        <s v="West Charlestown"/>
        <s v="Wendyborough"/>
        <s v="Simpsonshire"/>
        <s v="Port Joseph"/>
        <s v="Lisafurt"/>
        <s v="Markton"/>
        <s v="Robertmouth"/>
        <s v="North Heatherborough"/>
        <s v="Port Ashleyview"/>
        <s v="Frankbury"/>
        <s v="Bryceland"/>
        <s v="Connerstad"/>
        <s v="Webbburgh"/>
        <s v="Garzachester"/>
        <s v="Johnmouth"/>
        <s v="Hobbston"/>
        <s v="Wesleyborough"/>
        <s v="Port Briana"/>
        <s v="Hughesmouth"/>
        <s v="East Michaelborough"/>
        <s v="Edwardstad"/>
        <s v="Nguyenfort"/>
        <s v="Bradleyview"/>
        <s v="Lake Sharonstad"/>
        <s v="Rodgersfurt"/>
        <s v="Clayfort"/>
        <s v="Lake Jillton"/>
        <s v="North Erikbury"/>
        <s v="Spencerside"/>
        <s v="Nguyenmouth"/>
        <s v="Riveraview"/>
        <s v="East Carlos"/>
        <s v="Charlesview"/>
        <s v="Coxfurt"/>
        <s v="Schroederland"/>
        <s v="South Jacquelineside"/>
        <s v="Popeport"/>
        <s v="South Jeffrey"/>
        <s v="Lake Anne"/>
        <s v="South Jimmyland"/>
        <s v="Lewisfort"/>
        <s v="Melanieberg"/>
        <s v="Denisefurt"/>
        <s v="Traciburgh"/>
        <s v="South Omarport"/>
        <s v="New Terri"/>
        <s v="West Louis"/>
        <s v="East David"/>
        <s v="Curtisshire"/>
        <s v="South Christopherburgh"/>
        <s v="East Blakeborough"/>
        <s v="Port Kimberlymouth"/>
        <s v="North Mary"/>
        <s v="Lake Kristy"/>
        <s v="Derekside"/>
        <s v="Lauraberg"/>
        <s v="Brooksfort"/>
        <s v="Hickmanside"/>
        <s v="Kathrynton"/>
        <s v="Patriciaberg"/>
        <s v="Webermouth"/>
        <s v="Ashleyfort"/>
        <s v="Joshuaton"/>
        <s v="New Jose"/>
        <s v="North Johnny"/>
        <s v="New Rhondaborough"/>
        <s v="Andreatown"/>
        <s v="East Ana"/>
        <s v="Hardingfort"/>
        <s v="Port Jackview"/>
        <s v="Roychester"/>
        <s v="Lake Jessefort"/>
        <s v="Kennethfort"/>
        <s v="Port Hectorbury"/>
        <s v="South Lauren"/>
        <s v="Veronicaland"/>
        <s v="South Kristi"/>
        <s v="Port George"/>
        <s v="East Alexandriashire"/>
        <s v="West Alexfort"/>
        <s v="Eddiefurt"/>
        <s v="East Ericview"/>
        <s v="West Jesus"/>
        <s v="Tiffanyport"/>
        <s v="West Deanna"/>
        <s v="Port Robertchester"/>
        <s v="Holtbury"/>
        <s v="Karenstad"/>
        <s v="West Reginald"/>
        <s v="Shawberg"/>
        <s v="Whitakerview"/>
        <s v="Lake Brentfurt"/>
        <s v="New Dylan"/>
        <s v="Simmonsview"/>
        <s v="South Luishaven"/>
        <s v="Aliciaberg"/>
        <s v="East Kimberlyshire"/>
        <s v="South Matthewburgh"/>
        <s v="West Richard"/>
        <s v="West April"/>
        <s v="Popeview"/>
        <s v="Sellersland"/>
        <s v="Pierceport"/>
        <s v="Penningtonberg"/>
        <s v="Romerostad"/>
        <s v="East Johnton"/>
        <s v="North Jamesside"/>
        <s v="Butlerton"/>
        <s v="Bridgetchester"/>
        <s v="Andersonside"/>
        <s v="Wrightport"/>
        <s v="South Jerry"/>
        <s v="East Robert"/>
        <s v="Lake Emilymouth"/>
        <s v="Lake Ellen"/>
        <s v="Lake Michael"/>
        <s v="Lake Alexandriachester"/>
        <s v="Lake Sara"/>
        <s v="Port Taraburgh"/>
        <s v="Davidborough"/>
        <s v="Woodshaven"/>
        <s v="Trevinoland"/>
        <s v="West Carlosberg"/>
        <s v="New Raymond"/>
        <s v="Cindyberg"/>
        <s v="East Sarah"/>
        <s v="Port Danielleview"/>
        <s v="North Lisafort"/>
        <s v="North Nancyville"/>
        <s v="Michaelstad"/>
        <s v="Johnland"/>
        <s v="Phillipsport"/>
        <s v="Matthewmouth"/>
        <s v="Shawmouth"/>
        <s v="Jamesland"/>
        <s v="Lunafort"/>
        <s v="Joshuafort"/>
        <s v="Christopherport"/>
        <s v="Scottmouth"/>
        <s v="South Ashleyshire"/>
        <s v="Kurtmouth"/>
        <s v="Blakeshire"/>
        <s v="Valerieview"/>
        <s v="West Mariaton"/>
        <s v="Sherylfort"/>
        <s v="Phillipsborough"/>
        <s v="East Andrew"/>
        <s v="South Elizabeth"/>
        <s v="Cantumouth"/>
        <s v="East Jason"/>
        <s v="West Justinburgh"/>
        <s v="Lake Rachaelside"/>
        <s v="Lake Williamfort"/>
        <s v="Alvaradoborough"/>
        <s v="Lake Sarah"/>
        <s v="Lake John"/>
        <s v="North Jennifer"/>
        <s v="Jeffreyview"/>
        <s v="New Amyfurt"/>
        <s v="Port Alexanderton"/>
        <s v="Cassandraville"/>
        <s v="Port Timothyshire"/>
        <s v="Sheltonmouth"/>
        <s v="Brandichester"/>
        <s v="Michellefort"/>
        <s v="East William"/>
        <s v="Marieborough"/>
        <s v="Mendozatown"/>
        <s v="South Antonioton"/>
        <s v="Port Matthewfort"/>
        <s v="Pughton"/>
        <s v="North James"/>
        <s v="Lake Loristad"/>
        <s v="Martinezview"/>
        <s v="South Scott"/>
        <s v="South Caroline"/>
        <s v="Port Michelle"/>
        <s v="Bakerburgh"/>
        <s v="Rachelburgh"/>
        <s v="West Michaelton"/>
        <s v="Lake Brent"/>
        <s v="Tammymouth"/>
        <s v="Lake Joanna"/>
        <s v="South Wesley"/>
        <s v="Lake Jeffrey"/>
        <s v="Laurenmouth"/>
        <s v="Lake Emily"/>
        <s v="New Seth"/>
        <s v="Ramosport"/>
        <s v="North Jacob"/>
        <s v="East Amandaside"/>
        <s v="New Lauramouth"/>
        <s v="Lake Lindafort"/>
        <s v="Jaclynview"/>
        <s v="Phelpsstad"/>
        <s v="Lake Bethmouth"/>
        <s v="Taraborough"/>
        <s v="West Antonio"/>
        <s v="Lake Annburgh"/>
        <s v="Port Adrianhaven"/>
        <s v="Elliottfort"/>
        <s v="Port Suzannebury"/>
        <s v="Mayland"/>
        <s v="West Danielborough"/>
        <s v="Port Jameston"/>
        <s v="Davistown"/>
        <s v="New Alicia"/>
        <s v="East Anthony"/>
        <s v="Stevensfurt"/>
        <s v="Garyville"/>
        <s v="Bateshaven"/>
        <s v="Townsendville"/>
        <s v="Leachstad"/>
        <s v="Lake Brianbury"/>
        <s v="Melanieborough"/>
        <s v="North Jessica"/>
        <s v="Jessicastad"/>
        <s v="Maddenview"/>
        <s v="Port Joseton"/>
        <s v="West Jimmystad"/>
        <s v="Barronborough"/>
        <s v="Veronicaburgh"/>
        <s v="Adrianmouth"/>
        <s v="Port Tammyberg"/>
        <s v="Toddton"/>
        <s v="East Alyssa"/>
        <s v="Port Michaelville"/>
        <s v="North Jeannemouth"/>
        <s v="New Louis"/>
        <s v="Nicolebury"/>
        <s v="Johntown"/>
        <s v="Rachelborough"/>
        <s v="Brentbury"/>
        <s v="Payneside"/>
        <s v="Kellymouth"/>
        <s v="West Tamiville"/>
        <s v="South John"/>
        <s v="East Brittany"/>
        <s v="South Tonya"/>
        <s v="Coreyfort"/>
        <s v="Port Samantha"/>
        <s v="Johnfort"/>
        <s v="West Teresa"/>
        <s v="Port Marcusmouth"/>
        <s v="North David"/>
        <s v="Port Markport"/>
        <s v="Port Christine"/>
        <s v="South Brianstad"/>
        <s v="Port Ryanville"/>
        <s v="Morrisburgh"/>
        <s v="South Jeffreystad"/>
        <s v="Patriciaville"/>
        <s v="East Daleton"/>
        <s v="Douglastown"/>
        <s v="Port Allisonfort"/>
        <s v="East Nicole"/>
        <s v="Andrewmouth"/>
        <s v="Brandyborough"/>
        <s v="Port Luke"/>
        <s v="East Stevenmouth"/>
        <s v="Joshuabury"/>
        <s v="Jacobburgh"/>
        <s v="South Jessica"/>
        <s v="Hernandezmouth"/>
        <s v="Rhodesfurt"/>
        <s v="Lake Ryanland"/>
        <s v="East Robynmouth"/>
        <s v="New Sean"/>
        <s v="New Brittanytown"/>
        <s v="Murrayville"/>
        <s v="New Patriciaville"/>
        <s v="New Kelly"/>
        <s v="North Cristianview"/>
        <s v="Port Jasmin"/>
        <s v="Jacobville"/>
        <s v="Jonesville"/>
        <s v="Port Cristianfort"/>
        <s v="South Mark"/>
        <s v="Lake Jeanneview"/>
        <s v="Lewisburgh"/>
        <s v="Markborough"/>
        <s v="Kirbyport"/>
        <s v="West Jerry"/>
        <s v="Port Jo"/>
        <s v="Mcdonaldmouth"/>
        <s v="Jonathanport"/>
        <s v="South Christine"/>
        <s v="East Kevinchester"/>
        <s v="Danielstad"/>
        <s v="Port Ginaside"/>
        <s v="Stevenfurt"/>
        <s v="West Kristinehaven"/>
        <s v="Lake Spencer"/>
        <s v="East Moniquefort"/>
        <s v="Lake Sharonmouth"/>
        <s v="North Wendyberg"/>
        <s v="Lake Troyshire"/>
        <s v="Port Lindaton"/>
        <s v="Grahamhaven"/>
        <s v="Johnburgh"/>
        <s v="Jacobfort"/>
        <s v="South Roger"/>
        <s v="Johnsonborough"/>
        <s v="South Katiefurt"/>
        <s v="New Kristen"/>
        <s v="Barberside"/>
        <s v="Karenside"/>
        <s v="Ricemouth"/>
        <s v="West Mary"/>
        <s v="Lesliemouth"/>
        <s v="Jenniferville"/>
        <s v="Lake Vincentview"/>
        <s v="Johnhaven"/>
        <s v="Wesleytown"/>
        <s v="North Danielburgh"/>
        <s v="North Ryanfort"/>
        <s v="Pattersonfort"/>
        <s v="Floydchester"/>
        <s v="Michelleview"/>
        <s v="Judithbury"/>
        <s v="Joshuaborough"/>
        <s v="Villanuevaburgh"/>
        <s v="Catherinestad"/>
        <s v="Colemouth"/>
        <s v="West Jonathon"/>
        <s v="Cervantesland"/>
        <s v="Hawkinschester"/>
        <s v="Timothychester"/>
        <s v="Anthonybury"/>
        <s v="Lake Alison"/>
        <s v="Anthonyside"/>
        <s v="Curryhaven"/>
        <s v="West Lisa"/>
        <s v="Moraleshaven"/>
        <s v="Wendychester"/>
        <s v="Wrightmouth"/>
        <s v="West Amandamouth"/>
        <s v="North Juliaborough"/>
        <s v="Harrytown"/>
        <s v="Rogersfurt"/>
        <s v="New Miranda"/>
        <s v="Hayesshire"/>
        <s v="Leeborough"/>
        <s v="South Carriefurt"/>
        <s v="Port Stacey"/>
        <s v="North Michaelborough"/>
        <s v="South Stephenport"/>
        <s v="North Jason"/>
        <s v="Tonyamouth"/>
        <s v="Brooksmouth"/>
        <s v="Lake Brittanyberg"/>
        <s v="Anthonyborough"/>
        <s v="Port Kellyport"/>
        <s v="Aprilton"/>
        <s v="Luketon"/>
        <s v="Kathyton"/>
        <s v="Lake Michaelhaven"/>
        <s v="Lake Brittanyburgh"/>
        <s v="Elliottmouth"/>
        <s v="Jaychester"/>
        <s v="Jordanmouth"/>
        <s v="East Whitney"/>
        <s v="Rodriguezport"/>
        <s v="Robinsonstad"/>
        <s v="Jamiefort"/>
        <s v="North Jimmyborough"/>
        <s v="West Sandrachester"/>
        <s v="Lake Paulastad"/>
        <s v="Paulton"/>
        <s v="New Michaeltown"/>
        <s v="North Benjaminton"/>
        <s v="Hernandezburgh"/>
        <s v="North Anthony"/>
        <s v="Cynthiaburgh"/>
        <s v="Nicoletown"/>
        <s v="West Nicholas"/>
        <s v="Rodgershaven"/>
        <s v="Savannahmouth"/>
        <s v="Aprilshire"/>
        <s v="East Christopher"/>
        <s v="Moniquemouth"/>
        <s v="Moranland"/>
        <s v="Richardshire"/>
        <s v="South Melinda"/>
        <s v="West Masonton"/>
        <s v="Perezmouth"/>
        <s v="Paulabury"/>
        <s v="New Terrancetown"/>
        <s v="Stevensonside"/>
        <s v="Lake Michaelfort"/>
        <s v="Watkinsburgh"/>
        <s v="Port Lisa"/>
        <s v="Ryanberg"/>
        <s v="Susanchester"/>
        <s v="New Amberville"/>
        <s v="North Kelsey"/>
        <s v="Toddmouth"/>
        <s v="South Holly"/>
        <s v="Freemanport"/>
        <s v="Tinaport"/>
        <s v="South Jonathan"/>
        <s v="South Douglasland"/>
        <s v="North Johnland"/>
        <s v="Kevinville"/>
        <s v="Carlville"/>
        <s v="Reginachester"/>
        <s v="Lake Teresafurt"/>
        <s v="Franklinmouth"/>
        <s v="West Kendrafort"/>
        <s v="Port Elizabeth"/>
        <s v="Sandrafurt"/>
        <s v="Brownmouth"/>
        <s v="New Kimberly"/>
        <s v="Englishmouth"/>
        <s v="Mcdanielchester"/>
        <s v="North Rebeccashire"/>
        <s v="Lake Michaelport"/>
        <s v="Port James"/>
        <s v="Ericville"/>
        <s v="New Norma"/>
        <s v="Stephenmouth"/>
        <s v="New Brooke"/>
        <s v="East Kristin"/>
        <s v="North Janet"/>
        <s v="Woodsport"/>
        <s v="Port Tony"/>
        <s v="East Codyport"/>
        <s v="Brandonbury"/>
        <s v="Jefferyshire"/>
        <s v="Blackchester"/>
        <s v="East Anthonymouth"/>
        <s v="Yatesstad"/>
        <s v="West Jeffreyview"/>
        <s v="Jenniferberg"/>
        <s v="Randallburgh"/>
        <s v="West Crystal"/>
        <s v="Port Tracystad"/>
        <s v="South Sharonburgh"/>
        <s v="Port Samanthafort"/>
        <s v="Fryeberg"/>
        <s v="Brianburgh"/>
        <s v="Gardnerberg"/>
        <s v="Lake Johnland"/>
        <s v="Smithmouth"/>
        <s v="Port Craigfort"/>
        <s v="West Tyler"/>
        <s v="Teresaville"/>
        <s v="South Julieborough"/>
        <s v="West Jonathanmouth"/>
        <s v="West Jesusville"/>
        <s v="Millerborough"/>
        <s v="Codyburgh"/>
        <s v="Jackshire"/>
        <s v="New Joshua"/>
        <s v="East Tonyaberg"/>
        <s v="Myershaven"/>
        <s v="Craigmouth"/>
        <s v="Williamsside"/>
        <s v="South Susanstad"/>
        <s v="Marthabury"/>
        <s v="West Cynthiaton"/>
        <s v="Shortmouth"/>
        <s v="Lindsaybury"/>
        <s v="Haileyville"/>
        <s v="Ramirezton"/>
        <s v="Ashleychester"/>
        <s v="Christophertown"/>
        <s v="Williamsburgh"/>
        <s v="Alexanderberg"/>
        <s v="East Josestad"/>
        <s v="Amandamouth"/>
        <s v="Stephanieshire"/>
        <s v="West Courtneychester"/>
        <s v="Port Vincenttown"/>
        <s v="Alvaradoview"/>
        <s v="Port Jasmine"/>
        <s v="New Coleside"/>
        <s v="Armstrongberg"/>
        <s v="Robertbury"/>
        <s v="Jennachester"/>
        <s v="West Jennifer"/>
        <s v="Jasonbury"/>
        <s v="Port Emily"/>
        <s v="Jackmouth"/>
        <s v="Jonathanstad"/>
        <s v="Kristenberg"/>
        <s v="Lake April"/>
        <s v="New Jeremy"/>
        <s v="South Katherineside"/>
        <s v="Andersonchester"/>
        <s v="Johnstad"/>
        <s v="Alvaradobury"/>
        <s v="East Chris"/>
        <s v="Port Timothy"/>
        <s v="Chenmouth"/>
        <s v="New Oliviaberg"/>
        <s v="West Larrymouth"/>
        <s v="Roymouth"/>
        <s v="Cameronstad"/>
        <s v="South Taylorchester"/>
        <s v="South Melodystad"/>
        <s v="Andersonshire"/>
        <s v="Brownport"/>
        <s v="South Lisaland"/>
        <s v="Garciahaven"/>
        <s v="New Ronniebury"/>
        <s v="Port Dawn"/>
        <s v="North Amandaland"/>
        <s v="Jacobsside"/>
        <s v="Bradleyville"/>
        <s v="Suttonfort"/>
        <s v="North Debraland"/>
        <s v="Rebeccahaven"/>
        <s v="Andersonfort"/>
        <s v="Brookshaven"/>
        <s v="East Joshua"/>
        <s v="Schultzborough"/>
        <s v="Kelseyton"/>
        <s v="North Whitneytown"/>
        <s v="New Jonathan"/>
        <s v="Kimberlymouth"/>
        <s v="Fritzchester"/>
        <s v="Alexanderborough"/>
        <s v="Vincenttown"/>
        <s v="Watsonchester"/>
        <s v="Beckerview"/>
        <s v="Russellton"/>
        <s v="Lake Carla"/>
        <s v="Brownland"/>
        <s v="Cabrerashire"/>
        <s v="Christopherburgh"/>
        <s v="Saunderston"/>
        <s v="Priceburgh"/>
        <s v="East Joseph"/>
        <s v="Port Thomasstad"/>
        <s v="Griffintown"/>
        <s v="Mariaborough"/>
        <s v="East Christopherborough"/>
        <s v="Amandafort"/>
        <s v="West Justin"/>
        <s v="New Natalie"/>
        <s v="South Matthew"/>
        <s v="East Erikton"/>
        <s v="Ravenland"/>
        <s v="Conniebury"/>
        <s v="East Lucas"/>
        <s v="Josephton"/>
        <s v="North Julie"/>
        <s v="Port Jason"/>
        <s v="East Veronicaville"/>
        <s v="Brianfort"/>
        <s v="Port Stephanie"/>
        <s v="Timothyland"/>
        <s v="North Michelletown"/>
        <s v="East Jennifershire"/>
        <s v="East Andrea"/>
        <s v="Lauraburgh"/>
        <s v="Henrystad"/>
        <s v="Port Pamelatown"/>
        <s v="Kurtfurt"/>
        <s v="Crawfordport"/>
        <s v="Morrisonmouth"/>
        <s v="Port Diana"/>
        <s v="East Kylie"/>
        <s v="Donaldside"/>
        <s v="Port Dana"/>
        <s v="North Carrie"/>
        <s v="New Christopherside"/>
        <s v="West Austin"/>
        <s v="New Josephland"/>
        <s v="Deborahview"/>
        <s v="Port Melissaborough"/>
        <s v="West Anne"/>
        <s v="Tiffanyshire"/>
        <s v="Smithstad"/>
        <s v="Larsonburgh"/>
        <s v="Lake Lorichester"/>
        <s v="Gonzalezshire"/>
        <s v="Holmesland"/>
        <s v="Tatemouth"/>
        <s v="Kristenland"/>
        <s v="Audreystad"/>
        <s v="Hughesfort"/>
        <s v="Keithland"/>
        <s v="Wayneside"/>
        <s v="Ashleyside"/>
        <s v="New Madeline"/>
        <s v="Fernandezside"/>
        <s v="Bowmanmouth"/>
        <s v="Scottfort"/>
        <s v="New Matthew"/>
        <s v="North Zacharytown"/>
        <s v="South Kristenbury"/>
        <s v="West Matthewton"/>
        <s v="Marshallside"/>
        <s v="Mitchellhaven"/>
        <s v="Janetfort"/>
        <s v="Dorseymouth"/>
        <s v="Taylorport"/>
        <s v="West Jessica"/>
        <s v="Port Darrylstad"/>
        <s v="Colemanchester"/>
        <s v="North Diane"/>
        <s v="New Jenniferberg"/>
        <s v="Hernandezfort"/>
        <s v="Landryburgh"/>
        <s v="Laurietown"/>
        <s v="Mcintyreburgh"/>
        <s v="Jonesport"/>
        <s v="Lake Tracy"/>
        <s v="Lynnland"/>
        <s v="Danielfurt"/>
        <s v="Port Wandashire"/>
        <s v="Port Sarahfort"/>
        <s v="West Samuelhaven"/>
        <s v="Smithburgh"/>
        <s v="Graystad"/>
        <s v="Jamesview"/>
        <s v="Nicholasfurt"/>
        <s v="East Hannah"/>
        <s v="North Danielmouth"/>
        <s v="Millermouth"/>
        <s v="Andersonview"/>
        <s v="Port Laurenfort"/>
        <s v="Hallbury"/>
        <s v="Elizabethmouth"/>
        <s v="West Jacob"/>
        <s v="West Denisemouth"/>
        <s v="West Amyhaven"/>
        <s v="Lake Victoriafort"/>
        <s v="West Sarah"/>
        <s v="Cartermouth"/>
        <s v="Jamesside"/>
        <s v="Martinezshire"/>
        <s v="East Charles"/>
        <s v="Port Steve"/>
        <s v="Catherinebury"/>
        <s v="East Jamesborough"/>
        <s v="Lake Charlestown"/>
        <s v="Port Catherine"/>
        <s v="Lake Kelly"/>
        <s v="Lake Cody"/>
        <s v="North Elizabethbury"/>
        <s v="Sanchezside"/>
        <s v="Robinhaven"/>
        <s v="Raymondland"/>
        <s v="Port Debbieborough"/>
        <s v="East Russellville"/>
        <s v="Barryton"/>
        <s v="Gutierrezville"/>
        <s v="Georgestad"/>
        <s v="East Annettemouth"/>
        <s v="Garciafurt"/>
        <s v="Jefferyborough"/>
        <s v="East Marymouth"/>
        <s v="Markchester"/>
        <s v="Raymondchester"/>
        <s v="Kiddmouth"/>
        <s v="East Tanyafurt"/>
        <s v="Melanieton"/>
        <s v="Kennethstad"/>
        <s v="Ericside"/>
        <s v="Port Derek"/>
        <s v="Washingtonmouth"/>
        <s v="Joetown"/>
        <s v="Brownchester"/>
        <s v="Lake Maryborough"/>
        <s v="Webbton"/>
        <s v="North Jacobland"/>
        <s v="Lake Hayley"/>
        <s v="Port Thomas"/>
        <s v="Lake Joseph"/>
        <s v="Lake Tiffanyfurt"/>
        <s v="Smithfort"/>
        <s v="Ellisland"/>
        <s v="West Bradleymouth"/>
        <s v="Port Victoriashire"/>
        <s v="Reynoldsborough"/>
        <s v="Davidbury"/>
        <s v="East Donna"/>
        <s v="Robertfort"/>
        <s v="Gilmoreberg"/>
        <s v="Mccannfurt"/>
        <s v="Gregoryville"/>
        <s v="Port Paul"/>
        <s v="New Kurtmouth"/>
        <s v="East Justintown"/>
        <s v="Mitchellfort"/>
        <s v="Lake Toddside"/>
        <s v="Bakerside"/>
        <s v="South Elizabethport"/>
        <s v="Christopherville"/>
        <s v="New Michealtown"/>
        <s v="Port Darren"/>
        <s v="New Carol"/>
        <s v="New Peterport"/>
        <s v="Javierview"/>
        <s v="North Terrancehaven"/>
        <s v="Jeremyview"/>
        <s v="Monicaland"/>
        <s v="East Bryanport"/>
        <s v="Navarrostad"/>
        <s v="West Kathleen"/>
        <s v="Gutierreztown"/>
        <s v="Whiteborough"/>
        <s v="New Steven"/>
        <s v="Dennisburgh"/>
        <s v="Huntershire"/>
        <s v="Kennethton"/>
        <s v="East Frankhaven"/>
        <s v="Patriciafort"/>
        <s v="Danielmouth"/>
        <s v="Port Josephview"/>
        <s v="East Martin"/>
        <s v="New Brian"/>
        <s v="Paulborough"/>
        <s v="South Christineberg"/>
        <s v="Harrisberg"/>
        <s v="Martinbury"/>
        <s v="Marcusville"/>
        <s v="West James"/>
        <s v="Reidchester"/>
        <s v="Lake Cynthiastad"/>
        <s v="New Danielberg"/>
        <s v="New Shawn"/>
        <s v="Anthonyport"/>
        <s v="New Brandon"/>
        <s v="Amandaborough"/>
        <s v="Frazierbury"/>
        <s v="Tiffanystad"/>
        <s v="Jesseburgh"/>
        <m/>
      </sharedItems>
    </cacheField>
    <cacheField name="review_score" numFmtId="0">
      <sharedItems containsString="0" containsBlank="1" containsNumber="1" containsInteger="1" minValue="1" maxValue="5"/>
    </cacheField>
    <cacheField name="gender" numFmtId="0">
      <sharedItems containsBlank="1" count="3">
        <s v="M"/>
        <s v="F"/>
        <m/>
      </sharedItems>
    </cacheField>
    <cacheField name="age" numFmtId="0">
      <sharedItems containsString="0" containsBlank="1" containsNumber="1" containsInteger="1" minValue="18" maxValue="75"/>
    </cacheField>
    <cacheField name="Age Group" numFmtId="0">
      <sharedItems containsBlank="1" count="5">
        <s v="60+"/>
        <s v="46-60"/>
        <s v="31-45"/>
        <s v="18-30"/>
        <m/>
      </sharedItems>
    </cacheField>
    <cacheField name="Total Revenue" numFmtId="0">
      <sharedItems containsString="0" containsBlank="1" containsNumber="1" minValue="20.84" maxValue="2437.6499999999996"/>
    </cacheField>
    <cacheField name="Calculate Profit" numFmtId="0">
      <sharedItems containsString="0" containsBlank="1" containsNumber="1" minValue="6.2519999999999998" maxValue="731.29499999999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79898"/>
    <x v="0"/>
    <n v="871"/>
    <n v="10"/>
    <s v="Electronics"/>
    <s v="Smartphone"/>
    <n v="5"/>
    <n v="84.89"/>
    <s v="Credit Card"/>
    <s v="Fullerland"/>
    <n v="5"/>
    <s v="M"/>
    <n v="68"/>
    <n v="424.45"/>
    <n v="127.33499999999999"/>
  </r>
  <r>
    <n v="94899"/>
    <x v="0"/>
    <n v="853"/>
    <n v="30"/>
    <s v="Home &amp; Living"/>
    <s v="Vase"/>
    <n v="5"/>
    <n v="309.64"/>
    <s v="Cash on Delivery"/>
    <s v="East Maryland"/>
    <n v="4"/>
    <s v="F"/>
    <n v="47"/>
    <n v="1548.1999999999998"/>
    <n v="464.45999999999992"/>
  </r>
  <r>
    <n v="44470"/>
    <x v="1"/>
    <n v="188"/>
    <n v="50"/>
    <s v="Sports &amp; Outdoors"/>
    <s v="Tent"/>
    <n v="5"/>
    <n v="28.5"/>
    <s v="Bank Transfer"/>
    <s v="Lake Triciaburgh"/>
    <n v="5"/>
    <s v="F"/>
    <n v="61"/>
    <n v="142.5"/>
    <n v="42.75"/>
  </r>
  <r>
    <n v="14447"/>
    <x v="1"/>
    <n v="761"/>
    <n v="40"/>
    <s v="Books &amp; Stationery"/>
    <s v="Pen"/>
    <n v="2"/>
    <n v="109.97"/>
    <s v="Cash on Delivery"/>
    <s v="Peterston"/>
    <m/>
    <s v="F"/>
    <n v="69"/>
    <n v="219.94"/>
    <n v="65.981999999999999"/>
  </r>
  <r>
    <n v="91781"/>
    <x v="1"/>
    <n v="497"/>
    <n v="10"/>
    <s v="Electronics"/>
    <s v="Smartwatch"/>
    <n v="3"/>
    <n v="481.95"/>
    <s v="Cash on Delivery"/>
    <s v="North Thomas"/>
    <n v="3"/>
    <s v="F"/>
    <n v="42"/>
    <n v="1445.85"/>
    <n v="433.75499999999994"/>
  </r>
  <r>
    <n v="52849"/>
    <x v="1"/>
    <n v="829"/>
    <n v="20"/>
    <s v="Fashion"/>
    <s v="T-shirt"/>
    <n v="3"/>
    <n v="99.38"/>
    <s v="Bank Transfer"/>
    <s v="Katherineview"/>
    <m/>
    <s v="F"/>
    <n v="19"/>
    <n v="298.14"/>
    <n v="89.441999999999993"/>
  </r>
  <r>
    <n v="98156"/>
    <x v="1"/>
    <n v="759"/>
    <n v="40"/>
    <s v="Books &amp; Stationery"/>
    <s v="Story Book"/>
    <n v="3"/>
    <n v="371.43"/>
    <s v="Credit Card"/>
    <s v="Vasquezmouth"/>
    <m/>
    <s v="F"/>
    <n v="48"/>
    <n v="1114.29"/>
    <n v="334.28699999999998"/>
  </r>
  <r>
    <n v="65571"/>
    <x v="1"/>
    <n v="646"/>
    <n v="20"/>
    <s v="Fashion"/>
    <s v="Pants"/>
    <n v="1"/>
    <n v="135.56"/>
    <s v="Bank Transfer"/>
    <s v="Michaelside"/>
    <m/>
    <s v="M"/>
    <n v="20"/>
    <n v="135.56"/>
    <n v="40.667999999999999"/>
  </r>
  <r>
    <n v="96568"/>
    <x v="2"/>
    <n v="842"/>
    <n v="20"/>
    <s v="Fashion"/>
    <s v="Dress"/>
    <n v="1"/>
    <n v="284.33"/>
    <s v="Bank Transfer"/>
    <s v="Port Melissa"/>
    <n v="1"/>
    <s v="M"/>
    <n v="62"/>
    <n v="284.33"/>
    <n v="85.298999999999992"/>
  </r>
  <r>
    <n v="91997"/>
    <x v="2"/>
    <n v="118"/>
    <n v="30"/>
    <s v="Home &amp; Living"/>
    <s v="Vase"/>
    <n v="4"/>
    <n v="445.11"/>
    <s v="Credit Card"/>
    <s v="South Wanda"/>
    <n v="3"/>
    <m/>
    <n v="47"/>
    <n v="1780.44"/>
    <n v="534.13199999999995"/>
  </r>
  <r>
    <n v="20636"/>
    <x v="3"/>
    <n v="707"/>
    <n v="10"/>
    <s v="Electronics"/>
    <s v="Laptop"/>
    <n v="2"/>
    <n v="257.81"/>
    <s v="Bank Transfer"/>
    <s v="Parkerfurt"/>
    <m/>
    <s v="F"/>
    <n v="31"/>
    <n v="515.62"/>
    <n v="154.68600000000001"/>
  </r>
  <r>
    <n v="72701"/>
    <x v="3"/>
    <n v="828"/>
    <n v="50"/>
    <s v="Sports &amp; Outdoors"/>
    <s v="Tent"/>
    <n v="5"/>
    <n v="395.78"/>
    <s v="Credit Card"/>
    <s v="Webbfort"/>
    <n v="5"/>
    <s v="F"/>
    <n v="56"/>
    <n v="1978.8999999999999"/>
    <n v="593.66999999999996"/>
  </r>
  <r>
    <n v="77729"/>
    <x v="4"/>
    <n v="744"/>
    <n v="50"/>
    <s v="Sports &amp; Outdoors"/>
    <s v="Basketball"/>
    <n v="3"/>
    <n v="243.37"/>
    <s v="Credit Card"/>
    <s v="Julieborough"/>
    <n v="3"/>
    <s v="F"/>
    <n v="64"/>
    <n v="730.11"/>
    <n v="219.03299999999999"/>
  </r>
  <r>
    <n v="85934"/>
    <x v="4"/>
    <n v="141"/>
    <n v="10"/>
    <s v="Electronics"/>
    <s v="Smartphone"/>
    <n v="2"/>
    <n v="200.17"/>
    <s v="Bank Transfer"/>
    <s v="Edwardview"/>
    <n v="4"/>
    <s v="F"/>
    <n v="60"/>
    <n v="400.34"/>
    <n v="120.10199999999999"/>
  </r>
  <r>
    <n v="49993"/>
    <x v="4"/>
    <n v="880"/>
    <n v="10"/>
    <s v="Electronics"/>
    <s v="Smartphone"/>
    <n v="1"/>
    <n v="162.38"/>
    <s v="Credit Card"/>
    <s v="Scottville"/>
    <n v="5"/>
    <s v="F"/>
    <n v="73"/>
    <n v="162.38"/>
    <n v="48.713999999999999"/>
  </r>
  <r>
    <n v="86746"/>
    <x v="5"/>
    <n v="768"/>
    <n v="30"/>
    <s v="Home &amp; Living"/>
    <s v="Pillow"/>
    <n v="3"/>
    <n v="298.27"/>
    <s v="Credit Card"/>
    <s v="Mendezburgh"/>
    <n v="4"/>
    <s v="M"/>
    <n v="62"/>
    <n v="894.81"/>
    <n v="268.44299999999998"/>
  </r>
  <r>
    <n v="80803"/>
    <x v="5"/>
    <n v="882"/>
    <n v="30"/>
    <s v="Home &amp; Living"/>
    <s v="Pillow"/>
    <n v="1"/>
    <n v="293"/>
    <s v="Bank Transfer"/>
    <s v="South William"/>
    <n v="5"/>
    <s v="M"/>
    <n v="26"/>
    <n v="293"/>
    <n v="87.899999999999991"/>
  </r>
  <r>
    <n v="21588"/>
    <x v="6"/>
    <n v="112"/>
    <n v="40"/>
    <s v="Books &amp; Stationery"/>
    <s v="Notebook"/>
    <n v="2"/>
    <n v="298.63"/>
    <s v="Cash on Delivery"/>
    <s v="South Veronica"/>
    <n v="5"/>
    <s v="F"/>
    <n v="33"/>
    <n v="597.26"/>
    <n v="179.178"/>
  </r>
  <r>
    <n v="65624"/>
    <x v="7"/>
    <n v="732"/>
    <n v="50"/>
    <s v="Sports &amp; Outdoors"/>
    <s v="Basketball"/>
    <n v="2"/>
    <n v="188.47"/>
    <s v="Credit Card"/>
    <s v="West Krista"/>
    <n v="5"/>
    <m/>
    <n v="63"/>
    <n v="376.94"/>
    <n v="113.08199999999999"/>
  </r>
  <r>
    <n v="55865"/>
    <x v="7"/>
    <n v="915"/>
    <n v="40"/>
    <s v="Books &amp; Stationery"/>
    <s v="Pen"/>
    <n v="1"/>
    <n v="341.89"/>
    <s v="Credit Card"/>
    <s v="New Felicia"/>
    <n v="5"/>
    <s v="M"/>
    <n v="64"/>
    <n v="341.89"/>
    <n v="102.56699999999999"/>
  </r>
  <r>
    <n v="30090"/>
    <x v="7"/>
    <n v="493"/>
    <n v="30"/>
    <s v="Home &amp; Living"/>
    <s v="Blanket"/>
    <n v="3"/>
    <n v="29.52"/>
    <s v="Credit Card"/>
    <s v="Joshuamouth"/>
    <n v="5"/>
    <s v="M"/>
    <n v="20"/>
    <n v="88.56"/>
    <n v="26.568000000000001"/>
  </r>
  <r>
    <n v="22264"/>
    <x v="7"/>
    <n v="870"/>
    <n v="50"/>
    <s v="Sports &amp; Outdoors"/>
    <s v="Soccer Ball"/>
    <n v="1"/>
    <n v="138.85"/>
    <s v="Cash on Delivery"/>
    <s v="Danielton"/>
    <n v="5"/>
    <s v="F"/>
    <n v="63"/>
    <n v="138.85"/>
    <n v="41.654999999999994"/>
  </r>
  <r>
    <n v="92087"/>
    <x v="7"/>
    <n v="888"/>
    <n v="10"/>
    <s v="Electronics"/>
    <s v="Laptop"/>
    <n v="4"/>
    <n v="26.2"/>
    <s v="Credit Card"/>
    <s v="South Michael"/>
    <n v="5"/>
    <s v="F"/>
    <n v="21"/>
    <n v="104.8"/>
    <n v="31.439999999999998"/>
  </r>
  <r>
    <n v="73009"/>
    <x v="8"/>
    <n v="569"/>
    <n v="30"/>
    <s v="Home &amp; Living"/>
    <s v="Vase"/>
    <n v="4"/>
    <n v="169.83"/>
    <s v="Cash on Delivery"/>
    <s v="Jacobfurt"/>
    <n v="2"/>
    <s v="M"/>
    <n v="29"/>
    <n v="679.32"/>
    <n v="203.79600000000002"/>
  </r>
  <r>
    <n v="92950"/>
    <x v="8"/>
    <n v="265"/>
    <n v="30"/>
    <s v="Home &amp; Living"/>
    <s v="Painting"/>
    <n v="2"/>
    <n v="217.67"/>
    <s v="Bank Transfer"/>
    <s v="Austinbury"/>
    <n v="5"/>
    <s v="F"/>
    <n v="37"/>
    <n v="435.34"/>
    <n v="130.60199999999998"/>
  </r>
  <r>
    <n v="96700"/>
    <x v="8"/>
    <n v="598"/>
    <n v="30"/>
    <s v="Home &amp; Living"/>
    <s v="Painting"/>
    <n v="4"/>
    <n v="474.04"/>
    <s v="Cash on Delivery"/>
    <s v="South Anthony"/>
    <n v="5"/>
    <s v="F"/>
    <n v="64"/>
    <n v="1896.16"/>
    <n v="568.84799999999996"/>
  </r>
  <r>
    <n v="37330"/>
    <x v="8"/>
    <n v="881"/>
    <n v="50"/>
    <s v="Sports &amp; Outdoors"/>
    <s v="Yoga Mat"/>
    <n v="5"/>
    <n v="219.26"/>
    <s v="Bank Transfer"/>
    <s v="West Molly"/>
    <n v="2"/>
    <s v="F"/>
    <n v="49"/>
    <n v="1096.3"/>
    <n v="328.89"/>
  </r>
  <r>
    <n v="92232"/>
    <x v="9"/>
    <n v="961"/>
    <n v="40"/>
    <s v="Books &amp; Stationery"/>
    <s v="Story Book"/>
    <n v="4"/>
    <n v="410.28"/>
    <s v="Cash on Delivery"/>
    <s v="Adamsfort"/>
    <m/>
    <s v="M"/>
    <n v="33"/>
    <n v="1641.12"/>
    <n v="492.33599999999996"/>
  </r>
  <r>
    <n v="17044"/>
    <x v="9"/>
    <n v="502"/>
    <n v="50"/>
    <s v="Sports &amp; Outdoors"/>
    <s v="Soccer Ball"/>
    <n v="1"/>
    <n v="306.5"/>
    <s v="Cash on Delivery"/>
    <s v="New Mindymouth"/>
    <n v="4"/>
    <s v="M"/>
    <n v="47"/>
    <n v="306.5"/>
    <n v="91.95"/>
  </r>
  <r>
    <n v="39825"/>
    <x v="9"/>
    <n v="301"/>
    <n v="40"/>
    <s v="Books &amp; Stationery"/>
    <s v="Notebook"/>
    <n v="5"/>
    <n v="353.19"/>
    <s v="Cash on Delivery"/>
    <s v="New Isaacmouth"/>
    <n v="5"/>
    <m/>
    <n v="50"/>
    <n v="1765.95"/>
    <n v="529.78499999999997"/>
  </r>
  <r>
    <n v="47212"/>
    <x v="9"/>
    <n v="856"/>
    <n v="20"/>
    <s v="Fashion"/>
    <s v="Skirt"/>
    <n v="4"/>
    <n v="477.68"/>
    <s v="Credit Card"/>
    <s v="Port Jordan"/>
    <m/>
    <s v="M"/>
    <n v="29"/>
    <n v="1910.72"/>
    <n v="573.21600000000001"/>
  </r>
  <r>
    <n v="72238"/>
    <x v="9"/>
    <n v="435"/>
    <n v="20"/>
    <s v="Fashion"/>
    <s v="T-shirt"/>
    <n v="2"/>
    <n v="74.459999999999994"/>
    <s v="Credit Card"/>
    <s v="Kevinland"/>
    <n v="5"/>
    <s v="F"/>
    <n v="74"/>
    <n v="148.91999999999999"/>
    <n v="44.675999999999995"/>
  </r>
  <r>
    <n v="97102"/>
    <x v="9"/>
    <n v="663"/>
    <n v="50"/>
    <s v="Sports &amp; Outdoors"/>
    <s v="Yoga Mat"/>
    <n v="4"/>
    <n v="286.82"/>
    <s v="Cash on Delivery"/>
    <s v="Port Justinbury"/>
    <n v="3"/>
    <s v="F"/>
    <n v="55"/>
    <n v="1147.28"/>
    <n v="344.18399999999997"/>
  </r>
  <r>
    <n v="54869"/>
    <x v="10"/>
    <n v="369"/>
    <n v="10"/>
    <s v="Electronics"/>
    <s v="Smartphone"/>
    <n v="4"/>
    <n v="486.84"/>
    <s v="Cash on Delivery"/>
    <s v="Martinburgh"/>
    <n v="5"/>
    <s v="F"/>
    <n v="42"/>
    <n v="1947.36"/>
    <n v="584.20799999999997"/>
  </r>
  <r>
    <n v="51679"/>
    <x v="10"/>
    <n v="861"/>
    <n v="40"/>
    <s v="Books &amp; Stationery"/>
    <s v="Pen"/>
    <n v="4"/>
    <n v="101.29"/>
    <s v="Cash on Delivery"/>
    <s v="Williamsfort"/>
    <n v="5"/>
    <m/>
    <n v="32"/>
    <n v="405.16"/>
    <n v="121.548"/>
  </r>
  <r>
    <n v="36926"/>
    <x v="10"/>
    <n v="350"/>
    <n v="40"/>
    <s v="Books &amp; Stationery"/>
    <s v="Notebook"/>
    <n v="2"/>
    <n v="137.12"/>
    <s v="Bank Transfer"/>
    <s v="Simonfort"/>
    <n v="4"/>
    <s v="F"/>
    <n v="68"/>
    <n v="274.24"/>
    <n v="82.272000000000006"/>
  </r>
  <r>
    <n v="48604"/>
    <x v="11"/>
    <n v="899"/>
    <n v="30"/>
    <s v="Home &amp; Living"/>
    <s v="Pillow"/>
    <n v="5"/>
    <n v="230.49"/>
    <s v="Cash on Delivery"/>
    <s v="Port Sandra"/>
    <n v="4"/>
    <s v="M"/>
    <n v="36"/>
    <n v="1152.45"/>
    <n v="345.73500000000001"/>
  </r>
  <r>
    <n v="43279"/>
    <x v="11"/>
    <n v="403"/>
    <n v="30"/>
    <s v="Home &amp; Living"/>
    <s v="Carpet"/>
    <n v="4"/>
    <n v="247.25"/>
    <s v="Credit Card"/>
    <s v="Anthonyville"/>
    <n v="2"/>
    <s v="M"/>
    <n v="26"/>
    <n v="989"/>
    <n v="296.7"/>
  </r>
  <r>
    <n v="14872"/>
    <x v="12"/>
    <n v="353"/>
    <n v="20"/>
    <s v="Fashion"/>
    <s v="Pants"/>
    <n v="2"/>
    <n v="272.77999999999997"/>
    <s v="Credit Card"/>
    <s v="Cynthiaport"/>
    <n v="4"/>
    <s v="M"/>
    <n v="32"/>
    <n v="545.55999999999995"/>
    <n v="163.66799999999998"/>
  </r>
  <r>
    <n v="22729"/>
    <x v="12"/>
    <n v="649"/>
    <n v="30"/>
    <s v="Home &amp; Living"/>
    <s v="Blanket"/>
    <n v="2"/>
    <n v="131.22"/>
    <s v="Bank Transfer"/>
    <s v="West Reginaldbury"/>
    <n v="4"/>
    <s v="M"/>
    <n v="32"/>
    <n v="262.44"/>
    <n v="78.731999999999999"/>
  </r>
  <r>
    <n v="33678"/>
    <x v="13"/>
    <n v="732"/>
    <n v="20"/>
    <s v="Fashion"/>
    <s v="Shirt"/>
    <n v="1"/>
    <n v="380.08"/>
    <s v="Cash on Delivery"/>
    <s v="Port Kenneth"/>
    <n v="1"/>
    <s v="M"/>
    <n v="29"/>
    <n v="380.08"/>
    <n v="114.02399999999999"/>
  </r>
  <r>
    <n v="65546"/>
    <x v="13"/>
    <n v="575"/>
    <n v="20"/>
    <s v="Fashion"/>
    <s v="Dress"/>
    <n v="4"/>
    <n v="400.94"/>
    <s v="Bank Transfer"/>
    <s v="Davidton"/>
    <n v="2"/>
    <s v="F"/>
    <n v="65"/>
    <n v="1603.76"/>
    <n v="481.12799999999999"/>
  </r>
  <r>
    <n v="31977"/>
    <x v="13"/>
    <n v="490"/>
    <n v="50"/>
    <s v="Sports &amp; Outdoors"/>
    <s v="Tent"/>
    <n v="5"/>
    <n v="371.84"/>
    <s v="Credit Card"/>
    <s v="North Marissa"/>
    <n v="5"/>
    <m/>
    <n v="52"/>
    <n v="1859.1999999999998"/>
    <n v="557.75999999999988"/>
  </r>
  <r>
    <n v="55371"/>
    <x v="14"/>
    <n v="753"/>
    <n v="50"/>
    <s v="Sports &amp; Outdoors"/>
    <s v="Basketball"/>
    <n v="4"/>
    <n v="263.69"/>
    <s v="Cash on Delivery"/>
    <s v="South Anthonyfurt"/>
    <n v="5"/>
    <m/>
    <n v="73"/>
    <n v="1054.76"/>
    <n v="316.428"/>
  </r>
  <r>
    <n v="54503"/>
    <x v="15"/>
    <n v="416"/>
    <n v="50"/>
    <s v="Sports &amp; Outdoors"/>
    <s v="Soccer Ball"/>
    <n v="2"/>
    <n v="337.25"/>
    <s v="Cash on Delivery"/>
    <s v="Walkerland"/>
    <n v="2"/>
    <s v="F"/>
    <n v="42"/>
    <n v="674.5"/>
    <n v="202.35"/>
  </r>
  <r>
    <n v="76203"/>
    <x v="15"/>
    <n v="307"/>
    <n v="20"/>
    <s v="Fashion"/>
    <s v="Dress"/>
    <n v="5"/>
    <n v="39.18"/>
    <s v="Credit Card"/>
    <s v="Port Jeffrey"/>
    <n v="4"/>
    <m/>
    <n v="61"/>
    <n v="195.9"/>
    <n v="58.769999999999996"/>
  </r>
  <r>
    <n v="58032"/>
    <x v="16"/>
    <n v="133"/>
    <n v="30"/>
    <s v="Home &amp; Living"/>
    <s v="Carpet"/>
    <n v="4"/>
    <n v="14.97"/>
    <s v="Credit Card"/>
    <s v="Lake Sethfurt"/>
    <m/>
    <s v="F"/>
    <n v="22"/>
    <n v="59.88"/>
    <n v="17.963999999999999"/>
  </r>
  <r>
    <n v="84661"/>
    <x v="16"/>
    <n v="129"/>
    <n v="20"/>
    <s v="Fashion"/>
    <s v="Pants"/>
    <n v="2"/>
    <n v="272.83"/>
    <s v="Bank Transfer"/>
    <s v="Martineztown"/>
    <n v="4"/>
    <s v="F"/>
    <n v="38"/>
    <n v="545.66"/>
    <n v="163.69799999999998"/>
  </r>
  <r>
    <n v="62183"/>
    <x v="16"/>
    <n v="568"/>
    <n v="50"/>
    <s v="Sports &amp; Outdoors"/>
    <s v="Soccer Ball"/>
    <n v="2"/>
    <n v="494.81"/>
    <s v="Cash on Delivery"/>
    <s v="Jasontown"/>
    <n v="3"/>
    <s v="F"/>
    <n v="52"/>
    <n v="989.62"/>
    <n v="296.88599999999997"/>
  </r>
  <r>
    <n v="62833"/>
    <x v="17"/>
    <n v="955"/>
    <n v="20"/>
    <s v="Fashion"/>
    <s v="Skirt"/>
    <n v="1"/>
    <n v="457.29"/>
    <s v="Credit Card"/>
    <s v="East Matthew"/>
    <n v="1"/>
    <s v="F"/>
    <n v="71"/>
    <n v="457.29"/>
    <n v="137.18700000000001"/>
  </r>
  <r>
    <n v="61930"/>
    <x v="17"/>
    <n v="660"/>
    <n v="10"/>
    <s v="Electronics"/>
    <s v="Smartwatch"/>
    <n v="3"/>
    <n v="362.2"/>
    <s v="Credit Card"/>
    <s v="Maxwellhaven"/>
    <n v="2"/>
    <s v="F"/>
    <n v="44"/>
    <n v="1086.5999999999999"/>
    <n v="325.97999999999996"/>
  </r>
  <r>
    <n v="47971"/>
    <x v="18"/>
    <n v="363"/>
    <n v="20"/>
    <s v="Fashion"/>
    <s v="Dress"/>
    <n v="5"/>
    <n v="279.12"/>
    <s v="Bank Transfer"/>
    <s v="East Dawn"/>
    <n v="4"/>
    <s v="F"/>
    <n v="47"/>
    <n v="1395.6"/>
    <n v="418.67999999999995"/>
  </r>
  <r>
    <n v="79864"/>
    <x v="19"/>
    <n v="825"/>
    <n v="20"/>
    <s v="Fashion"/>
    <s v="T-shirt"/>
    <n v="5"/>
    <n v="125.64"/>
    <s v="Cash on Delivery"/>
    <s v="Jennifermouth"/>
    <n v="3"/>
    <s v="M"/>
    <n v="36"/>
    <n v="628.20000000000005"/>
    <n v="188.46"/>
  </r>
  <r>
    <n v="68604"/>
    <x v="19"/>
    <n v="117"/>
    <n v="50"/>
    <s v="Sports &amp; Outdoors"/>
    <s v="Running Shoes"/>
    <n v="2"/>
    <n v="333.05"/>
    <s v="Credit Card"/>
    <s v="North Donna"/>
    <m/>
    <s v="F"/>
    <n v="45"/>
    <n v="666.1"/>
    <n v="199.83"/>
  </r>
  <r>
    <n v="13120"/>
    <x v="19"/>
    <n v="893"/>
    <n v="30"/>
    <s v="Home &amp; Living"/>
    <s v="Carpet"/>
    <n v="1"/>
    <n v="40.200000000000003"/>
    <s v="Cash on Delivery"/>
    <s v="New David"/>
    <n v="5"/>
    <s v="M"/>
    <n v="59"/>
    <n v="40.200000000000003"/>
    <n v="12.06"/>
  </r>
  <r>
    <n v="18511"/>
    <x v="19"/>
    <n v="877"/>
    <n v="30"/>
    <s v="Home &amp; Living"/>
    <s v="Vase"/>
    <n v="4"/>
    <n v="96.94"/>
    <s v="Cash on Delivery"/>
    <s v="West Alicia"/>
    <m/>
    <m/>
    <n v="56"/>
    <n v="387.76"/>
    <n v="116.32799999999999"/>
  </r>
  <r>
    <n v="78752"/>
    <x v="19"/>
    <n v="158"/>
    <n v="30"/>
    <s v="Home &amp; Living"/>
    <s v="Pillow"/>
    <n v="5"/>
    <n v="178.2"/>
    <s v="Credit Card"/>
    <s v="Lake Tinahaven"/>
    <n v="3"/>
    <s v="F"/>
    <n v="49"/>
    <n v="891"/>
    <n v="267.3"/>
  </r>
  <r>
    <n v="49651"/>
    <x v="20"/>
    <n v="937"/>
    <n v="40"/>
    <s v="Books &amp; Stationery"/>
    <s v="Novel"/>
    <n v="4"/>
    <n v="267.72000000000003"/>
    <s v="Bank Transfer"/>
    <s v="West Elizabethbury"/>
    <m/>
    <s v="M"/>
    <n v="19"/>
    <n v="1070.8800000000001"/>
    <n v="321.26400000000001"/>
  </r>
  <r>
    <n v="98322"/>
    <x v="20"/>
    <n v="157"/>
    <n v="50"/>
    <s v="Sports &amp; Outdoors"/>
    <s v="Basketball"/>
    <n v="1"/>
    <n v="200.44"/>
    <s v="Bank Transfer"/>
    <s v="North Alexis"/>
    <n v="5"/>
    <s v="F"/>
    <n v="60"/>
    <n v="200.44"/>
    <n v="60.131999999999998"/>
  </r>
  <r>
    <n v="28608"/>
    <x v="20"/>
    <n v="436"/>
    <n v="10"/>
    <s v="Electronics"/>
    <s v="Smartwatch"/>
    <n v="1"/>
    <n v="478.75"/>
    <s v="Cash on Delivery"/>
    <s v="Annaborough"/>
    <n v="3"/>
    <s v="M"/>
    <n v="51"/>
    <n v="478.75"/>
    <n v="143.625"/>
  </r>
  <r>
    <n v="87690"/>
    <x v="20"/>
    <n v="775"/>
    <n v="50"/>
    <s v="Sports &amp; Outdoors"/>
    <s v="Running Shoes"/>
    <n v="5"/>
    <n v="82.98"/>
    <s v="Cash on Delivery"/>
    <s v="East Kristen"/>
    <m/>
    <m/>
    <n v="41"/>
    <n v="414.90000000000003"/>
    <n v="124.47"/>
  </r>
  <r>
    <n v="11145"/>
    <x v="21"/>
    <n v="461"/>
    <n v="30"/>
    <s v="Home &amp; Living"/>
    <s v="Blanket"/>
    <n v="1"/>
    <n v="38.380000000000003"/>
    <s v="Cash on Delivery"/>
    <s v="Douglasport"/>
    <n v="5"/>
    <s v="M"/>
    <n v="34"/>
    <n v="38.380000000000003"/>
    <n v="11.514000000000001"/>
  </r>
  <r>
    <n v="51971"/>
    <x v="21"/>
    <n v="990"/>
    <n v="50"/>
    <s v="Sports &amp; Outdoors"/>
    <s v="Soccer Ball"/>
    <n v="4"/>
    <n v="115.36"/>
    <s v="Bank Transfer"/>
    <s v="Port Johnport"/>
    <m/>
    <s v="F"/>
    <n v="41"/>
    <n v="461.44"/>
    <n v="138.43199999999999"/>
  </r>
  <r>
    <n v="57960"/>
    <x v="21"/>
    <n v="951"/>
    <n v="40"/>
    <s v="Books &amp; Stationery"/>
    <s v="Pen"/>
    <n v="1"/>
    <n v="220.22"/>
    <s v="Bank Transfer"/>
    <s v="Connerburgh"/>
    <n v="3"/>
    <s v="M"/>
    <n v="29"/>
    <n v="220.22"/>
    <n v="66.066000000000003"/>
  </r>
  <r>
    <n v="16539"/>
    <x v="22"/>
    <n v="334"/>
    <n v="50"/>
    <s v="Sports &amp; Outdoors"/>
    <s v="Soccer Ball"/>
    <n v="3"/>
    <n v="474.32"/>
    <s v="Credit Card"/>
    <s v="Kathleenton"/>
    <n v="5"/>
    <s v="M"/>
    <n v="21"/>
    <n v="1422.96"/>
    <n v="426.88799999999998"/>
  </r>
  <r>
    <n v="26583"/>
    <x v="22"/>
    <n v="217"/>
    <n v="20"/>
    <s v="Fashion"/>
    <s v="Dress"/>
    <n v="4"/>
    <n v="43.23"/>
    <s v="Cash on Delivery"/>
    <s v="Lake Nicholas"/>
    <n v="5"/>
    <s v="M"/>
    <n v="60"/>
    <n v="172.92"/>
    <n v="51.875999999999998"/>
  </r>
  <r>
    <n v="48690"/>
    <x v="23"/>
    <n v="161"/>
    <n v="20"/>
    <s v="Fashion"/>
    <s v="Shirt"/>
    <n v="3"/>
    <n v="139.94999999999999"/>
    <s v="Bank Transfer"/>
    <s v="West Geraldhaven"/>
    <n v="5"/>
    <s v="F"/>
    <n v="18"/>
    <n v="419.84999999999997"/>
    <n v="125.95499999999998"/>
  </r>
  <r>
    <n v="52835"/>
    <x v="23"/>
    <n v="159"/>
    <n v="40"/>
    <s v="Books &amp; Stationery"/>
    <s v="Eraser"/>
    <n v="2"/>
    <n v="381.5"/>
    <s v="Cash on Delivery"/>
    <s v="North Davidchester"/>
    <n v="4"/>
    <s v="F"/>
    <n v="31"/>
    <n v="763"/>
    <n v="228.9"/>
  </r>
  <r>
    <n v="62699"/>
    <x v="23"/>
    <n v="722"/>
    <n v="10"/>
    <s v="Electronics"/>
    <s v="Laptop"/>
    <n v="4"/>
    <n v="19.28"/>
    <s v="Bank Transfer"/>
    <s v="Michaelchester"/>
    <n v="4"/>
    <s v="M"/>
    <n v="36"/>
    <n v="77.12"/>
    <n v="23.135999999999999"/>
  </r>
  <r>
    <n v="52134"/>
    <x v="23"/>
    <n v="592"/>
    <n v="50"/>
    <s v="Sports &amp; Outdoors"/>
    <s v="Basketball"/>
    <n v="1"/>
    <n v="340.27"/>
    <s v="Bank Transfer"/>
    <s v="West Rogerberg"/>
    <n v="1"/>
    <s v="M"/>
    <n v="65"/>
    <n v="340.27"/>
    <n v="102.08099999999999"/>
  </r>
  <r>
    <n v="54710"/>
    <x v="23"/>
    <n v="343"/>
    <n v="10"/>
    <s v="Electronics"/>
    <s v="Smartwatch"/>
    <n v="5"/>
    <n v="240.37"/>
    <s v="Credit Card"/>
    <s v="Huntberg"/>
    <n v="5"/>
    <s v="M"/>
    <n v="27"/>
    <n v="1201.8499999999999"/>
    <n v="360.55499999999995"/>
  </r>
  <r>
    <n v="48695"/>
    <x v="24"/>
    <n v="545"/>
    <n v="30"/>
    <s v="Home &amp; Living"/>
    <s v="Blanket"/>
    <n v="4"/>
    <n v="191.39"/>
    <s v="Credit Card"/>
    <s v="Lake Ian"/>
    <n v="5"/>
    <s v="F"/>
    <n v="34"/>
    <n v="765.56"/>
    <n v="229.66799999999998"/>
  </r>
  <r>
    <n v="67405"/>
    <x v="25"/>
    <n v="183"/>
    <n v="20"/>
    <s v="Fashion"/>
    <s v="T-shirt"/>
    <n v="2"/>
    <n v="85.31"/>
    <s v="Bank Transfer"/>
    <s v="Morrisport"/>
    <n v="4"/>
    <s v="F"/>
    <n v="43"/>
    <n v="170.62"/>
    <n v="51.186"/>
  </r>
  <r>
    <n v="23743"/>
    <x v="26"/>
    <n v="388"/>
    <n v="40"/>
    <s v="Books &amp; Stationery"/>
    <s v="Pen"/>
    <n v="4"/>
    <n v="235.81"/>
    <s v="Cash on Delivery"/>
    <s v="Fishertown"/>
    <n v="5"/>
    <s v="M"/>
    <n v="43"/>
    <n v="943.24"/>
    <n v="282.97199999999998"/>
  </r>
  <r>
    <n v="61935"/>
    <x v="26"/>
    <n v="484"/>
    <n v="30"/>
    <s v="Home &amp; Living"/>
    <s v="Vase"/>
    <n v="3"/>
    <n v="393.51"/>
    <s v="Bank Transfer"/>
    <s v="Johnnyton"/>
    <n v="2"/>
    <s v="M"/>
    <n v="68"/>
    <n v="1180.53"/>
    <n v="354.15899999999999"/>
  </r>
  <r>
    <n v="11455"/>
    <x v="26"/>
    <n v="374"/>
    <n v="50"/>
    <s v="Sports &amp; Outdoors"/>
    <s v="Yoga Mat"/>
    <n v="2"/>
    <n v="101.7"/>
    <s v="Bank Transfer"/>
    <s v="Wrightfort"/>
    <n v="1"/>
    <s v="F"/>
    <n v="48"/>
    <n v="203.4"/>
    <n v="61.019999999999996"/>
  </r>
  <r>
    <n v="52736"/>
    <x v="27"/>
    <n v="175"/>
    <n v="20"/>
    <s v="Fashion"/>
    <s v="Shirt"/>
    <n v="2"/>
    <n v="167.59"/>
    <s v="Bank Transfer"/>
    <s v="West Jerome"/>
    <n v="3"/>
    <s v="F"/>
    <n v="49"/>
    <n v="335.18"/>
    <n v="100.554"/>
  </r>
  <r>
    <n v="81790"/>
    <x v="27"/>
    <n v="854"/>
    <n v="10"/>
    <s v="Electronics"/>
    <s v="Smartphone"/>
    <n v="5"/>
    <n v="372.39"/>
    <s v="Credit Card"/>
    <s v="North Jonathanborough"/>
    <n v="5"/>
    <m/>
    <n v="74"/>
    <n v="1861.9499999999998"/>
    <n v="558.58499999999992"/>
  </r>
  <r>
    <n v="36759"/>
    <x v="28"/>
    <n v="952"/>
    <n v="40"/>
    <s v="Books &amp; Stationery"/>
    <s v="Novel"/>
    <n v="5"/>
    <n v="155.25"/>
    <s v="Cash on Delivery"/>
    <s v="Michaelfurt"/>
    <m/>
    <s v="F"/>
    <n v="43"/>
    <n v="776.25"/>
    <n v="232.875"/>
  </r>
  <r>
    <n v="41166"/>
    <x v="29"/>
    <n v="783"/>
    <n v="50"/>
    <s v="Sports &amp; Outdoors"/>
    <s v="Yoga Mat"/>
    <n v="5"/>
    <n v="51.74"/>
    <s v="Credit Card"/>
    <s v="North Matthew"/>
    <m/>
    <s v="F"/>
    <n v="61"/>
    <n v="258.7"/>
    <n v="77.61"/>
  </r>
  <r>
    <n v="21004"/>
    <x v="29"/>
    <n v="843"/>
    <n v="30"/>
    <s v="Home &amp; Living"/>
    <s v="Pillow"/>
    <n v="5"/>
    <n v="171.55"/>
    <s v="Cash on Delivery"/>
    <s v="Lake Catherine"/>
    <n v="5"/>
    <s v="M"/>
    <n v="30"/>
    <n v="857.75"/>
    <n v="257.32499999999999"/>
  </r>
  <r>
    <n v="29895"/>
    <x v="29"/>
    <n v="150"/>
    <n v="40"/>
    <s v="Books &amp; Stationery"/>
    <s v="Eraser"/>
    <n v="3"/>
    <n v="211.29"/>
    <s v="Bank Transfer"/>
    <s v="Ramirezmouth"/>
    <n v="5"/>
    <s v="M"/>
    <n v="47"/>
    <n v="633.87"/>
    <n v="190.161"/>
  </r>
  <r>
    <n v="90910"/>
    <x v="29"/>
    <n v="280"/>
    <n v="20"/>
    <s v="Fashion"/>
    <s v="Skirt"/>
    <n v="3"/>
    <n v="300.18"/>
    <s v="Bank Transfer"/>
    <s v="Johnnystad"/>
    <m/>
    <s v="M"/>
    <n v="24"/>
    <n v="900.54"/>
    <n v="270.16199999999998"/>
  </r>
  <r>
    <n v="58481"/>
    <x v="30"/>
    <n v="128"/>
    <n v="50"/>
    <s v="Sports &amp; Outdoors"/>
    <s v="Yoga Mat"/>
    <n v="4"/>
    <n v="99.56"/>
    <s v="Cash on Delivery"/>
    <s v="Taylorland"/>
    <n v="5"/>
    <m/>
    <n v="57"/>
    <n v="398.24"/>
    <n v="119.47199999999999"/>
  </r>
  <r>
    <n v="22360"/>
    <x v="31"/>
    <n v="766"/>
    <n v="10"/>
    <s v="Electronics"/>
    <s v="Laptop"/>
    <n v="3"/>
    <n v="192.92"/>
    <s v="Credit Card"/>
    <s v="Port Maxwell"/>
    <n v="4"/>
    <s v="M"/>
    <n v="68"/>
    <n v="578.76"/>
    <n v="173.62799999999999"/>
  </r>
  <r>
    <n v="60294"/>
    <x v="31"/>
    <n v="486"/>
    <n v="30"/>
    <s v="Home &amp; Living"/>
    <s v="Blanket"/>
    <n v="4"/>
    <n v="150.77000000000001"/>
    <s v="Bank Transfer"/>
    <s v="Thomastown"/>
    <n v="5"/>
    <s v="F"/>
    <n v="26"/>
    <n v="603.08000000000004"/>
    <n v="180.92400000000001"/>
  </r>
  <r>
    <n v="72324"/>
    <x v="31"/>
    <n v="735"/>
    <n v="40"/>
    <s v="Books &amp; Stationery"/>
    <s v="Pen"/>
    <n v="1"/>
    <n v="267.64999999999998"/>
    <s v="Cash on Delivery"/>
    <s v="Crosbyfort"/>
    <n v="4"/>
    <s v="M"/>
    <n v="64"/>
    <n v="267.64999999999998"/>
    <n v="80.294999999999987"/>
  </r>
  <r>
    <n v="87478"/>
    <x v="31"/>
    <n v="788"/>
    <n v="30"/>
    <s v="Home &amp; Living"/>
    <s v="Vase"/>
    <n v="1"/>
    <n v="22.21"/>
    <s v="Bank Transfer"/>
    <s v="Williamton"/>
    <n v="4"/>
    <s v="F"/>
    <n v="50"/>
    <n v="22.21"/>
    <n v="6.6630000000000003"/>
  </r>
  <r>
    <n v="89789"/>
    <x v="31"/>
    <n v="953"/>
    <n v="30"/>
    <s v="Home &amp; Living"/>
    <s v="Painting"/>
    <n v="4"/>
    <n v="204.06"/>
    <s v="Cash on Delivery"/>
    <s v="Huffmanshire"/>
    <n v="5"/>
    <s v="M"/>
    <n v="71"/>
    <n v="816.24"/>
    <n v="244.87199999999999"/>
  </r>
  <r>
    <n v="32363"/>
    <x v="31"/>
    <n v="157"/>
    <n v="50"/>
    <s v="Sports &amp; Outdoors"/>
    <s v="Tent"/>
    <n v="1"/>
    <n v="60.16"/>
    <s v="Cash on Delivery"/>
    <s v="Greenborough"/>
    <n v="3"/>
    <s v="M"/>
    <n v="61"/>
    <n v="60.16"/>
    <n v="18.047999999999998"/>
  </r>
  <r>
    <n v="61065"/>
    <x v="32"/>
    <n v="988"/>
    <n v="10"/>
    <s v="Electronics"/>
    <s v="Laptop"/>
    <n v="1"/>
    <n v="465.66"/>
    <s v="Cash on Delivery"/>
    <s v="West Rebekahland"/>
    <n v="1"/>
    <s v="M"/>
    <n v="25"/>
    <n v="465.66"/>
    <n v="139.69800000000001"/>
  </r>
  <r>
    <n v="49701"/>
    <x v="33"/>
    <n v="684"/>
    <n v="40"/>
    <s v="Books &amp; Stationery"/>
    <s v="Story Book"/>
    <n v="1"/>
    <n v="107.79"/>
    <s v="Bank Transfer"/>
    <s v="Lake Jasmineport"/>
    <n v="3"/>
    <s v="F"/>
    <n v="63"/>
    <n v="107.79"/>
    <n v="32.337000000000003"/>
  </r>
  <r>
    <n v="49765"/>
    <x v="33"/>
    <n v="389"/>
    <n v="40"/>
    <s v="Books &amp; Stationery"/>
    <s v="Eraser"/>
    <n v="3"/>
    <n v="385.37"/>
    <s v="Credit Card"/>
    <s v="Jensenstad"/>
    <n v="1"/>
    <s v="M"/>
    <n v="35"/>
    <n v="1156.1100000000001"/>
    <n v="346.83300000000003"/>
  </r>
  <r>
    <n v="13591"/>
    <x v="33"/>
    <n v="884"/>
    <n v="30"/>
    <s v="Home &amp; Living"/>
    <s v="Pillow"/>
    <n v="1"/>
    <n v="394.06"/>
    <s v="Credit Card"/>
    <s v="Cameronside"/>
    <n v="4"/>
    <s v="M"/>
    <n v="18"/>
    <n v="394.06"/>
    <n v="118.21799999999999"/>
  </r>
  <r>
    <n v="70242"/>
    <x v="33"/>
    <n v="732"/>
    <n v="50"/>
    <s v="Sports &amp; Outdoors"/>
    <s v="Running Shoes"/>
    <n v="2"/>
    <n v="325.89"/>
    <s v="Credit Card"/>
    <s v="Garciamouth"/>
    <n v="2"/>
    <s v="M"/>
    <n v="27"/>
    <n v="651.78"/>
    <n v="195.53399999999999"/>
  </r>
  <r>
    <n v="38808"/>
    <x v="33"/>
    <n v="928"/>
    <n v="20"/>
    <s v="Fashion"/>
    <s v="T-shirt"/>
    <n v="2"/>
    <n v="313.67"/>
    <s v="Bank Transfer"/>
    <s v="South Coltonport"/>
    <n v="5"/>
    <s v="M"/>
    <n v="73"/>
    <n v="627.34"/>
    <n v="188.202"/>
  </r>
  <r>
    <n v="10792"/>
    <x v="33"/>
    <n v="898"/>
    <n v="50"/>
    <s v="Sports &amp; Outdoors"/>
    <s v="Running Shoes"/>
    <n v="2"/>
    <n v="31.51"/>
    <s v="Credit Card"/>
    <s v="East Lisaview"/>
    <n v="5"/>
    <s v="F"/>
    <n v="49"/>
    <n v="63.02"/>
    <n v="18.905999999999999"/>
  </r>
  <r>
    <n v="15676"/>
    <x v="34"/>
    <n v="649"/>
    <n v="40"/>
    <s v="Books &amp; Stationery"/>
    <s v="Eraser"/>
    <n v="3"/>
    <n v="355.78"/>
    <s v="Cash on Delivery"/>
    <s v="Rachelland"/>
    <m/>
    <s v="M"/>
    <n v="72"/>
    <n v="1067.3399999999999"/>
    <n v="320.20199999999994"/>
  </r>
  <r>
    <n v="69990"/>
    <x v="34"/>
    <n v="839"/>
    <n v="20"/>
    <s v="Fashion"/>
    <s v="Shirt"/>
    <n v="2"/>
    <n v="265.33999999999997"/>
    <s v="Cash on Delivery"/>
    <s v="Ericfurt"/>
    <n v="3"/>
    <s v="M"/>
    <n v="49"/>
    <n v="530.67999999999995"/>
    <n v="159.20399999999998"/>
  </r>
  <r>
    <n v="35822"/>
    <x v="34"/>
    <n v="748"/>
    <n v="50"/>
    <s v="Sports &amp; Outdoors"/>
    <s v="Basketball"/>
    <n v="1"/>
    <n v="473.99"/>
    <s v="Bank Transfer"/>
    <s v="Lake Jason"/>
    <n v="5"/>
    <s v="M"/>
    <n v="57"/>
    <n v="473.99"/>
    <n v="142.197"/>
  </r>
  <r>
    <n v="63919"/>
    <x v="35"/>
    <n v="209"/>
    <n v="40"/>
    <s v="Books &amp; Stationery"/>
    <s v="Pen"/>
    <n v="3"/>
    <n v="12.89"/>
    <s v="Bank Transfer"/>
    <s v="Jeffreyville"/>
    <n v="2"/>
    <s v="M"/>
    <n v="54"/>
    <n v="38.67"/>
    <n v="11.601000000000001"/>
  </r>
  <r>
    <n v="71490"/>
    <x v="35"/>
    <n v="364"/>
    <n v="40"/>
    <s v="Books &amp; Stationery"/>
    <s v="Eraser"/>
    <n v="1"/>
    <n v="195.85"/>
    <s v="Credit Card"/>
    <s v="Robertton"/>
    <n v="1"/>
    <s v="M"/>
    <n v="45"/>
    <n v="195.85"/>
    <n v="58.754999999999995"/>
  </r>
  <r>
    <n v="10679"/>
    <x v="35"/>
    <n v="819"/>
    <n v="10"/>
    <s v="Electronics"/>
    <s v="Laptop"/>
    <n v="4"/>
    <n v="192.51"/>
    <s v="Cash on Delivery"/>
    <s v="Douglashaven"/>
    <n v="4"/>
    <m/>
    <n v="53"/>
    <n v="770.04"/>
    <n v="231.01199999999997"/>
  </r>
  <r>
    <n v="82764"/>
    <x v="35"/>
    <n v="763"/>
    <n v="10"/>
    <s v="Electronics"/>
    <s v="Smartphone"/>
    <n v="1"/>
    <n v="317.08"/>
    <s v="Credit Card"/>
    <s v="Lake Scottfurt"/>
    <n v="1"/>
    <s v="F"/>
    <n v="37"/>
    <n v="317.08"/>
    <n v="95.123999999999995"/>
  </r>
  <r>
    <n v="93989"/>
    <x v="36"/>
    <n v="573"/>
    <n v="50"/>
    <s v="Sports &amp; Outdoors"/>
    <s v="Running Shoes"/>
    <n v="5"/>
    <n v="85.85"/>
    <s v="Bank Transfer"/>
    <s v="Williamston"/>
    <n v="1"/>
    <s v="M"/>
    <n v="70"/>
    <n v="429.25"/>
    <n v="128.77500000000001"/>
  </r>
  <r>
    <n v="93663"/>
    <x v="36"/>
    <n v="482"/>
    <n v="10"/>
    <s v="Electronics"/>
    <s v="Smartwatch"/>
    <n v="1"/>
    <n v="297.2"/>
    <s v="Credit Card"/>
    <s v="Gonzalesside"/>
    <m/>
    <s v="M"/>
    <n v="53"/>
    <n v="297.2"/>
    <n v="89.16"/>
  </r>
  <r>
    <n v="99272"/>
    <x v="37"/>
    <n v="847"/>
    <n v="20"/>
    <s v="Fashion"/>
    <s v="Pants"/>
    <n v="3"/>
    <n v="40.92"/>
    <s v="Bank Transfer"/>
    <s v="South Becky"/>
    <m/>
    <s v="M"/>
    <n v="66"/>
    <n v="122.76"/>
    <n v="36.828000000000003"/>
  </r>
  <r>
    <n v="28381"/>
    <x v="37"/>
    <n v="973"/>
    <n v="30"/>
    <s v="Home &amp; Living"/>
    <s v="Pillow"/>
    <n v="1"/>
    <n v="324.51"/>
    <s v="Bank Transfer"/>
    <s v="Loribury"/>
    <m/>
    <s v="F"/>
    <n v="35"/>
    <n v="324.51"/>
    <n v="97.352999999999994"/>
  </r>
  <r>
    <n v="43995"/>
    <x v="37"/>
    <n v="537"/>
    <n v="40"/>
    <s v="Books &amp; Stationery"/>
    <s v="Novel"/>
    <n v="4"/>
    <n v="375.98"/>
    <s v="Credit Card"/>
    <s v="South Donna"/>
    <m/>
    <s v="F"/>
    <n v="62"/>
    <n v="1503.92"/>
    <n v="451.17599999999999"/>
  </r>
  <r>
    <n v="19327"/>
    <x v="37"/>
    <n v="454"/>
    <n v="50"/>
    <s v="Sports &amp; Outdoors"/>
    <s v="Soccer Ball"/>
    <n v="3"/>
    <n v="334.71"/>
    <s v="Cash on Delivery"/>
    <s v="Henryborough"/>
    <n v="5"/>
    <s v="F"/>
    <n v="26"/>
    <n v="1004.1299999999999"/>
    <n v="301.23899999999998"/>
  </r>
  <r>
    <n v="45270"/>
    <x v="37"/>
    <n v="685"/>
    <n v="40"/>
    <s v="Books &amp; Stationery"/>
    <s v="Notebook"/>
    <n v="1"/>
    <n v="410.45"/>
    <s v="Bank Transfer"/>
    <s v="Raytown"/>
    <n v="4"/>
    <s v="F"/>
    <n v="71"/>
    <n v="410.45"/>
    <n v="123.13499999999999"/>
  </r>
  <r>
    <n v="46034"/>
    <x v="37"/>
    <n v="995"/>
    <n v="40"/>
    <s v="Books &amp; Stationery"/>
    <s v="Notebook"/>
    <n v="5"/>
    <n v="115.91"/>
    <s v="Bank Transfer"/>
    <s v="Ronaldborough"/>
    <m/>
    <s v="M"/>
    <n v="54"/>
    <n v="579.54999999999995"/>
    <n v="173.86499999999998"/>
  </r>
  <r>
    <n v="85558"/>
    <x v="38"/>
    <n v="619"/>
    <n v="40"/>
    <s v="Books &amp; Stationery"/>
    <s v="Pen"/>
    <n v="3"/>
    <n v="367.51"/>
    <s v="Bank Transfer"/>
    <s v="South Lauramouth"/>
    <n v="4"/>
    <s v="F"/>
    <n v="60"/>
    <n v="1102.53"/>
    <n v="330.75899999999996"/>
  </r>
  <r>
    <n v="69895"/>
    <x v="38"/>
    <n v="848"/>
    <n v="20"/>
    <s v="Fashion"/>
    <s v="Pants"/>
    <n v="3"/>
    <n v="435.72"/>
    <s v="Credit Card"/>
    <s v="South Carolynchester"/>
    <n v="5"/>
    <s v="M"/>
    <n v="50"/>
    <n v="1307.1600000000001"/>
    <n v="392.14800000000002"/>
  </r>
  <r>
    <n v="37431"/>
    <x v="39"/>
    <n v="736"/>
    <n v="40"/>
    <s v="Books &amp; Stationery"/>
    <s v="Notebook"/>
    <n v="5"/>
    <n v="422.39"/>
    <s v="Bank Transfer"/>
    <s v="Lake Linda"/>
    <n v="5"/>
    <s v="M"/>
    <n v="26"/>
    <n v="2111.9499999999998"/>
    <n v="633.58499999999992"/>
  </r>
  <r>
    <n v="73293"/>
    <x v="40"/>
    <n v="799"/>
    <n v="50"/>
    <s v="Sports &amp; Outdoors"/>
    <s v="Basketball"/>
    <n v="1"/>
    <n v="463.62"/>
    <s v="Credit Card"/>
    <s v="Port Thomaston"/>
    <n v="5"/>
    <m/>
    <n v="72"/>
    <n v="463.62"/>
    <n v="139.08599999999998"/>
  </r>
  <r>
    <n v="96674"/>
    <x v="40"/>
    <n v="674"/>
    <n v="40"/>
    <s v="Books &amp; Stationery"/>
    <s v="Eraser"/>
    <n v="3"/>
    <n v="312.17"/>
    <s v="Bank Transfer"/>
    <s v="Reedside"/>
    <m/>
    <s v="M"/>
    <n v="21"/>
    <n v="936.51"/>
    <n v="280.95299999999997"/>
  </r>
  <r>
    <n v="26759"/>
    <x v="40"/>
    <n v="762"/>
    <n v="30"/>
    <s v="Home &amp; Living"/>
    <s v="Pillow"/>
    <n v="3"/>
    <n v="110.55"/>
    <s v="Credit Card"/>
    <s v="East Loretta"/>
    <n v="4"/>
    <m/>
    <n v="44"/>
    <n v="331.65"/>
    <n v="99.49499999999999"/>
  </r>
  <r>
    <n v="28844"/>
    <x v="40"/>
    <n v="580"/>
    <n v="40"/>
    <s v="Books &amp; Stationery"/>
    <s v="Pen"/>
    <n v="2"/>
    <n v="378.89"/>
    <s v="Cash on Delivery"/>
    <s v="Jasonfort"/>
    <n v="4"/>
    <s v="M"/>
    <n v="51"/>
    <n v="757.78"/>
    <n v="227.33399999999997"/>
  </r>
  <r>
    <n v="61272"/>
    <x v="41"/>
    <n v="192"/>
    <n v="40"/>
    <s v="Books &amp; Stationery"/>
    <s v="Pen"/>
    <n v="3"/>
    <n v="46.24"/>
    <s v="Cash on Delivery"/>
    <s v="North Kathryn"/>
    <n v="4"/>
    <s v="M"/>
    <n v="18"/>
    <n v="138.72"/>
    <n v="41.616"/>
  </r>
  <r>
    <n v="37265"/>
    <x v="41"/>
    <n v="162"/>
    <n v="20"/>
    <s v="Fashion"/>
    <s v="Shirt"/>
    <n v="3"/>
    <n v="198.02"/>
    <s v="Credit Card"/>
    <s v="Colemanmouth"/>
    <n v="4"/>
    <s v="F"/>
    <n v="37"/>
    <n v="594.06000000000006"/>
    <n v="178.21800000000002"/>
  </r>
  <r>
    <n v="70446"/>
    <x v="42"/>
    <n v="918"/>
    <n v="50"/>
    <s v="Sports &amp; Outdoors"/>
    <s v="Running Shoes"/>
    <n v="5"/>
    <n v="237.79"/>
    <s v="Cash on Delivery"/>
    <s v="Amyhaven"/>
    <n v="4"/>
    <s v="M"/>
    <n v="56"/>
    <n v="1188.95"/>
    <n v="356.685"/>
  </r>
  <r>
    <n v="56073"/>
    <x v="42"/>
    <n v="440"/>
    <n v="50"/>
    <s v="Sports &amp; Outdoors"/>
    <s v="Tent"/>
    <n v="4"/>
    <n v="121.5"/>
    <s v="Credit Card"/>
    <s v="Lake Jennifer"/>
    <n v="4"/>
    <s v="M"/>
    <n v="57"/>
    <n v="486"/>
    <n v="145.79999999999998"/>
  </r>
  <r>
    <n v="84937"/>
    <x v="42"/>
    <n v="186"/>
    <n v="50"/>
    <s v="Sports &amp; Outdoors"/>
    <s v="Yoga Mat"/>
    <n v="4"/>
    <n v="37.17"/>
    <s v="Cash on Delivery"/>
    <s v="Montgomeryberg"/>
    <m/>
    <s v="M"/>
    <n v="45"/>
    <n v="148.68"/>
    <n v="44.603999999999999"/>
  </r>
  <r>
    <n v="28063"/>
    <x v="43"/>
    <n v="398"/>
    <n v="30"/>
    <s v="Home &amp; Living"/>
    <s v="Carpet"/>
    <n v="5"/>
    <n v="16.7"/>
    <s v="Bank Transfer"/>
    <s v="Robertsbury"/>
    <m/>
    <m/>
    <n v="26"/>
    <n v="83.5"/>
    <n v="25.05"/>
  </r>
  <r>
    <n v="10403"/>
    <x v="43"/>
    <n v="643"/>
    <n v="10"/>
    <s v="Electronics"/>
    <s v="Smartphone"/>
    <n v="5"/>
    <n v="263.87"/>
    <s v="Bank Transfer"/>
    <s v="Lake Kimberlyburgh"/>
    <m/>
    <s v="M"/>
    <n v="65"/>
    <n v="1319.35"/>
    <n v="395.80499999999995"/>
  </r>
  <r>
    <n v="50200"/>
    <x v="43"/>
    <n v="841"/>
    <n v="50"/>
    <s v="Sports &amp; Outdoors"/>
    <s v="Yoga Mat"/>
    <n v="2"/>
    <n v="257.01"/>
    <s v="Bank Transfer"/>
    <s v="Lake Jason"/>
    <n v="4"/>
    <s v="F"/>
    <n v="39"/>
    <n v="514.02"/>
    <n v="154.20599999999999"/>
  </r>
  <r>
    <n v="77187"/>
    <x v="43"/>
    <n v="500"/>
    <n v="20"/>
    <s v="Fashion"/>
    <s v="T-shirt"/>
    <n v="1"/>
    <n v="149.72"/>
    <s v="Credit Card"/>
    <s v="South Edgartown"/>
    <n v="5"/>
    <s v="M"/>
    <n v="40"/>
    <n v="149.72"/>
    <n v="44.915999999999997"/>
  </r>
  <r>
    <n v="87513"/>
    <x v="44"/>
    <n v="782"/>
    <n v="50"/>
    <s v="Sports &amp; Outdoors"/>
    <s v="Soccer Ball"/>
    <n v="2"/>
    <n v="285.98"/>
    <s v="Cash on Delivery"/>
    <s v="Taylorview"/>
    <n v="5"/>
    <s v="M"/>
    <n v="44"/>
    <n v="571.96"/>
    <n v="171.58799999999999"/>
  </r>
  <r>
    <n v="53575"/>
    <x v="44"/>
    <n v="622"/>
    <n v="40"/>
    <s v="Books &amp; Stationery"/>
    <s v="Novel"/>
    <n v="3"/>
    <n v="75.02"/>
    <s v="Credit Card"/>
    <s v="Brownbury"/>
    <n v="4"/>
    <s v="M"/>
    <n v="33"/>
    <n v="225.06"/>
    <n v="67.518000000000001"/>
  </r>
  <r>
    <n v="81927"/>
    <x v="44"/>
    <n v="669"/>
    <n v="50"/>
    <s v="Sports &amp; Outdoors"/>
    <s v="Basketball"/>
    <n v="1"/>
    <n v="482.29"/>
    <s v="Credit Card"/>
    <s v="Dukeborough"/>
    <n v="4"/>
    <s v="M"/>
    <n v="61"/>
    <n v="482.29"/>
    <n v="144.68700000000001"/>
  </r>
  <r>
    <n v="41333"/>
    <x v="44"/>
    <n v="459"/>
    <n v="10"/>
    <s v="Electronics"/>
    <s v="Laptop"/>
    <n v="3"/>
    <n v="398.31"/>
    <s v="Cash on Delivery"/>
    <s v="Reidville"/>
    <n v="4"/>
    <s v="M"/>
    <n v="43"/>
    <n v="1194.93"/>
    <n v="358.47899999999998"/>
  </r>
  <r>
    <n v="67967"/>
    <x v="44"/>
    <n v="965"/>
    <n v="40"/>
    <s v="Books &amp; Stationery"/>
    <s v="Notebook"/>
    <n v="3"/>
    <n v="495.24"/>
    <s v="Cash on Delivery"/>
    <s v="Hodgemouth"/>
    <m/>
    <m/>
    <n v="30"/>
    <n v="1485.72"/>
    <n v="445.71600000000001"/>
  </r>
  <r>
    <n v="87219"/>
    <x v="45"/>
    <n v="234"/>
    <n v="50"/>
    <s v="Sports &amp; Outdoors"/>
    <s v="Yoga Mat"/>
    <n v="1"/>
    <n v="52.5"/>
    <s v="Cash on Delivery"/>
    <s v="Sanchezborough"/>
    <m/>
    <m/>
    <n v="25"/>
    <n v="52.5"/>
    <n v="15.75"/>
  </r>
  <r>
    <n v="49017"/>
    <x v="46"/>
    <n v="128"/>
    <n v="20"/>
    <s v="Fashion"/>
    <s v="Pants"/>
    <n v="1"/>
    <n v="255.32"/>
    <s v="Bank Transfer"/>
    <s v="Shawnburgh"/>
    <n v="4"/>
    <s v="F"/>
    <n v="70"/>
    <n v="255.32"/>
    <n v="76.595999999999989"/>
  </r>
  <r>
    <n v="26545"/>
    <x v="47"/>
    <n v="985"/>
    <n v="30"/>
    <s v="Home &amp; Living"/>
    <s v="Carpet"/>
    <n v="2"/>
    <n v="470.08"/>
    <s v="Credit Card"/>
    <s v="Millerhaven"/>
    <m/>
    <s v="F"/>
    <n v="54"/>
    <n v="940.16"/>
    <n v="282.048"/>
  </r>
  <r>
    <n v="42097"/>
    <x v="47"/>
    <n v="317"/>
    <n v="10"/>
    <s v="Electronics"/>
    <s v="Laptop"/>
    <n v="3"/>
    <n v="213.16"/>
    <s v="Bank Transfer"/>
    <s v="West Daniel"/>
    <n v="5"/>
    <s v="F"/>
    <n v="63"/>
    <n v="639.48"/>
    <n v="191.84399999999999"/>
  </r>
  <r>
    <n v="62506"/>
    <x v="48"/>
    <n v="560"/>
    <n v="50"/>
    <s v="Sports &amp; Outdoors"/>
    <s v="Tent"/>
    <n v="1"/>
    <n v="294.45"/>
    <s v="Cash on Delivery"/>
    <s v="Port Kellyview"/>
    <n v="1"/>
    <s v="M"/>
    <n v="65"/>
    <n v="294.45"/>
    <n v="88.334999999999994"/>
  </r>
  <r>
    <n v="57366"/>
    <x v="48"/>
    <n v="267"/>
    <n v="10"/>
    <s v="Electronics"/>
    <s v="Laptop"/>
    <n v="2"/>
    <n v="331.86"/>
    <s v="Bank Transfer"/>
    <s v="West Joshuahaven"/>
    <n v="4"/>
    <s v="F"/>
    <n v="32"/>
    <n v="663.72"/>
    <n v="199.11600000000001"/>
  </r>
  <r>
    <n v="24024"/>
    <x v="48"/>
    <n v="869"/>
    <n v="50"/>
    <s v="Sports &amp; Outdoors"/>
    <s v="Basketball"/>
    <n v="5"/>
    <n v="419.98"/>
    <s v="Bank Transfer"/>
    <s v="Shanetown"/>
    <n v="4"/>
    <s v="M"/>
    <n v="55"/>
    <n v="2099.9"/>
    <n v="629.97"/>
  </r>
  <r>
    <n v="38114"/>
    <x v="48"/>
    <n v="817"/>
    <n v="30"/>
    <s v="Home &amp; Living"/>
    <s v="Carpet"/>
    <n v="2"/>
    <n v="287.85000000000002"/>
    <s v="Credit Card"/>
    <s v="South Brianna"/>
    <n v="4"/>
    <s v="M"/>
    <n v="20"/>
    <n v="575.70000000000005"/>
    <n v="172.71"/>
  </r>
  <r>
    <n v="63872"/>
    <x v="49"/>
    <n v="202"/>
    <n v="20"/>
    <s v="Fashion"/>
    <s v="Skirt"/>
    <n v="4"/>
    <n v="176.72"/>
    <s v="Credit Card"/>
    <s v="Jenkinshaven"/>
    <n v="1"/>
    <s v="F"/>
    <n v="33"/>
    <n v="706.88"/>
    <n v="212.06399999999999"/>
  </r>
  <r>
    <n v="11829"/>
    <x v="49"/>
    <n v="651"/>
    <n v="20"/>
    <s v="Fashion"/>
    <s v="Pants"/>
    <n v="5"/>
    <n v="85.92"/>
    <s v="Bank Transfer"/>
    <s v="Brendaton"/>
    <n v="5"/>
    <s v="M"/>
    <n v="41"/>
    <n v="429.6"/>
    <n v="128.88"/>
  </r>
  <r>
    <n v="47189"/>
    <x v="49"/>
    <n v="700"/>
    <n v="30"/>
    <s v="Home &amp; Living"/>
    <s v="Carpet"/>
    <n v="1"/>
    <n v="385.88"/>
    <s v="Bank Transfer"/>
    <s v="New Amy"/>
    <n v="5"/>
    <s v="M"/>
    <n v="57"/>
    <n v="385.88"/>
    <n v="115.764"/>
  </r>
  <r>
    <n v="57457"/>
    <x v="50"/>
    <n v="284"/>
    <n v="20"/>
    <s v="Fashion"/>
    <s v="Shirt"/>
    <n v="1"/>
    <n v="80.650000000000006"/>
    <s v="Cash on Delivery"/>
    <s v="South Shanehaven"/>
    <n v="5"/>
    <m/>
    <n v="37"/>
    <n v="80.650000000000006"/>
    <n v="24.195"/>
  </r>
  <r>
    <n v="25761"/>
    <x v="50"/>
    <n v="657"/>
    <n v="40"/>
    <s v="Books &amp; Stationery"/>
    <s v="Notebook"/>
    <n v="4"/>
    <n v="449.55"/>
    <s v="Credit Card"/>
    <s v="Port Andre"/>
    <n v="3"/>
    <s v="F"/>
    <n v="29"/>
    <n v="1798.2"/>
    <n v="539.46"/>
  </r>
  <r>
    <n v="42068"/>
    <x v="51"/>
    <n v="529"/>
    <n v="40"/>
    <s v="Books &amp; Stationery"/>
    <s v="Notebook"/>
    <n v="5"/>
    <n v="152.81"/>
    <s v="Cash on Delivery"/>
    <s v="Rosebury"/>
    <n v="5"/>
    <m/>
    <n v="19"/>
    <n v="764.05"/>
    <n v="229.21499999999997"/>
  </r>
  <r>
    <n v="48362"/>
    <x v="51"/>
    <n v="186"/>
    <n v="10"/>
    <s v="Electronics"/>
    <s v="Tablet"/>
    <n v="1"/>
    <n v="81.209999999999994"/>
    <s v="Cash on Delivery"/>
    <s v="Guzmanside"/>
    <m/>
    <s v="M"/>
    <n v="45"/>
    <n v="81.209999999999994"/>
    <n v="24.362999999999996"/>
  </r>
  <r>
    <n v="72159"/>
    <x v="51"/>
    <n v="329"/>
    <n v="40"/>
    <s v="Books &amp; Stationery"/>
    <s v="Notebook"/>
    <n v="3"/>
    <n v="227.07"/>
    <s v="Cash on Delivery"/>
    <s v="Snyderborough"/>
    <n v="5"/>
    <s v="M"/>
    <n v="64"/>
    <n v="681.21"/>
    <n v="204.363"/>
  </r>
  <r>
    <n v="46992"/>
    <x v="52"/>
    <n v="824"/>
    <n v="20"/>
    <s v="Fashion"/>
    <s v="T-shirt"/>
    <n v="2"/>
    <n v="227.13"/>
    <s v="Cash on Delivery"/>
    <s v="East Corytown"/>
    <m/>
    <s v="F"/>
    <n v="30"/>
    <n v="454.26"/>
    <n v="136.27799999999999"/>
  </r>
  <r>
    <n v="32080"/>
    <x v="52"/>
    <n v="354"/>
    <n v="20"/>
    <s v="Fashion"/>
    <s v="Pants"/>
    <n v="4"/>
    <n v="21.6"/>
    <s v="Credit Card"/>
    <s v="Garrisonberg"/>
    <n v="3"/>
    <s v="M"/>
    <n v="18"/>
    <n v="86.4"/>
    <n v="25.92"/>
  </r>
  <r>
    <n v="87787"/>
    <x v="52"/>
    <n v="836"/>
    <n v="40"/>
    <s v="Books &amp; Stationery"/>
    <s v="Notebook"/>
    <n v="2"/>
    <n v="233.85"/>
    <s v="Bank Transfer"/>
    <s v="East Daniel"/>
    <m/>
    <s v="M"/>
    <n v="67"/>
    <n v="467.7"/>
    <n v="140.31"/>
  </r>
  <r>
    <n v="89887"/>
    <x v="52"/>
    <n v="576"/>
    <n v="30"/>
    <s v="Home &amp; Living"/>
    <s v="Blanket"/>
    <n v="3"/>
    <n v="197.53"/>
    <s v="Credit Card"/>
    <s v="West Stevenburgh"/>
    <n v="5"/>
    <s v="F"/>
    <n v="32"/>
    <n v="592.59"/>
    <n v="177.77700000000002"/>
  </r>
  <r>
    <n v="48665"/>
    <x v="53"/>
    <n v="620"/>
    <n v="10"/>
    <s v="Electronics"/>
    <s v="Tablet"/>
    <n v="2"/>
    <n v="455.6"/>
    <s v="Bank Transfer"/>
    <s v="South Huntermouth"/>
    <n v="5"/>
    <s v="M"/>
    <n v="65"/>
    <n v="911.2"/>
    <n v="273.36"/>
  </r>
  <r>
    <n v="53860"/>
    <x v="53"/>
    <n v="490"/>
    <n v="50"/>
    <s v="Sports &amp; Outdoors"/>
    <s v="Soccer Ball"/>
    <n v="2"/>
    <n v="179.13"/>
    <s v="Credit Card"/>
    <s v="West Thomas"/>
    <n v="2"/>
    <s v="F"/>
    <n v="62"/>
    <n v="358.26"/>
    <n v="107.47799999999999"/>
  </r>
  <r>
    <n v="79004"/>
    <x v="53"/>
    <n v="190"/>
    <n v="30"/>
    <s v="Home &amp; Living"/>
    <s v="Painting"/>
    <n v="4"/>
    <n v="68.790000000000006"/>
    <s v="Bank Transfer"/>
    <s v="Sarahtown"/>
    <n v="5"/>
    <s v="M"/>
    <n v="50"/>
    <n v="275.16000000000003"/>
    <n v="82.548000000000002"/>
  </r>
  <r>
    <n v="98151"/>
    <x v="53"/>
    <n v="707"/>
    <n v="50"/>
    <s v="Sports &amp; Outdoors"/>
    <s v="Yoga Mat"/>
    <n v="2"/>
    <n v="75.599999999999994"/>
    <s v="Cash on Delivery"/>
    <s v="West Robertmouth"/>
    <n v="4"/>
    <s v="M"/>
    <n v="45"/>
    <n v="151.19999999999999"/>
    <n v="45.359999999999992"/>
  </r>
  <r>
    <n v="19863"/>
    <x v="53"/>
    <n v="315"/>
    <n v="40"/>
    <s v="Books &amp; Stationery"/>
    <s v="Notebook"/>
    <n v="2"/>
    <n v="180.67"/>
    <s v="Bank Transfer"/>
    <s v="South Thomasmouth"/>
    <n v="3"/>
    <s v="F"/>
    <n v="24"/>
    <n v="361.34"/>
    <n v="108.40199999999999"/>
  </r>
  <r>
    <n v="84845"/>
    <x v="54"/>
    <n v="614"/>
    <n v="40"/>
    <s v="Books &amp; Stationery"/>
    <s v="Eraser"/>
    <n v="4"/>
    <n v="73.59"/>
    <s v="Credit Card"/>
    <s v="Mejiahaven"/>
    <m/>
    <s v="M"/>
    <n v="71"/>
    <n v="294.36"/>
    <n v="88.308000000000007"/>
  </r>
  <r>
    <n v="13042"/>
    <x v="54"/>
    <n v="464"/>
    <n v="20"/>
    <s v="Fashion"/>
    <s v="Skirt"/>
    <n v="5"/>
    <n v="254.8"/>
    <s v="Cash on Delivery"/>
    <s v="Martinside"/>
    <n v="4"/>
    <s v="F"/>
    <n v="54"/>
    <n v="1274"/>
    <n v="382.2"/>
  </r>
  <r>
    <n v="95274"/>
    <x v="54"/>
    <n v="126"/>
    <n v="20"/>
    <s v="Fashion"/>
    <s v="T-shirt"/>
    <n v="5"/>
    <n v="323.89999999999998"/>
    <s v="Cash on Delivery"/>
    <s v="Cassandramouth"/>
    <n v="2"/>
    <s v="F"/>
    <n v="45"/>
    <n v="1619.5"/>
    <n v="485.84999999999997"/>
  </r>
  <r>
    <n v="50771"/>
    <x v="55"/>
    <n v="472"/>
    <n v="50"/>
    <s v="Sports &amp; Outdoors"/>
    <s v="Yoga Mat"/>
    <n v="4"/>
    <n v="213.76"/>
    <s v="Cash on Delivery"/>
    <s v="Garciaville"/>
    <n v="5"/>
    <s v="F"/>
    <n v="24"/>
    <n v="855.04"/>
    <n v="256.512"/>
  </r>
  <r>
    <n v="93806"/>
    <x v="56"/>
    <n v="606"/>
    <n v="40"/>
    <s v="Books &amp; Stationery"/>
    <s v="Notebook"/>
    <n v="4"/>
    <n v="336.75"/>
    <s v="Bank Transfer"/>
    <s v="Donaldhaven"/>
    <n v="5"/>
    <s v="F"/>
    <n v="37"/>
    <n v="1347"/>
    <n v="404.09999999999997"/>
  </r>
  <r>
    <n v="28186"/>
    <x v="56"/>
    <n v="889"/>
    <n v="50"/>
    <s v="Sports &amp; Outdoors"/>
    <s v="Tent"/>
    <n v="1"/>
    <n v="75.709999999999994"/>
    <s v="Credit Card"/>
    <s v="Port Christopherbury"/>
    <n v="2"/>
    <s v="M"/>
    <n v="41"/>
    <n v="75.709999999999994"/>
    <n v="22.712999999999997"/>
  </r>
  <r>
    <n v="58130"/>
    <x v="56"/>
    <n v="171"/>
    <n v="40"/>
    <s v="Books &amp; Stationery"/>
    <s v="Novel"/>
    <n v="1"/>
    <n v="138.55000000000001"/>
    <s v="Bank Transfer"/>
    <s v="Lake Mallory"/>
    <n v="4"/>
    <s v="F"/>
    <n v="56"/>
    <n v="138.55000000000001"/>
    <n v="41.565000000000005"/>
  </r>
  <r>
    <n v="44793"/>
    <x v="56"/>
    <n v="401"/>
    <n v="10"/>
    <s v="Electronics"/>
    <s v="Smartwatch"/>
    <n v="5"/>
    <n v="340.32"/>
    <s v="Credit Card"/>
    <s v="West Michellemouth"/>
    <n v="1"/>
    <s v="F"/>
    <n v="54"/>
    <n v="1701.6"/>
    <n v="510.47999999999996"/>
  </r>
  <r>
    <n v="55956"/>
    <x v="56"/>
    <n v="110"/>
    <n v="20"/>
    <s v="Fashion"/>
    <s v="Pants"/>
    <n v="3"/>
    <n v="416.88"/>
    <s v="Cash on Delivery"/>
    <s v="Smithville"/>
    <m/>
    <s v="F"/>
    <n v="70"/>
    <n v="1250.6399999999999"/>
    <n v="375.19199999999995"/>
  </r>
  <r>
    <n v="36231"/>
    <x v="57"/>
    <n v="606"/>
    <n v="30"/>
    <s v="Home &amp; Living"/>
    <s v="Blanket"/>
    <n v="5"/>
    <n v="143.13999999999999"/>
    <s v="Bank Transfer"/>
    <s v="Port Richardfurt"/>
    <n v="5"/>
    <s v="M"/>
    <n v="72"/>
    <n v="715.69999999999993"/>
    <n v="214.70999999999998"/>
  </r>
  <r>
    <n v="16821"/>
    <x v="57"/>
    <n v="175"/>
    <n v="50"/>
    <s v="Sports &amp; Outdoors"/>
    <s v="Tent"/>
    <n v="4"/>
    <n v="358.95"/>
    <s v="Bank Transfer"/>
    <s v="Port Jeremyfurt"/>
    <n v="5"/>
    <s v="F"/>
    <n v="68"/>
    <n v="1435.8"/>
    <n v="430.73999999999995"/>
  </r>
  <r>
    <n v="88015"/>
    <x v="58"/>
    <n v="285"/>
    <n v="20"/>
    <s v="Fashion"/>
    <s v="Skirt"/>
    <n v="4"/>
    <n v="264.29000000000002"/>
    <s v="Bank Transfer"/>
    <s v="Kathleenview"/>
    <n v="5"/>
    <s v="M"/>
    <n v="62"/>
    <n v="1057.1600000000001"/>
    <n v="317.14800000000002"/>
  </r>
  <r>
    <n v="91867"/>
    <x v="58"/>
    <n v="893"/>
    <n v="20"/>
    <s v="Fashion"/>
    <s v="Shirt"/>
    <n v="1"/>
    <n v="316.41000000000003"/>
    <s v="Credit Card"/>
    <s v="North Stevenshire"/>
    <n v="4"/>
    <s v="F"/>
    <n v="45"/>
    <n v="316.41000000000003"/>
    <n v="94.923000000000002"/>
  </r>
  <r>
    <n v="49331"/>
    <x v="59"/>
    <n v="526"/>
    <n v="30"/>
    <s v="Home &amp; Living"/>
    <s v="Pillow"/>
    <n v="5"/>
    <n v="122.23"/>
    <s v="Credit Card"/>
    <s v="Allisonland"/>
    <n v="5"/>
    <s v="M"/>
    <n v="32"/>
    <n v="611.15"/>
    <n v="183.345"/>
  </r>
  <r>
    <n v="23570"/>
    <x v="59"/>
    <n v="721"/>
    <n v="40"/>
    <s v="Books &amp; Stationery"/>
    <s v="Novel"/>
    <n v="5"/>
    <n v="192.8"/>
    <s v="Bank Transfer"/>
    <s v="Calebmouth"/>
    <n v="4"/>
    <s v="M"/>
    <n v="35"/>
    <n v="964"/>
    <n v="289.2"/>
  </r>
  <r>
    <n v="97308"/>
    <x v="59"/>
    <n v="712"/>
    <n v="40"/>
    <s v="Books &amp; Stationery"/>
    <s v="Notebook"/>
    <n v="2"/>
    <n v="18.28"/>
    <s v="Cash on Delivery"/>
    <s v="New Melissa"/>
    <m/>
    <s v="M"/>
    <n v="64"/>
    <n v="36.56"/>
    <n v="10.968"/>
  </r>
  <r>
    <n v="73858"/>
    <x v="59"/>
    <n v="604"/>
    <n v="20"/>
    <s v="Fashion"/>
    <s v="Skirt"/>
    <n v="4"/>
    <n v="488.49"/>
    <s v="Cash on Delivery"/>
    <s v="South Robert"/>
    <n v="4"/>
    <s v="M"/>
    <n v="42"/>
    <n v="1953.96"/>
    <n v="586.18799999999999"/>
  </r>
  <r>
    <n v="75474"/>
    <x v="60"/>
    <n v="107"/>
    <n v="40"/>
    <s v="Books &amp; Stationery"/>
    <s v="Notebook"/>
    <n v="1"/>
    <n v="117.47"/>
    <s v="Credit Card"/>
    <s v="Levyport"/>
    <n v="4"/>
    <s v="M"/>
    <n v="73"/>
    <n v="117.47"/>
    <n v="35.241"/>
  </r>
  <r>
    <n v="54459"/>
    <x v="60"/>
    <n v="676"/>
    <n v="30"/>
    <s v="Home &amp; Living"/>
    <s v="Painting"/>
    <n v="5"/>
    <n v="355.4"/>
    <s v="Cash on Delivery"/>
    <s v="Michellebury"/>
    <n v="5"/>
    <s v="M"/>
    <n v="35"/>
    <n v="1777"/>
    <n v="533.1"/>
  </r>
  <r>
    <n v="11578"/>
    <x v="60"/>
    <n v="787"/>
    <n v="40"/>
    <s v="Books &amp; Stationery"/>
    <s v="Eraser"/>
    <n v="2"/>
    <n v="36.369999999999997"/>
    <s v="Bank Transfer"/>
    <s v="Brayfurt"/>
    <n v="4"/>
    <m/>
    <n v="35"/>
    <n v="72.739999999999995"/>
    <n v="21.821999999999999"/>
  </r>
  <r>
    <n v="82945"/>
    <x v="61"/>
    <n v="952"/>
    <n v="40"/>
    <s v="Books &amp; Stationery"/>
    <s v="Pen"/>
    <n v="2"/>
    <n v="203.61"/>
    <s v="Cash on Delivery"/>
    <s v="Francofort"/>
    <m/>
    <s v="M"/>
    <n v="39"/>
    <n v="407.22"/>
    <n v="122.166"/>
  </r>
  <r>
    <n v="82989"/>
    <x v="62"/>
    <n v="892"/>
    <n v="10"/>
    <s v="Electronics"/>
    <s v="Headphones"/>
    <n v="1"/>
    <n v="474.75"/>
    <s v="Bank Transfer"/>
    <s v="Port Marvinmouth"/>
    <n v="5"/>
    <s v="F"/>
    <n v="61"/>
    <n v="474.75"/>
    <n v="142.42499999999998"/>
  </r>
  <r>
    <n v="51031"/>
    <x v="63"/>
    <n v="216"/>
    <n v="40"/>
    <s v="Books &amp; Stationery"/>
    <s v="Story Book"/>
    <n v="4"/>
    <n v="140.72999999999999"/>
    <s v="Cash on Delivery"/>
    <s v="Lake Nancy"/>
    <m/>
    <s v="F"/>
    <n v="50"/>
    <n v="562.91999999999996"/>
    <n v="168.87599999999998"/>
  </r>
  <r>
    <n v="27303"/>
    <x v="63"/>
    <n v="119"/>
    <n v="50"/>
    <s v="Sports &amp; Outdoors"/>
    <s v="Yoga Mat"/>
    <n v="1"/>
    <n v="470.23"/>
    <s v="Credit Card"/>
    <s v="Mccallhaven"/>
    <n v="5"/>
    <s v="M"/>
    <n v="26"/>
    <n v="470.23"/>
    <n v="141.06899999999999"/>
  </r>
  <r>
    <n v="89883"/>
    <x v="63"/>
    <n v="182"/>
    <n v="20"/>
    <s v="Fashion"/>
    <s v="Pants"/>
    <n v="5"/>
    <n v="116.03"/>
    <s v="Bank Transfer"/>
    <s v="East Justin"/>
    <n v="2"/>
    <s v="F"/>
    <n v="66"/>
    <n v="580.15"/>
    <n v="174.04499999999999"/>
  </r>
  <r>
    <n v="16669"/>
    <x v="63"/>
    <n v="360"/>
    <n v="40"/>
    <s v="Books &amp; Stationery"/>
    <s v="Eraser"/>
    <n v="3"/>
    <n v="238.74"/>
    <s v="Bank Transfer"/>
    <s v="Nancytown"/>
    <n v="4"/>
    <s v="M"/>
    <n v="34"/>
    <n v="716.22"/>
    <n v="214.86600000000001"/>
  </r>
  <r>
    <n v="95641"/>
    <x v="63"/>
    <n v="887"/>
    <n v="50"/>
    <s v="Sports &amp; Outdoors"/>
    <s v="Soccer Ball"/>
    <n v="3"/>
    <n v="421.14"/>
    <s v="Credit Card"/>
    <s v="Kruegerton"/>
    <n v="5"/>
    <s v="F"/>
    <n v="74"/>
    <n v="1263.42"/>
    <n v="379.02600000000001"/>
  </r>
  <r>
    <n v="20004"/>
    <x v="63"/>
    <n v="137"/>
    <n v="30"/>
    <s v="Home &amp; Living"/>
    <s v="Blanket"/>
    <n v="3"/>
    <n v="220.32"/>
    <s v="Credit Card"/>
    <s v="Justinport"/>
    <n v="5"/>
    <s v="M"/>
    <n v="49"/>
    <n v="660.96"/>
    <n v="198.28800000000001"/>
  </r>
  <r>
    <n v="98227"/>
    <x v="63"/>
    <n v="960"/>
    <n v="10"/>
    <s v="Electronics"/>
    <s v="Tablet"/>
    <n v="4"/>
    <n v="356.25"/>
    <s v="Cash on Delivery"/>
    <s v="North Stevenborough"/>
    <n v="2"/>
    <s v="F"/>
    <n v="75"/>
    <n v="1425"/>
    <n v="427.5"/>
  </r>
  <r>
    <n v="10848"/>
    <x v="64"/>
    <n v="281"/>
    <n v="10"/>
    <s v="Electronics"/>
    <s v="Headphones"/>
    <n v="5"/>
    <n v="120.02"/>
    <s v="Bank Transfer"/>
    <s v="Vickimouth"/>
    <n v="5"/>
    <s v="F"/>
    <n v="67"/>
    <n v="600.1"/>
    <n v="180.03"/>
  </r>
  <r>
    <n v="90560"/>
    <x v="64"/>
    <n v="739"/>
    <n v="30"/>
    <s v="Home &amp; Living"/>
    <s v="Blanket"/>
    <n v="2"/>
    <n v="68.53"/>
    <s v="Cash on Delivery"/>
    <s v="Lake Gabriella"/>
    <m/>
    <s v="M"/>
    <n v="69"/>
    <n v="137.06"/>
    <n v="41.118000000000002"/>
  </r>
  <r>
    <n v="74490"/>
    <x v="64"/>
    <n v="677"/>
    <n v="50"/>
    <s v="Sports &amp; Outdoors"/>
    <s v="Tent"/>
    <n v="1"/>
    <n v="409.85"/>
    <s v="Bank Transfer"/>
    <s v="Jamesmouth"/>
    <n v="5"/>
    <s v="M"/>
    <n v="65"/>
    <n v="409.85"/>
    <n v="122.955"/>
  </r>
  <r>
    <n v="99042"/>
    <x v="64"/>
    <n v="343"/>
    <n v="20"/>
    <s v="Fashion"/>
    <s v="Pants"/>
    <n v="2"/>
    <n v="212.25"/>
    <s v="Cash on Delivery"/>
    <s v="Jamesfort"/>
    <n v="5"/>
    <s v="F"/>
    <n v="69"/>
    <n v="424.5"/>
    <n v="127.35"/>
  </r>
  <r>
    <n v="32058"/>
    <x v="65"/>
    <n v="843"/>
    <n v="10"/>
    <s v="Electronics"/>
    <s v="Tablet"/>
    <n v="3"/>
    <n v="57.32"/>
    <s v="Cash on Delivery"/>
    <s v="East Christopherfurt"/>
    <n v="3"/>
    <s v="M"/>
    <n v="28"/>
    <n v="171.96"/>
    <n v="51.588000000000001"/>
  </r>
  <r>
    <n v="83207"/>
    <x v="65"/>
    <n v="530"/>
    <n v="50"/>
    <s v="Sports &amp; Outdoors"/>
    <s v="Soccer Ball"/>
    <n v="5"/>
    <n v="228.76"/>
    <s v="Cash on Delivery"/>
    <s v="New Edwardville"/>
    <n v="5"/>
    <s v="M"/>
    <n v="56"/>
    <n v="1143.8"/>
    <n v="343.14"/>
  </r>
  <r>
    <n v="26186"/>
    <x v="65"/>
    <n v="822"/>
    <n v="50"/>
    <s v="Sports &amp; Outdoors"/>
    <s v="Running Shoes"/>
    <n v="3"/>
    <n v="142.84"/>
    <s v="Credit Card"/>
    <s v="Rebeccaborough"/>
    <n v="5"/>
    <s v="M"/>
    <n v="38"/>
    <n v="428.52"/>
    <n v="128.55599999999998"/>
  </r>
  <r>
    <n v="86056"/>
    <x v="65"/>
    <n v="629"/>
    <n v="20"/>
    <s v="Fashion"/>
    <s v="Dress"/>
    <n v="2"/>
    <n v="344.86"/>
    <s v="Credit Card"/>
    <s v="Devonmouth"/>
    <n v="5"/>
    <s v="F"/>
    <n v="63"/>
    <n v="689.72"/>
    <n v="206.916"/>
  </r>
  <r>
    <n v="77076"/>
    <x v="65"/>
    <n v="973"/>
    <n v="10"/>
    <s v="Electronics"/>
    <s v="Headphones"/>
    <n v="3"/>
    <n v="83.17"/>
    <s v="Bank Transfer"/>
    <s v="Adamsbury"/>
    <m/>
    <m/>
    <n v="71"/>
    <n v="249.51"/>
    <n v="74.852999999999994"/>
  </r>
  <r>
    <n v="45232"/>
    <x v="66"/>
    <n v="140"/>
    <n v="30"/>
    <s v="Home &amp; Living"/>
    <s v="Vase"/>
    <n v="2"/>
    <n v="139.43"/>
    <s v="Cash on Delivery"/>
    <s v="New Kyle"/>
    <n v="4"/>
    <s v="F"/>
    <n v="67"/>
    <n v="278.86"/>
    <n v="83.658000000000001"/>
  </r>
  <r>
    <n v="62030"/>
    <x v="66"/>
    <n v="375"/>
    <n v="10"/>
    <s v="Electronics"/>
    <s v="Smartphone"/>
    <n v="2"/>
    <n v="45.89"/>
    <s v="Credit Card"/>
    <s v="West Patriciachester"/>
    <n v="5"/>
    <s v="F"/>
    <n v="64"/>
    <n v="91.78"/>
    <n v="27.533999999999999"/>
  </r>
  <r>
    <n v="98418"/>
    <x v="66"/>
    <n v="471"/>
    <n v="30"/>
    <s v="Home &amp; Living"/>
    <s v="Blanket"/>
    <n v="2"/>
    <n v="493.95"/>
    <s v="Cash on Delivery"/>
    <s v="East Hannahhaven"/>
    <n v="5"/>
    <s v="F"/>
    <n v="63"/>
    <n v="987.9"/>
    <n v="296.37"/>
  </r>
  <r>
    <n v="50980"/>
    <x v="67"/>
    <n v="688"/>
    <n v="40"/>
    <s v="Books &amp; Stationery"/>
    <s v="Eraser"/>
    <n v="2"/>
    <n v="44.8"/>
    <s v="Credit Card"/>
    <s v="New Donnatown"/>
    <n v="5"/>
    <m/>
    <n v="27"/>
    <n v="89.6"/>
    <n v="26.88"/>
  </r>
  <r>
    <n v="67232"/>
    <x v="67"/>
    <n v="645"/>
    <n v="20"/>
    <s v="Fashion"/>
    <s v="Dress"/>
    <n v="2"/>
    <n v="172.22"/>
    <s v="Bank Transfer"/>
    <s v="Meyerchester"/>
    <n v="1"/>
    <s v="F"/>
    <n v="52"/>
    <n v="344.44"/>
    <n v="103.33199999999999"/>
  </r>
  <r>
    <n v="91161"/>
    <x v="67"/>
    <n v="556"/>
    <n v="50"/>
    <s v="Sports &amp; Outdoors"/>
    <s v="Tent"/>
    <n v="3"/>
    <n v="378.67"/>
    <s v="Credit Card"/>
    <s v="Port Christopher"/>
    <n v="4"/>
    <s v="M"/>
    <n v="25"/>
    <n v="1136.01"/>
    <n v="340.803"/>
  </r>
  <r>
    <n v="82700"/>
    <x v="68"/>
    <n v="410"/>
    <n v="50"/>
    <s v="Sports &amp; Outdoors"/>
    <s v="Basketball"/>
    <n v="5"/>
    <n v="37.869999999999997"/>
    <s v="Cash on Delivery"/>
    <s v="New Carolfort"/>
    <m/>
    <s v="M"/>
    <n v="55"/>
    <n v="189.35"/>
    <n v="56.805"/>
  </r>
  <r>
    <n v="69170"/>
    <x v="68"/>
    <n v="660"/>
    <n v="20"/>
    <s v="Fashion"/>
    <s v="Dress"/>
    <n v="4"/>
    <n v="66.56"/>
    <s v="Credit Card"/>
    <s v="Port Patriciashire"/>
    <n v="5"/>
    <s v="M"/>
    <n v="62"/>
    <n v="266.24"/>
    <n v="79.872"/>
  </r>
  <r>
    <n v="38096"/>
    <x v="68"/>
    <n v="826"/>
    <n v="40"/>
    <s v="Books &amp; Stationery"/>
    <s v="Eraser"/>
    <n v="1"/>
    <n v="67.7"/>
    <s v="Bank Transfer"/>
    <s v="Georgeville"/>
    <n v="5"/>
    <s v="M"/>
    <n v="58"/>
    <n v="67.7"/>
    <n v="20.309999999999999"/>
  </r>
  <r>
    <n v="20351"/>
    <x v="68"/>
    <n v="627"/>
    <n v="40"/>
    <s v="Books &amp; Stationery"/>
    <s v="Notebook"/>
    <n v="5"/>
    <n v="362.11"/>
    <s v="Credit Card"/>
    <s v="North Dana"/>
    <n v="5"/>
    <s v="F"/>
    <n v="62"/>
    <n v="1810.5500000000002"/>
    <n v="543.16500000000008"/>
  </r>
  <r>
    <n v="97874"/>
    <x v="68"/>
    <n v="967"/>
    <n v="20"/>
    <s v="Fashion"/>
    <s v="Pants"/>
    <n v="5"/>
    <n v="381.31"/>
    <s v="Credit Card"/>
    <s v="Lake Matthew"/>
    <m/>
    <m/>
    <n v="71"/>
    <n v="1906.55"/>
    <n v="571.96499999999992"/>
  </r>
  <r>
    <n v="24639"/>
    <x v="68"/>
    <n v="797"/>
    <n v="10"/>
    <s v="Electronics"/>
    <s v="Headphones"/>
    <n v="3"/>
    <n v="238.77"/>
    <s v="Credit Card"/>
    <s v="Garzaport"/>
    <m/>
    <s v="F"/>
    <n v="49"/>
    <n v="716.31000000000006"/>
    <n v="214.893"/>
  </r>
  <r>
    <n v="75314"/>
    <x v="69"/>
    <n v="417"/>
    <n v="20"/>
    <s v="Fashion"/>
    <s v="T-shirt"/>
    <n v="1"/>
    <n v="181.56"/>
    <s v="Cash on Delivery"/>
    <s v="Shawnview"/>
    <n v="3"/>
    <s v="F"/>
    <n v="24"/>
    <n v="181.56"/>
    <n v="54.467999999999996"/>
  </r>
  <r>
    <n v="63278"/>
    <x v="69"/>
    <n v="722"/>
    <n v="40"/>
    <s v="Books &amp; Stationery"/>
    <s v="Eraser"/>
    <n v="2"/>
    <n v="215.13"/>
    <s v="Cash on Delivery"/>
    <s v="Lake Matthew"/>
    <n v="5"/>
    <m/>
    <n v="53"/>
    <n v="430.26"/>
    <n v="129.078"/>
  </r>
  <r>
    <n v="33203"/>
    <x v="69"/>
    <n v="236"/>
    <n v="50"/>
    <s v="Sports &amp; Outdoors"/>
    <s v="Running Shoes"/>
    <n v="5"/>
    <n v="366.17"/>
    <s v="Cash on Delivery"/>
    <s v="Pettymouth"/>
    <n v="5"/>
    <s v="M"/>
    <n v="62"/>
    <n v="1830.8500000000001"/>
    <n v="549.255"/>
  </r>
  <r>
    <n v="23188"/>
    <x v="70"/>
    <n v="682"/>
    <n v="50"/>
    <s v="Sports &amp; Outdoors"/>
    <s v="Soccer Ball"/>
    <n v="5"/>
    <n v="299.33999999999997"/>
    <s v="Credit Card"/>
    <s v="Port Matthew"/>
    <m/>
    <s v="M"/>
    <n v="59"/>
    <n v="1496.6999999999998"/>
    <n v="449.00999999999993"/>
  </r>
  <r>
    <n v="61332"/>
    <x v="70"/>
    <n v="200"/>
    <n v="50"/>
    <s v="Sports &amp; Outdoors"/>
    <s v="Basketball"/>
    <n v="2"/>
    <n v="68.94"/>
    <s v="Bank Transfer"/>
    <s v="Paulberg"/>
    <m/>
    <m/>
    <n v="39"/>
    <n v="137.88"/>
    <n v="41.363999999999997"/>
  </r>
  <r>
    <n v="60796"/>
    <x v="70"/>
    <n v="535"/>
    <n v="50"/>
    <s v="Sports &amp; Outdoors"/>
    <s v="Tent"/>
    <n v="2"/>
    <n v="241.33"/>
    <s v="Credit Card"/>
    <s v="Joshuastad"/>
    <n v="3"/>
    <s v="M"/>
    <n v="73"/>
    <n v="482.66"/>
    <n v="144.798"/>
  </r>
  <r>
    <n v="79880"/>
    <x v="70"/>
    <n v="664"/>
    <n v="30"/>
    <s v="Home &amp; Living"/>
    <s v="Pillow"/>
    <n v="5"/>
    <n v="308.42"/>
    <s v="Cash on Delivery"/>
    <s v="Scottburgh"/>
    <n v="3"/>
    <m/>
    <n v="20"/>
    <n v="1542.1000000000001"/>
    <n v="462.63"/>
  </r>
  <r>
    <n v="28742"/>
    <x v="71"/>
    <n v="184"/>
    <n v="10"/>
    <s v="Electronics"/>
    <s v="Headphones"/>
    <n v="5"/>
    <n v="335.61"/>
    <s v="Cash on Delivery"/>
    <s v="Christinaview"/>
    <m/>
    <s v="M"/>
    <n v="34"/>
    <n v="1678.0500000000002"/>
    <n v="503.41500000000002"/>
  </r>
  <r>
    <n v="48725"/>
    <x v="71"/>
    <n v="471"/>
    <n v="10"/>
    <s v="Electronics"/>
    <s v="Smartwatch"/>
    <n v="2"/>
    <n v="411.33"/>
    <s v="Credit Card"/>
    <s v="West Amanda"/>
    <n v="4"/>
    <s v="F"/>
    <n v="64"/>
    <n v="822.66"/>
    <n v="246.79799999999997"/>
  </r>
  <r>
    <n v="17074"/>
    <x v="71"/>
    <n v="224"/>
    <n v="30"/>
    <s v="Home &amp; Living"/>
    <s v="Carpet"/>
    <n v="1"/>
    <n v="260.52"/>
    <s v="Cash on Delivery"/>
    <s v="Benjaminburgh"/>
    <n v="5"/>
    <s v="M"/>
    <n v="37"/>
    <n v="260.52"/>
    <n v="78.155999999999992"/>
  </r>
  <r>
    <n v="54901"/>
    <x v="72"/>
    <n v="491"/>
    <n v="40"/>
    <s v="Books &amp; Stationery"/>
    <s v="Eraser"/>
    <n v="3"/>
    <n v="376.28"/>
    <s v="Cash on Delivery"/>
    <s v="Stacieberg"/>
    <n v="5"/>
    <s v="F"/>
    <n v="23"/>
    <n v="1128.8399999999999"/>
    <n v="338.65199999999999"/>
  </r>
  <r>
    <n v="39236"/>
    <x v="73"/>
    <n v="793"/>
    <n v="30"/>
    <s v="Home &amp; Living"/>
    <s v="Blanket"/>
    <n v="1"/>
    <n v="158.11000000000001"/>
    <s v="Cash on Delivery"/>
    <s v="Osborneland"/>
    <n v="4"/>
    <s v="M"/>
    <n v="47"/>
    <n v="158.11000000000001"/>
    <n v="47.433"/>
  </r>
  <r>
    <n v="14284"/>
    <x v="73"/>
    <n v="865"/>
    <n v="20"/>
    <s v="Fashion"/>
    <s v="Pants"/>
    <n v="1"/>
    <n v="323.83"/>
    <s v="Bank Transfer"/>
    <s v="North Bradleymouth"/>
    <n v="3"/>
    <s v="F"/>
    <n v="63"/>
    <n v="323.83"/>
    <n v="97.148999999999987"/>
  </r>
  <r>
    <n v="23300"/>
    <x v="73"/>
    <n v="737"/>
    <n v="20"/>
    <s v="Fashion"/>
    <s v="Skirt"/>
    <n v="2"/>
    <n v="46.12"/>
    <s v="Credit Card"/>
    <s v="East Mariebury"/>
    <n v="2"/>
    <s v="M"/>
    <n v="66"/>
    <n v="92.24"/>
    <n v="27.671999999999997"/>
  </r>
  <r>
    <n v="39945"/>
    <x v="74"/>
    <n v="273"/>
    <n v="50"/>
    <s v="Sports &amp; Outdoors"/>
    <s v="Yoga Mat"/>
    <n v="5"/>
    <n v="182.39"/>
    <s v="Bank Transfer"/>
    <s v="North Christinaview"/>
    <n v="2"/>
    <s v="M"/>
    <n v="75"/>
    <n v="911.94999999999993"/>
    <n v="273.58499999999998"/>
  </r>
  <r>
    <n v="12817"/>
    <x v="74"/>
    <n v="466"/>
    <n v="50"/>
    <s v="Sports &amp; Outdoors"/>
    <s v="Tent"/>
    <n v="4"/>
    <n v="397.46"/>
    <s v="Credit Card"/>
    <s v="North Angela"/>
    <n v="5"/>
    <s v="M"/>
    <n v="40"/>
    <n v="1589.84"/>
    <n v="476.95199999999994"/>
  </r>
  <r>
    <n v="88424"/>
    <x v="74"/>
    <n v="535"/>
    <n v="10"/>
    <s v="Electronics"/>
    <s v="Smartphone"/>
    <n v="2"/>
    <n v="190.68"/>
    <s v="Bank Transfer"/>
    <s v="West Timothy"/>
    <m/>
    <s v="F"/>
    <n v="44"/>
    <n v="381.36"/>
    <n v="114.408"/>
  </r>
  <r>
    <n v="36125"/>
    <x v="74"/>
    <n v="521"/>
    <n v="50"/>
    <s v="Sports &amp; Outdoors"/>
    <s v="Running Shoes"/>
    <n v="5"/>
    <n v="406.26"/>
    <s v="Bank Transfer"/>
    <s v="Rossview"/>
    <m/>
    <s v="M"/>
    <n v="30"/>
    <n v="2031.3"/>
    <n v="609.39"/>
  </r>
  <r>
    <n v="79809"/>
    <x v="75"/>
    <n v="706"/>
    <n v="10"/>
    <s v="Electronics"/>
    <s v="Tablet"/>
    <n v="5"/>
    <n v="272.75"/>
    <s v="Bank Transfer"/>
    <s v="North Jessicabury"/>
    <m/>
    <s v="M"/>
    <n v="57"/>
    <n v="1363.75"/>
    <n v="409.125"/>
  </r>
  <r>
    <n v="28298"/>
    <x v="75"/>
    <n v="555"/>
    <n v="40"/>
    <s v="Books &amp; Stationery"/>
    <s v="Novel"/>
    <n v="3"/>
    <n v="346.82"/>
    <s v="Bank Transfer"/>
    <s v="Port Denisemouth"/>
    <n v="5"/>
    <s v="F"/>
    <n v="18"/>
    <n v="1040.46"/>
    <n v="312.13799999999998"/>
  </r>
  <r>
    <n v="20485"/>
    <x v="75"/>
    <n v="602"/>
    <n v="20"/>
    <s v="Fashion"/>
    <s v="T-shirt"/>
    <n v="4"/>
    <n v="333.92"/>
    <s v="Credit Card"/>
    <s v="Gregoryview"/>
    <m/>
    <s v="M"/>
    <n v="44"/>
    <n v="1335.68"/>
    <n v="400.70400000000001"/>
  </r>
  <r>
    <n v="35007"/>
    <x v="76"/>
    <n v="355"/>
    <n v="30"/>
    <s v="Home &amp; Living"/>
    <s v="Vase"/>
    <n v="2"/>
    <n v="149.77000000000001"/>
    <s v="Cash on Delivery"/>
    <s v="Lake Rhondatown"/>
    <n v="5"/>
    <m/>
    <n v="65"/>
    <n v="299.54000000000002"/>
    <n v="89.862000000000009"/>
  </r>
  <r>
    <n v="55184"/>
    <x v="76"/>
    <n v="151"/>
    <n v="20"/>
    <s v="Fashion"/>
    <s v="Skirt"/>
    <n v="5"/>
    <n v="31.41"/>
    <s v="Bank Transfer"/>
    <s v="Port Edward"/>
    <n v="5"/>
    <s v="M"/>
    <n v="23"/>
    <n v="157.05000000000001"/>
    <n v="47.115000000000002"/>
  </r>
  <r>
    <n v="27836"/>
    <x v="76"/>
    <n v="302"/>
    <n v="10"/>
    <s v="Electronics"/>
    <s v="Headphones"/>
    <n v="4"/>
    <n v="110.67"/>
    <s v="Cash on Delivery"/>
    <s v="Brownshire"/>
    <n v="4"/>
    <s v="F"/>
    <n v="73"/>
    <n v="442.68"/>
    <n v="132.804"/>
  </r>
  <r>
    <n v="55438"/>
    <x v="76"/>
    <n v="716"/>
    <n v="10"/>
    <s v="Electronics"/>
    <s v="Laptop"/>
    <n v="3"/>
    <n v="82.65"/>
    <s v="Cash on Delivery"/>
    <s v="Port Jenniferchester"/>
    <n v="3"/>
    <s v="M"/>
    <n v="51"/>
    <n v="247.95000000000002"/>
    <n v="74.385000000000005"/>
  </r>
  <r>
    <n v="17263"/>
    <x v="77"/>
    <n v="542"/>
    <n v="10"/>
    <s v="Electronics"/>
    <s v="Smartwatch"/>
    <n v="5"/>
    <n v="375.27"/>
    <s v="Bank Transfer"/>
    <s v="West Charlestown"/>
    <m/>
    <s v="M"/>
    <n v="47"/>
    <n v="1876.35"/>
    <n v="562.90499999999997"/>
  </r>
  <r>
    <n v="92654"/>
    <x v="77"/>
    <n v="693"/>
    <n v="50"/>
    <s v="Sports &amp; Outdoors"/>
    <s v="Running Shoes"/>
    <n v="1"/>
    <n v="386.91"/>
    <s v="Credit Card"/>
    <s v="Wendyborough"/>
    <n v="5"/>
    <s v="F"/>
    <n v="31"/>
    <n v="386.91"/>
    <n v="116.07300000000001"/>
  </r>
  <r>
    <n v="21664"/>
    <x v="77"/>
    <n v="395"/>
    <n v="40"/>
    <s v="Books &amp; Stationery"/>
    <s v="Novel"/>
    <n v="3"/>
    <n v="326.37"/>
    <s v="Bank Transfer"/>
    <s v="Simpsonshire"/>
    <m/>
    <s v="F"/>
    <n v="39"/>
    <n v="979.11"/>
    <n v="293.733"/>
  </r>
  <r>
    <n v="33897"/>
    <x v="78"/>
    <n v="755"/>
    <n v="50"/>
    <s v="Sports &amp; Outdoors"/>
    <s v="Basketball"/>
    <n v="1"/>
    <n v="323.43"/>
    <s v="Credit Card"/>
    <s v="Port Joseph"/>
    <n v="5"/>
    <s v="M"/>
    <n v="48"/>
    <n v="323.43"/>
    <n v="97.028999999999996"/>
  </r>
  <r>
    <n v="17483"/>
    <x v="78"/>
    <n v="205"/>
    <n v="20"/>
    <s v="Fashion"/>
    <s v="Pants"/>
    <n v="4"/>
    <n v="210.55"/>
    <s v="Cash on Delivery"/>
    <s v="Lisafurt"/>
    <n v="5"/>
    <s v="F"/>
    <n v="48"/>
    <n v="842.2"/>
    <n v="252.66"/>
  </r>
  <r>
    <n v="68218"/>
    <x v="78"/>
    <n v="680"/>
    <n v="50"/>
    <s v="Sports &amp; Outdoors"/>
    <s v="Basketball"/>
    <n v="4"/>
    <n v="237.15"/>
    <s v="Cash on Delivery"/>
    <s v="Markton"/>
    <n v="4"/>
    <s v="F"/>
    <n v="39"/>
    <n v="948.6"/>
    <n v="284.58"/>
  </r>
  <r>
    <n v="88309"/>
    <x v="78"/>
    <n v="524"/>
    <n v="50"/>
    <s v="Sports &amp; Outdoors"/>
    <s v="Running Shoes"/>
    <n v="1"/>
    <n v="394.31"/>
    <s v="Bank Transfer"/>
    <s v="Robertmouth"/>
    <n v="4"/>
    <s v="M"/>
    <n v="41"/>
    <n v="394.31"/>
    <n v="118.29299999999999"/>
  </r>
  <r>
    <n v="69112"/>
    <x v="79"/>
    <n v="234"/>
    <n v="40"/>
    <s v="Books &amp; Stationery"/>
    <s v="Pen"/>
    <n v="2"/>
    <n v="176.13"/>
    <s v="Credit Card"/>
    <s v="North Heatherborough"/>
    <n v="4"/>
    <s v="F"/>
    <n v="29"/>
    <n v="352.26"/>
    <n v="105.678"/>
  </r>
  <r>
    <n v="73536"/>
    <x v="79"/>
    <n v="311"/>
    <n v="30"/>
    <s v="Home &amp; Living"/>
    <s v="Vase"/>
    <n v="5"/>
    <n v="306.44"/>
    <s v="Credit Card"/>
    <s v="Port Ashleyview"/>
    <m/>
    <s v="M"/>
    <n v="61"/>
    <n v="1532.2"/>
    <n v="459.66"/>
  </r>
  <r>
    <n v="43591"/>
    <x v="79"/>
    <n v="302"/>
    <n v="50"/>
    <s v="Sports &amp; Outdoors"/>
    <s v="Running Shoes"/>
    <n v="4"/>
    <n v="170.43"/>
    <s v="Cash on Delivery"/>
    <s v="Frankbury"/>
    <n v="5"/>
    <s v="M"/>
    <n v="37"/>
    <n v="681.72"/>
    <n v="204.51599999999999"/>
  </r>
  <r>
    <n v="47962"/>
    <x v="80"/>
    <n v="396"/>
    <n v="10"/>
    <s v="Electronics"/>
    <s v="Headphones"/>
    <n v="3"/>
    <n v="23.45"/>
    <s v="Credit Card"/>
    <s v="Bryceland"/>
    <m/>
    <s v="F"/>
    <n v="22"/>
    <n v="70.349999999999994"/>
    <n v="21.104999999999997"/>
  </r>
  <r>
    <n v="39427"/>
    <x v="80"/>
    <n v="292"/>
    <n v="20"/>
    <s v="Fashion"/>
    <s v="T-shirt"/>
    <n v="3"/>
    <n v="498.44"/>
    <s v="Bank Transfer"/>
    <s v="Connerstad"/>
    <n v="3"/>
    <s v="M"/>
    <n v="60"/>
    <n v="1495.32"/>
    <n v="448.59599999999995"/>
  </r>
  <r>
    <n v="87052"/>
    <x v="80"/>
    <n v="815"/>
    <n v="10"/>
    <s v="Electronics"/>
    <s v="Tablet"/>
    <n v="3"/>
    <n v="310.7"/>
    <s v="Bank Transfer"/>
    <s v="Webbburgh"/>
    <n v="5"/>
    <s v="M"/>
    <n v="67"/>
    <n v="932.09999999999991"/>
    <n v="279.62999999999994"/>
  </r>
  <r>
    <n v="94316"/>
    <x v="81"/>
    <n v="979"/>
    <n v="30"/>
    <s v="Home &amp; Living"/>
    <s v="Vase"/>
    <n v="1"/>
    <n v="146.35"/>
    <s v="Bank Transfer"/>
    <s v="Garzachester"/>
    <n v="2"/>
    <s v="M"/>
    <n v="18"/>
    <n v="146.35"/>
    <n v="43.904999999999994"/>
  </r>
  <r>
    <n v="53652"/>
    <x v="81"/>
    <n v="899"/>
    <n v="40"/>
    <s v="Books &amp; Stationery"/>
    <s v="Novel"/>
    <n v="5"/>
    <n v="416.12"/>
    <s v="Cash on Delivery"/>
    <s v="Johnmouth"/>
    <n v="5"/>
    <s v="F"/>
    <n v="56"/>
    <n v="2080.6"/>
    <n v="624.17999999999995"/>
  </r>
  <r>
    <n v="94700"/>
    <x v="82"/>
    <n v="675"/>
    <n v="50"/>
    <s v="Sports &amp; Outdoors"/>
    <s v="Yoga Mat"/>
    <n v="3"/>
    <n v="335.06"/>
    <s v="Credit Card"/>
    <s v="Hobbston"/>
    <n v="5"/>
    <s v="M"/>
    <n v="23"/>
    <n v="1005.1800000000001"/>
    <n v="301.55400000000003"/>
  </r>
  <r>
    <n v="18819"/>
    <x v="83"/>
    <n v="775"/>
    <n v="10"/>
    <s v="Electronics"/>
    <s v="Laptop"/>
    <n v="4"/>
    <n v="476.13"/>
    <s v="Cash on Delivery"/>
    <s v="Wesleyborough"/>
    <n v="4"/>
    <s v="F"/>
    <n v="70"/>
    <n v="1904.52"/>
    <n v="571.35599999999999"/>
  </r>
  <r>
    <n v="12858"/>
    <x v="83"/>
    <n v="957"/>
    <n v="30"/>
    <s v="Home &amp; Living"/>
    <s v="Painting"/>
    <n v="3"/>
    <n v="376.19"/>
    <s v="Bank Transfer"/>
    <s v="Port Briana"/>
    <n v="5"/>
    <s v="M"/>
    <n v="28"/>
    <n v="1128.57"/>
    <n v="338.57099999999997"/>
  </r>
  <r>
    <n v="13725"/>
    <x v="83"/>
    <n v="564"/>
    <n v="10"/>
    <s v="Electronics"/>
    <s v="Smartphone"/>
    <n v="4"/>
    <n v="285.72000000000003"/>
    <s v="Credit Card"/>
    <s v="Hughesmouth"/>
    <n v="5"/>
    <s v="F"/>
    <n v="26"/>
    <n v="1142.8800000000001"/>
    <n v="342.86400000000003"/>
  </r>
  <r>
    <n v="65819"/>
    <x v="83"/>
    <n v="691"/>
    <n v="50"/>
    <s v="Sports &amp; Outdoors"/>
    <s v="Soccer Ball"/>
    <n v="2"/>
    <n v="255.9"/>
    <s v="Credit Card"/>
    <s v="East Michaelborough"/>
    <n v="4"/>
    <s v="M"/>
    <n v="34"/>
    <n v="511.8"/>
    <n v="153.54"/>
  </r>
  <r>
    <n v="77706"/>
    <x v="84"/>
    <n v="111"/>
    <n v="50"/>
    <s v="Sports &amp; Outdoors"/>
    <s v="Yoga Mat"/>
    <n v="2"/>
    <n v="416.93"/>
    <s v="Bank Transfer"/>
    <s v="Edwardstad"/>
    <n v="5"/>
    <m/>
    <n v="33"/>
    <n v="833.86"/>
    <n v="250.15799999999999"/>
  </r>
  <r>
    <n v="31412"/>
    <x v="84"/>
    <n v="898"/>
    <n v="20"/>
    <s v="Fashion"/>
    <s v="Skirt"/>
    <n v="2"/>
    <n v="279.81"/>
    <s v="Cash on Delivery"/>
    <s v="Nguyenfort"/>
    <n v="3"/>
    <s v="F"/>
    <n v="61"/>
    <n v="559.62"/>
    <n v="167.886"/>
  </r>
  <r>
    <n v="64496"/>
    <x v="85"/>
    <n v="146"/>
    <n v="40"/>
    <s v="Books &amp; Stationery"/>
    <s v="Pen"/>
    <n v="1"/>
    <n v="405.91"/>
    <s v="Cash on Delivery"/>
    <s v="Bradleyview"/>
    <n v="1"/>
    <s v="M"/>
    <n v="61"/>
    <n v="405.91"/>
    <n v="121.773"/>
  </r>
  <r>
    <n v="77850"/>
    <x v="86"/>
    <n v="633"/>
    <n v="10"/>
    <s v="Electronics"/>
    <s v="Headphones"/>
    <n v="4"/>
    <n v="272.92"/>
    <s v="Bank Transfer"/>
    <s v="Lake Sharonstad"/>
    <n v="3"/>
    <s v="F"/>
    <n v="30"/>
    <n v="1091.68"/>
    <n v="327.50400000000002"/>
  </r>
  <r>
    <n v="38523"/>
    <x v="87"/>
    <n v="383"/>
    <n v="30"/>
    <s v="Home &amp; Living"/>
    <s v="Blanket"/>
    <n v="3"/>
    <n v="40.44"/>
    <s v="Credit Card"/>
    <s v="Rodgersfurt"/>
    <n v="4"/>
    <s v="M"/>
    <n v="60"/>
    <n v="121.32"/>
    <n v="36.395999999999994"/>
  </r>
  <r>
    <n v="19293"/>
    <x v="87"/>
    <n v="633"/>
    <n v="20"/>
    <s v="Fashion"/>
    <s v="Shirt"/>
    <n v="1"/>
    <n v="118.31"/>
    <s v="Bank Transfer"/>
    <s v="Clayfort"/>
    <n v="2"/>
    <s v="F"/>
    <n v="33"/>
    <n v="118.31"/>
    <n v="35.493000000000002"/>
  </r>
  <r>
    <n v="93277"/>
    <x v="87"/>
    <n v="428"/>
    <n v="40"/>
    <s v="Books &amp; Stationery"/>
    <s v="Pen"/>
    <n v="1"/>
    <n v="487.74"/>
    <s v="Cash on Delivery"/>
    <s v="Lake Jillton"/>
    <n v="5"/>
    <s v="F"/>
    <n v="70"/>
    <n v="487.74"/>
    <n v="146.322"/>
  </r>
  <r>
    <n v="90933"/>
    <x v="88"/>
    <n v="799"/>
    <n v="50"/>
    <s v="Sports &amp; Outdoors"/>
    <s v="Yoga Mat"/>
    <n v="3"/>
    <n v="348.24"/>
    <s v="Cash on Delivery"/>
    <s v="North Erikbury"/>
    <n v="5"/>
    <s v="M"/>
    <n v="65"/>
    <n v="1044.72"/>
    <n v="313.416"/>
  </r>
  <r>
    <n v="75453"/>
    <x v="89"/>
    <n v="260"/>
    <n v="50"/>
    <s v="Sports &amp; Outdoors"/>
    <s v="Soccer Ball"/>
    <n v="3"/>
    <n v="158.9"/>
    <s v="Credit Card"/>
    <s v="Spencerside"/>
    <n v="4"/>
    <s v="F"/>
    <n v="33"/>
    <n v="476.70000000000005"/>
    <n v="143.01000000000002"/>
  </r>
  <r>
    <n v="63842"/>
    <x v="89"/>
    <n v="781"/>
    <n v="20"/>
    <s v="Fashion"/>
    <s v="Pants"/>
    <n v="2"/>
    <n v="460.75"/>
    <s v="Cash on Delivery"/>
    <s v="Nguyenmouth"/>
    <n v="5"/>
    <s v="F"/>
    <n v="68"/>
    <n v="921.5"/>
    <n v="276.45"/>
  </r>
  <r>
    <n v="12469"/>
    <x v="90"/>
    <n v="816"/>
    <n v="50"/>
    <s v="Sports &amp; Outdoors"/>
    <s v="Soccer Ball"/>
    <n v="3"/>
    <n v="326.55"/>
    <s v="Bank Transfer"/>
    <s v="Riveraview"/>
    <n v="4"/>
    <s v="M"/>
    <n v="35"/>
    <n v="979.65000000000009"/>
    <n v="293.89500000000004"/>
  </r>
  <r>
    <n v="63722"/>
    <x v="90"/>
    <n v="614"/>
    <n v="30"/>
    <s v="Home &amp; Living"/>
    <s v="Blanket"/>
    <n v="1"/>
    <n v="404.83"/>
    <s v="Credit Card"/>
    <s v="East Carlos"/>
    <n v="4"/>
    <m/>
    <n v="36"/>
    <n v="404.83"/>
    <n v="121.44899999999998"/>
  </r>
  <r>
    <n v="46834"/>
    <x v="90"/>
    <n v="506"/>
    <n v="10"/>
    <s v="Electronics"/>
    <s v="Smartphone"/>
    <n v="5"/>
    <n v="365.33"/>
    <s v="Cash on Delivery"/>
    <s v="Charlesview"/>
    <n v="3"/>
    <s v="M"/>
    <n v="24"/>
    <n v="1826.6499999999999"/>
    <n v="547.99499999999989"/>
  </r>
  <r>
    <n v="95940"/>
    <x v="90"/>
    <n v="672"/>
    <n v="10"/>
    <s v="Electronics"/>
    <s v="Tablet"/>
    <n v="3"/>
    <n v="295.67"/>
    <s v="Cash on Delivery"/>
    <s v="Coxfurt"/>
    <n v="4"/>
    <s v="M"/>
    <n v="29"/>
    <n v="887.01"/>
    <n v="266.10300000000001"/>
  </r>
  <r>
    <n v="80222"/>
    <x v="91"/>
    <n v="543"/>
    <n v="10"/>
    <s v="Electronics"/>
    <s v="Headphones"/>
    <n v="2"/>
    <n v="212.77"/>
    <s v="Credit Card"/>
    <s v="Schroederland"/>
    <n v="5"/>
    <s v="F"/>
    <n v="50"/>
    <n v="425.54"/>
    <n v="127.66200000000001"/>
  </r>
  <r>
    <n v="90319"/>
    <x v="91"/>
    <n v="797"/>
    <n v="30"/>
    <s v="Home &amp; Living"/>
    <s v="Carpet"/>
    <n v="4"/>
    <n v="164.55"/>
    <s v="Cash on Delivery"/>
    <s v="South Jacquelineside"/>
    <n v="5"/>
    <s v="F"/>
    <n v="69"/>
    <n v="658.2"/>
    <n v="197.46"/>
  </r>
  <r>
    <n v="21838"/>
    <x v="91"/>
    <n v="582"/>
    <n v="10"/>
    <s v="Electronics"/>
    <s v="Smartphone"/>
    <n v="2"/>
    <n v="289.97000000000003"/>
    <s v="Cash on Delivery"/>
    <s v="Popeport"/>
    <n v="4"/>
    <s v="M"/>
    <n v="70"/>
    <n v="579.94000000000005"/>
    <n v="173.982"/>
  </r>
  <r>
    <n v="11108"/>
    <x v="92"/>
    <n v="575"/>
    <n v="40"/>
    <s v="Books &amp; Stationery"/>
    <s v="Eraser"/>
    <n v="2"/>
    <n v="27.59"/>
    <s v="Credit Card"/>
    <s v="South Jeffrey"/>
    <n v="1"/>
    <s v="F"/>
    <n v="58"/>
    <n v="55.18"/>
    <n v="16.553999999999998"/>
  </r>
  <r>
    <n v="29197"/>
    <x v="92"/>
    <n v="491"/>
    <n v="50"/>
    <s v="Sports &amp; Outdoors"/>
    <s v="Running Shoes"/>
    <n v="5"/>
    <n v="134.12"/>
    <s v="Cash on Delivery"/>
    <s v="Lake Anne"/>
    <m/>
    <s v="M"/>
    <n v="49"/>
    <n v="670.6"/>
    <n v="201.18"/>
  </r>
  <r>
    <n v="46587"/>
    <x v="92"/>
    <n v="715"/>
    <n v="50"/>
    <s v="Sports &amp; Outdoors"/>
    <s v="Running Shoes"/>
    <n v="3"/>
    <n v="405.02"/>
    <s v="Credit Card"/>
    <s v="South Jimmyland"/>
    <m/>
    <s v="M"/>
    <n v="52"/>
    <n v="1215.06"/>
    <n v="364.51799999999997"/>
  </r>
  <r>
    <n v="84308"/>
    <x v="92"/>
    <n v="144"/>
    <n v="20"/>
    <s v="Fashion"/>
    <s v="Dress"/>
    <n v="5"/>
    <n v="291.3"/>
    <s v="Credit Card"/>
    <s v="Lewisfort"/>
    <m/>
    <s v="F"/>
    <n v="68"/>
    <n v="1456.5"/>
    <n v="436.95"/>
  </r>
  <r>
    <n v="74067"/>
    <x v="93"/>
    <n v="773"/>
    <n v="40"/>
    <s v="Books &amp; Stationery"/>
    <s v="Notebook"/>
    <n v="3"/>
    <n v="494.87"/>
    <s v="Cash on Delivery"/>
    <s v="Melanieberg"/>
    <n v="5"/>
    <s v="M"/>
    <n v="37"/>
    <n v="1484.6100000000001"/>
    <n v="445.38300000000004"/>
  </r>
  <r>
    <n v="84736"/>
    <x v="93"/>
    <n v="624"/>
    <n v="30"/>
    <s v="Home &amp; Living"/>
    <s v="Painting"/>
    <n v="1"/>
    <n v="218.74"/>
    <s v="Credit Card"/>
    <s v="Denisefurt"/>
    <m/>
    <s v="F"/>
    <n v="68"/>
    <n v="218.74"/>
    <n v="65.622"/>
  </r>
  <r>
    <n v="43869"/>
    <x v="93"/>
    <n v="306"/>
    <n v="30"/>
    <s v="Home &amp; Living"/>
    <s v="Pillow"/>
    <n v="2"/>
    <n v="55.63"/>
    <s v="Bank Transfer"/>
    <s v="Traciburgh"/>
    <n v="3"/>
    <s v="F"/>
    <n v="69"/>
    <n v="111.26"/>
    <n v="33.378"/>
  </r>
  <r>
    <n v="95795"/>
    <x v="94"/>
    <n v="955"/>
    <n v="10"/>
    <s v="Electronics"/>
    <s v="Smartwatch"/>
    <n v="4"/>
    <n v="205.6"/>
    <s v="Credit Card"/>
    <s v="South Omarport"/>
    <n v="3"/>
    <s v="M"/>
    <n v="22"/>
    <n v="822.4"/>
    <n v="246.71999999999997"/>
  </r>
  <r>
    <n v="76140"/>
    <x v="95"/>
    <n v="673"/>
    <n v="50"/>
    <s v="Sports &amp; Outdoors"/>
    <s v="Basketball"/>
    <n v="2"/>
    <n v="293.67"/>
    <s v="Credit Card"/>
    <s v="New Terri"/>
    <n v="5"/>
    <s v="M"/>
    <n v="65"/>
    <n v="587.34"/>
    <n v="176.202"/>
  </r>
  <r>
    <n v="99624"/>
    <x v="95"/>
    <n v="624"/>
    <n v="20"/>
    <s v="Fashion"/>
    <s v="Dress"/>
    <n v="4"/>
    <n v="120.07"/>
    <s v="Credit Card"/>
    <s v="West Louis"/>
    <m/>
    <s v="M"/>
    <n v="20"/>
    <n v="480.28"/>
    <n v="144.08399999999997"/>
  </r>
  <r>
    <n v="92572"/>
    <x v="95"/>
    <n v="634"/>
    <n v="40"/>
    <s v="Books &amp; Stationery"/>
    <s v="Eraser"/>
    <n v="4"/>
    <n v="286.55"/>
    <s v="Credit Card"/>
    <s v="East David"/>
    <m/>
    <s v="M"/>
    <n v="60"/>
    <n v="1146.2"/>
    <n v="343.86"/>
  </r>
  <r>
    <n v="77455"/>
    <x v="95"/>
    <n v="845"/>
    <n v="50"/>
    <s v="Sports &amp; Outdoors"/>
    <s v="Basketball"/>
    <n v="3"/>
    <n v="297.33"/>
    <s v="Credit Card"/>
    <s v="Joshuamouth"/>
    <n v="3"/>
    <s v="M"/>
    <n v="64"/>
    <n v="891.99"/>
    <n v="267.59699999999998"/>
  </r>
  <r>
    <n v="19405"/>
    <x v="95"/>
    <n v="433"/>
    <n v="10"/>
    <s v="Electronics"/>
    <s v="Headphones"/>
    <n v="4"/>
    <n v="48.94"/>
    <s v="Bank Transfer"/>
    <s v="Curtisshire"/>
    <m/>
    <s v="F"/>
    <n v="23"/>
    <n v="195.76"/>
    <n v="58.727999999999994"/>
  </r>
  <r>
    <n v="93547"/>
    <x v="95"/>
    <n v="663"/>
    <n v="40"/>
    <s v="Books &amp; Stationery"/>
    <s v="Notebook"/>
    <n v="3"/>
    <n v="100.15"/>
    <s v="Bank Transfer"/>
    <s v="South Christopherburgh"/>
    <n v="4"/>
    <s v="M"/>
    <n v="65"/>
    <n v="300.45000000000005"/>
    <n v="90.135000000000005"/>
  </r>
  <r>
    <n v="54318"/>
    <x v="95"/>
    <n v="142"/>
    <n v="10"/>
    <s v="Electronics"/>
    <s v="Headphones"/>
    <n v="2"/>
    <n v="491.97"/>
    <s v="Cash on Delivery"/>
    <s v="East Blakeborough"/>
    <n v="4"/>
    <s v="M"/>
    <n v="18"/>
    <n v="983.94"/>
    <n v="295.18200000000002"/>
  </r>
  <r>
    <n v="32747"/>
    <x v="96"/>
    <n v="322"/>
    <n v="50"/>
    <s v="Sports &amp; Outdoors"/>
    <s v="Basketball"/>
    <n v="1"/>
    <n v="24"/>
    <s v="Cash on Delivery"/>
    <s v="Port Kimberlymouth"/>
    <n v="3"/>
    <m/>
    <n v="71"/>
    <n v="24"/>
    <n v="7.1999999999999993"/>
  </r>
  <r>
    <n v="71248"/>
    <x v="97"/>
    <n v="289"/>
    <n v="10"/>
    <s v="Electronics"/>
    <s v="Smartphone"/>
    <n v="5"/>
    <n v="207.28"/>
    <s v="Bank Transfer"/>
    <s v="North Mary"/>
    <n v="5"/>
    <s v="M"/>
    <n v="42"/>
    <n v="1036.4000000000001"/>
    <n v="310.92"/>
  </r>
  <r>
    <n v="64578"/>
    <x v="97"/>
    <n v="650"/>
    <n v="10"/>
    <s v="Electronics"/>
    <s v="Smartwatch"/>
    <n v="1"/>
    <n v="35.520000000000003"/>
    <s v="Bank Transfer"/>
    <s v="Lake Kristy"/>
    <n v="1"/>
    <s v="M"/>
    <n v="54"/>
    <n v="35.520000000000003"/>
    <n v="10.656000000000001"/>
  </r>
  <r>
    <n v="30464"/>
    <x v="97"/>
    <n v="563"/>
    <n v="20"/>
    <s v="Fashion"/>
    <s v="Skirt"/>
    <n v="2"/>
    <n v="483.96"/>
    <s v="Cash on Delivery"/>
    <s v="Derekside"/>
    <n v="3"/>
    <s v="F"/>
    <n v="25"/>
    <n v="967.92"/>
    <n v="290.37599999999998"/>
  </r>
  <r>
    <n v="58789"/>
    <x v="97"/>
    <n v="318"/>
    <n v="40"/>
    <s v="Books &amp; Stationery"/>
    <s v="Pen"/>
    <n v="4"/>
    <n v="49.32"/>
    <s v="Cash on Delivery"/>
    <s v="Lauraberg"/>
    <n v="5"/>
    <s v="M"/>
    <n v="72"/>
    <n v="197.28"/>
    <n v="59.183999999999997"/>
  </r>
  <r>
    <n v="24487"/>
    <x v="97"/>
    <n v="468"/>
    <n v="40"/>
    <s v="Books &amp; Stationery"/>
    <s v="Story Book"/>
    <n v="1"/>
    <n v="372.43"/>
    <s v="Bank Transfer"/>
    <s v="Brooksfort"/>
    <n v="3"/>
    <s v="M"/>
    <n v="38"/>
    <n v="372.43"/>
    <n v="111.729"/>
  </r>
  <r>
    <n v="96065"/>
    <x v="97"/>
    <n v="297"/>
    <n v="10"/>
    <s v="Electronics"/>
    <s v="Headphones"/>
    <n v="2"/>
    <n v="389.81"/>
    <s v="Bank Transfer"/>
    <s v="Hickmanside"/>
    <n v="4"/>
    <s v="F"/>
    <n v="62"/>
    <n v="779.62"/>
    <n v="233.886"/>
  </r>
  <r>
    <n v="41492"/>
    <x v="98"/>
    <n v="631"/>
    <n v="50"/>
    <s v="Sports &amp; Outdoors"/>
    <s v="Yoga Mat"/>
    <n v="2"/>
    <n v="402.56"/>
    <s v="Cash on Delivery"/>
    <s v="Kathrynton"/>
    <n v="4"/>
    <s v="M"/>
    <n v="74"/>
    <n v="805.12"/>
    <n v="241.536"/>
  </r>
  <r>
    <n v="75860"/>
    <x v="98"/>
    <n v="370"/>
    <n v="50"/>
    <s v="Sports &amp; Outdoors"/>
    <s v="Tent"/>
    <n v="3"/>
    <n v="51.53"/>
    <s v="Credit Card"/>
    <s v="Patriciaberg"/>
    <n v="3"/>
    <s v="M"/>
    <n v="63"/>
    <n v="154.59"/>
    <n v="46.377000000000002"/>
  </r>
  <r>
    <n v="12544"/>
    <x v="98"/>
    <n v="958"/>
    <n v="10"/>
    <s v="Electronics"/>
    <s v="Laptop"/>
    <n v="3"/>
    <n v="153.12"/>
    <s v="Bank Transfer"/>
    <s v="Webermouth"/>
    <n v="1"/>
    <s v="M"/>
    <n v="28"/>
    <n v="459.36"/>
    <n v="137.80799999999999"/>
  </r>
  <r>
    <n v="58911"/>
    <x v="99"/>
    <n v="489"/>
    <n v="50"/>
    <s v="Sports &amp; Outdoors"/>
    <s v="Running Shoes"/>
    <n v="1"/>
    <n v="236.22"/>
    <s v="Bank Transfer"/>
    <s v="Ashleyfort"/>
    <n v="5"/>
    <s v="F"/>
    <n v="72"/>
    <n v="236.22"/>
    <n v="70.866"/>
  </r>
  <r>
    <n v="49232"/>
    <x v="99"/>
    <n v="172"/>
    <n v="30"/>
    <s v="Home &amp; Living"/>
    <s v="Carpet"/>
    <n v="1"/>
    <n v="415.86"/>
    <s v="Cash on Delivery"/>
    <s v="Joshuaton"/>
    <n v="4"/>
    <s v="F"/>
    <n v="53"/>
    <n v="415.86"/>
    <n v="124.758"/>
  </r>
  <r>
    <n v="46781"/>
    <x v="99"/>
    <n v="543"/>
    <n v="40"/>
    <s v="Books &amp; Stationery"/>
    <s v="Pen"/>
    <n v="1"/>
    <n v="282.92"/>
    <s v="Cash on Delivery"/>
    <s v="New Jose"/>
    <n v="4"/>
    <s v="M"/>
    <n v="32"/>
    <n v="282.92"/>
    <n v="84.876000000000005"/>
  </r>
  <r>
    <n v="40110"/>
    <x v="99"/>
    <n v="325"/>
    <n v="50"/>
    <s v="Sports &amp; Outdoors"/>
    <s v="Running Shoes"/>
    <n v="5"/>
    <n v="309.54000000000002"/>
    <s v="Cash on Delivery"/>
    <s v="North Johnny"/>
    <m/>
    <s v="M"/>
    <n v="27"/>
    <n v="1547.7"/>
    <n v="464.31"/>
  </r>
  <r>
    <n v="76057"/>
    <x v="99"/>
    <n v="560"/>
    <n v="10"/>
    <s v="Electronics"/>
    <s v="Tablet"/>
    <n v="4"/>
    <n v="423.45"/>
    <s v="Bank Transfer"/>
    <s v="New Rhondaborough"/>
    <n v="5"/>
    <s v="F"/>
    <n v="52"/>
    <n v="1693.8"/>
    <n v="508.14"/>
  </r>
  <r>
    <n v="56431"/>
    <x v="99"/>
    <n v="600"/>
    <n v="20"/>
    <s v="Fashion"/>
    <s v="Pants"/>
    <n v="3"/>
    <n v="150.41999999999999"/>
    <s v="Cash on Delivery"/>
    <s v="Andreatown"/>
    <n v="3"/>
    <s v="M"/>
    <n v="42"/>
    <n v="451.26"/>
    <n v="135.37799999999999"/>
  </r>
  <r>
    <n v="85352"/>
    <x v="100"/>
    <n v="755"/>
    <n v="20"/>
    <s v="Fashion"/>
    <s v="T-shirt"/>
    <n v="5"/>
    <n v="149.06"/>
    <s v="Cash on Delivery"/>
    <s v="East Ana"/>
    <n v="5"/>
    <s v="M"/>
    <n v="38"/>
    <n v="745.3"/>
    <n v="223.58999999999997"/>
  </r>
  <r>
    <n v="66782"/>
    <x v="100"/>
    <n v="865"/>
    <n v="20"/>
    <s v="Fashion"/>
    <s v="Dress"/>
    <n v="2"/>
    <n v="62.97"/>
    <s v="Credit Card"/>
    <s v="Hardingfort"/>
    <n v="5"/>
    <s v="F"/>
    <n v="48"/>
    <n v="125.94"/>
    <n v="37.781999999999996"/>
  </r>
  <r>
    <n v="34740"/>
    <x v="100"/>
    <n v="111"/>
    <n v="50"/>
    <s v="Sports &amp; Outdoors"/>
    <s v="Running Shoes"/>
    <n v="3"/>
    <n v="163.74"/>
    <s v="Credit Card"/>
    <s v="Port Jackview"/>
    <n v="4"/>
    <s v="F"/>
    <n v="44"/>
    <n v="491.22"/>
    <n v="147.36600000000001"/>
  </r>
  <r>
    <n v="18651"/>
    <x v="100"/>
    <n v="121"/>
    <n v="40"/>
    <s v="Books &amp; Stationery"/>
    <s v="Story Book"/>
    <n v="5"/>
    <n v="412.7"/>
    <s v="Cash on Delivery"/>
    <s v="Roychester"/>
    <n v="5"/>
    <s v="M"/>
    <n v="29"/>
    <n v="2063.5"/>
    <n v="619.04999999999995"/>
  </r>
  <r>
    <n v="72236"/>
    <x v="101"/>
    <n v="959"/>
    <n v="10"/>
    <s v="Electronics"/>
    <s v="Smartphone"/>
    <n v="5"/>
    <n v="110.17"/>
    <s v="Credit Card"/>
    <s v="Lake Jessefort"/>
    <n v="5"/>
    <s v="F"/>
    <n v="47"/>
    <n v="550.85"/>
    <n v="165.255"/>
  </r>
  <r>
    <n v="80435"/>
    <x v="101"/>
    <n v="681"/>
    <n v="40"/>
    <s v="Books &amp; Stationery"/>
    <s v="Notebook"/>
    <n v="1"/>
    <n v="232.24"/>
    <s v="Cash on Delivery"/>
    <s v="Kennethfort"/>
    <m/>
    <s v="M"/>
    <n v="41"/>
    <n v="232.24"/>
    <n v="69.671999999999997"/>
  </r>
  <r>
    <n v="45435"/>
    <x v="102"/>
    <n v="349"/>
    <n v="40"/>
    <s v="Books &amp; Stationery"/>
    <s v="Story Book"/>
    <n v="3"/>
    <n v="421.85"/>
    <s v="Credit Card"/>
    <s v="Port Hectorbury"/>
    <n v="5"/>
    <s v="F"/>
    <n v="25"/>
    <n v="1265.5500000000002"/>
    <n v="379.66500000000002"/>
  </r>
  <r>
    <n v="89715"/>
    <x v="102"/>
    <n v="941"/>
    <n v="10"/>
    <s v="Electronics"/>
    <s v="Headphones"/>
    <n v="1"/>
    <n v="213.83"/>
    <s v="Credit Card"/>
    <s v="South Lauren"/>
    <m/>
    <m/>
    <n v="28"/>
    <n v="213.83"/>
    <n v="64.149000000000001"/>
  </r>
  <r>
    <n v="43139"/>
    <x v="102"/>
    <n v="669"/>
    <n v="10"/>
    <s v="Electronics"/>
    <s v="Smartphone"/>
    <n v="5"/>
    <n v="12.46"/>
    <s v="Cash on Delivery"/>
    <s v="Veronicaland"/>
    <n v="3"/>
    <s v="F"/>
    <n v="67"/>
    <n v="62.300000000000004"/>
    <n v="18.690000000000001"/>
  </r>
  <r>
    <n v="24744"/>
    <x v="103"/>
    <n v="818"/>
    <n v="10"/>
    <s v="Electronics"/>
    <s v="Smartphone"/>
    <n v="5"/>
    <n v="200.44"/>
    <s v="Bank Transfer"/>
    <s v="South Kristi"/>
    <n v="5"/>
    <m/>
    <n v="34"/>
    <n v="1002.2"/>
    <n v="300.66000000000003"/>
  </r>
  <r>
    <n v="30197"/>
    <x v="104"/>
    <n v="386"/>
    <n v="40"/>
    <s v="Books &amp; Stationery"/>
    <s v="Notebook"/>
    <n v="1"/>
    <n v="305.82"/>
    <s v="Credit Card"/>
    <s v="Port George"/>
    <m/>
    <m/>
    <n v="39"/>
    <n v="305.82"/>
    <n v="91.745999999999995"/>
  </r>
  <r>
    <n v="98794"/>
    <x v="104"/>
    <n v="993"/>
    <n v="50"/>
    <s v="Sports &amp; Outdoors"/>
    <s v="Soccer Ball"/>
    <n v="2"/>
    <n v="32.200000000000003"/>
    <s v="Credit Card"/>
    <s v="East Alexandriashire"/>
    <n v="5"/>
    <s v="F"/>
    <n v="57"/>
    <n v="64.400000000000006"/>
    <n v="19.32"/>
  </r>
  <r>
    <n v="20853"/>
    <x v="105"/>
    <n v="499"/>
    <n v="30"/>
    <s v="Home &amp; Living"/>
    <s v="Carpet"/>
    <n v="3"/>
    <n v="227.39"/>
    <s v="Credit Card"/>
    <s v="West Alexfort"/>
    <m/>
    <m/>
    <n v="39"/>
    <n v="682.17"/>
    <n v="204.65099999999998"/>
  </r>
  <r>
    <n v="93130"/>
    <x v="106"/>
    <n v="233"/>
    <n v="40"/>
    <s v="Books &amp; Stationery"/>
    <s v="Eraser"/>
    <n v="2"/>
    <n v="354.85"/>
    <s v="Credit Card"/>
    <s v="Eddiefurt"/>
    <n v="5"/>
    <s v="M"/>
    <n v="38"/>
    <n v="709.7"/>
    <n v="212.91"/>
  </r>
  <r>
    <n v="53754"/>
    <x v="106"/>
    <n v="190"/>
    <n v="50"/>
    <s v="Sports &amp; Outdoors"/>
    <s v="Tent"/>
    <n v="1"/>
    <n v="92.5"/>
    <s v="Cash on Delivery"/>
    <s v="East Ericview"/>
    <n v="2"/>
    <s v="F"/>
    <n v="73"/>
    <n v="92.5"/>
    <n v="27.75"/>
  </r>
  <r>
    <n v="92276"/>
    <x v="106"/>
    <n v="555"/>
    <n v="50"/>
    <s v="Sports &amp; Outdoors"/>
    <s v="Tent"/>
    <n v="4"/>
    <n v="311.86"/>
    <s v="Bank Transfer"/>
    <s v="West Jesus"/>
    <m/>
    <s v="M"/>
    <n v="63"/>
    <n v="1247.44"/>
    <n v="374.23200000000003"/>
  </r>
  <r>
    <n v="78620"/>
    <x v="106"/>
    <n v="909"/>
    <n v="10"/>
    <s v="Electronics"/>
    <s v="Smartphone"/>
    <n v="1"/>
    <n v="89.38"/>
    <s v="Credit Card"/>
    <s v="Tiffanyport"/>
    <n v="3"/>
    <s v="F"/>
    <n v="47"/>
    <n v="89.38"/>
    <n v="26.813999999999997"/>
  </r>
  <r>
    <n v="41014"/>
    <x v="106"/>
    <n v="569"/>
    <n v="40"/>
    <s v="Books &amp; Stationery"/>
    <s v="Pen"/>
    <n v="1"/>
    <n v="390.35"/>
    <s v="Cash on Delivery"/>
    <s v="West Deanna"/>
    <n v="5"/>
    <s v="M"/>
    <n v="34"/>
    <n v="390.35"/>
    <n v="117.105"/>
  </r>
  <r>
    <n v="37821"/>
    <x v="107"/>
    <n v="855"/>
    <n v="50"/>
    <s v="Sports &amp; Outdoors"/>
    <s v="Yoga Mat"/>
    <n v="2"/>
    <n v="341.18"/>
    <s v="Cash on Delivery"/>
    <s v="Port Robertchester"/>
    <n v="5"/>
    <s v="F"/>
    <n v="37"/>
    <n v="682.36"/>
    <n v="204.708"/>
  </r>
  <r>
    <n v="83914"/>
    <x v="107"/>
    <n v="738"/>
    <n v="40"/>
    <s v="Books &amp; Stationery"/>
    <s v="Eraser"/>
    <n v="2"/>
    <n v="59.51"/>
    <s v="Bank Transfer"/>
    <s v="Holtbury"/>
    <n v="3"/>
    <m/>
    <n v="25"/>
    <n v="119.02"/>
    <n v="35.705999999999996"/>
  </r>
  <r>
    <n v="51714"/>
    <x v="107"/>
    <n v="479"/>
    <n v="40"/>
    <s v="Books &amp; Stationery"/>
    <s v="Story Book"/>
    <n v="3"/>
    <n v="453.2"/>
    <s v="Cash on Delivery"/>
    <s v="Karenstad"/>
    <n v="5"/>
    <s v="M"/>
    <n v="27"/>
    <n v="1359.6"/>
    <n v="407.87999999999994"/>
  </r>
  <r>
    <n v="44902"/>
    <x v="107"/>
    <n v="801"/>
    <n v="40"/>
    <s v="Books &amp; Stationery"/>
    <s v="Story Book"/>
    <n v="4"/>
    <n v="474.25"/>
    <s v="Credit Card"/>
    <s v="West Reginald"/>
    <n v="5"/>
    <s v="F"/>
    <n v="34"/>
    <n v="1897"/>
    <n v="569.1"/>
  </r>
  <r>
    <n v="95354"/>
    <x v="108"/>
    <n v="394"/>
    <n v="50"/>
    <s v="Sports &amp; Outdoors"/>
    <s v="Running Shoes"/>
    <n v="2"/>
    <n v="343.76"/>
    <s v="Cash on Delivery"/>
    <s v="Shawberg"/>
    <n v="5"/>
    <m/>
    <n v="30"/>
    <n v="687.52"/>
    <n v="206.256"/>
  </r>
  <r>
    <n v="56955"/>
    <x v="109"/>
    <n v="922"/>
    <n v="20"/>
    <s v="Fashion"/>
    <s v="T-shirt"/>
    <n v="1"/>
    <n v="183.3"/>
    <s v="Cash on Delivery"/>
    <s v="Whitakerview"/>
    <n v="5"/>
    <s v="M"/>
    <n v="24"/>
    <n v="183.3"/>
    <n v="54.99"/>
  </r>
  <r>
    <n v="38806"/>
    <x v="109"/>
    <n v="665"/>
    <n v="30"/>
    <s v="Home &amp; Living"/>
    <s v="Painting"/>
    <n v="3"/>
    <n v="149.85"/>
    <s v="Credit Card"/>
    <s v="Lake Brentfurt"/>
    <n v="5"/>
    <s v="M"/>
    <n v="62"/>
    <n v="449.54999999999995"/>
    <n v="134.86499999999998"/>
  </r>
  <r>
    <n v="89114"/>
    <x v="109"/>
    <n v="397"/>
    <n v="30"/>
    <s v="Home &amp; Living"/>
    <s v="Painting"/>
    <n v="3"/>
    <n v="251.63"/>
    <s v="Credit Card"/>
    <s v="New Dylan"/>
    <m/>
    <s v="M"/>
    <n v="40"/>
    <n v="754.89"/>
    <n v="226.46699999999998"/>
  </r>
  <r>
    <n v="77848"/>
    <x v="109"/>
    <n v="713"/>
    <n v="20"/>
    <s v="Fashion"/>
    <s v="Skirt"/>
    <n v="4"/>
    <n v="88.02"/>
    <s v="Cash on Delivery"/>
    <s v="Simmonsview"/>
    <n v="5"/>
    <s v="F"/>
    <n v="39"/>
    <n v="352.08"/>
    <n v="105.624"/>
  </r>
  <r>
    <n v="49262"/>
    <x v="109"/>
    <n v="910"/>
    <n v="20"/>
    <s v="Fashion"/>
    <s v="Pants"/>
    <n v="3"/>
    <n v="25.79"/>
    <s v="Credit Card"/>
    <s v="South Luishaven"/>
    <n v="5"/>
    <m/>
    <n v="22"/>
    <n v="77.37"/>
    <n v="23.211000000000002"/>
  </r>
  <r>
    <n v="27282"/>
    <x v="110"/>
    <n v="405"/>
    <n v="50"/>
    <s v="Sports &amp; Outdoors"/>
    <s v="Yoga Mat"/>
    <n v="2"/>
    <n v="292.89999999999998"/>
    <s v="Cash on Delivery"/>
    <s v="Aliciaberg"/>
    <m/>
    <s v="F"/>
    <n v="60"/>
    <n v="585.79999999999995"/>
    <n v="175.73999999999998"/>
  </r>
  <r>
    <n v="85940"/>
    <x v="110"/>
    <n v="722"/>
    <n v="40"/>
    <s v="Books &amp; Stationery"/>
    <s v="Pen"/>
    <n v="1"/>
    <n v="247.97"/>
    <s v="Bank Transfer"/>
    <s v="East Kimberlyshire"/>
    <n v="4"/>
    <s v="M"/>
    <n v="37"/>
    <n v="247.97"/>
    <n v="74.390999999999991"/>
  </r>
  <r>
    <n v="22739"/>
    <x v="110"/>
    <n v="196"/>
    <n v="30"/>
    <s v="Home &amp; Living"/>
    <s v="Carpet"/>
    <n v="5"/>
    <n v="217.55"/>
    <s v="Bank Transfer"/>
    <s v="South Matthewburgh"/>
    <n v="5"/>
    <m/>
    <n v="24"/>
    <n v="1087.75"/>
    <n v="326.32499999999999"/>
  </r>
  <r>
    <n v="32637"/>
    <x v="110"/>
    <n v="175"/>
    <n v="20"/>
    <s v="Fashion"/>
    <s v="Shirt"/>
    <n v="3"/>
    <n v="101.45"/>
    <s v="Bank Transfer"/>
    <s v="West Richard"/>
    <n v="3"/>
    <s v="F"/>
    <n v="33"/>
    <n v="304.35000000000002"/>
    <n v="91.305000000000007"/>
  </r>
  <r>
    <n v="90219"/>
    <x v="110"/>
    <n v="430"/>
    <n v="40"/>
    <s v="Books &amp; Stationery"/>
    <s v="Eraser"/>
    <n v="1"/>
    <n v="405.65"/>
    <s v="Cash on Delivery"/>
    <s v="West April"/>
    <n v="5"/>
    <s v="M"/>
    <n v="58"/>
    <n v="405.65"/>
    <n v="121.69499999999999"/>
  </r>
  <r>
    <n v="79723"/>
    <x v="111"/>
    <n v="568"/>
    <n v="10"/>
    <s v="Electronics"/>
    <s v="Smartwatch"/>
    <n v="1"/>
    <n v="393.9"/>
    <s v="Bank Transfer"/>
    <s v="Popeview"/>
    <n v="5"/>
    <s v="M"/>
    <n v="44"/>
    <n v="393.9"/>
    <n v="118.16999999999999"/>
  </r>
  <r>
    <n v="21109"/>
    <x v="112"/>
    <n v="719"/>
    <n v="50"/>
    <s v="Sports &amp; Outdoors"/>
    <s v="Yoga Mat"/>
    <n v="3"/>
    <n v="39.67"/>
    <s v="Bank Transfer"/>
    <s v="Sellersland"/>
    <m/>
    <s v="M"/>
    <n v="37"/>
    <n v="119.01"/>
    <n v="35.703000000000003"/>
  </r>
  <r>
    <n v="89639"/>
    <x v="112"/>
    <n v="124"/>
    <n v="10"/>
    <s v="Electronics"/>
    <s v="Tablet"/>
    <n v="4"/>
    <n v="36.1"/>
    <s v="Cash on Delivery"/>
    <s v="Pierceport"/>
    <n v="3"/>
    <s v="M"/>
    <n v="25"/>
    <n v="144.4"/>
    <n v="43.32"/>
  </r>
  <r>
    <n v="58295"/>
    <x v="112"/>
    <n v="187"/>
    <n v="20"/>
    <s v="Fashion"/>
    <s v="T-shirt"/>
    <n v="3"/>
    <n v="248.91"/>
    <s v="Cash on Delivery"/>
    <s v="Penningtonberg"/>
    <n v="5"/>
    <s v="M"/>
    <n v="39"/>
    <n v="746.73"/>
    <n v="224.01900000000001"/>
  </r>
  <r>
    <n v="14109"/>
    <x v="112"/>
    <n v="149"/>
    <n v="20"/>
    <s v="Fashion"/>
    <s v="T-shirt"/>
    <n v="5"/>
    <n v="179.92"/>
    <s v="Bank Transfer"/>
    <s v="Romerostad"/>
    <n v="3"/>
    <s v="M"/>
    <n v="48"/>
    <n v="899.59999999999991"/>
    <n v="269.87999999999994"/>
  </r>
  <r>
    <n v="47814"/>
    <x v="112"/>
    <n v="557"/>
    <n v="20"/>
    <s v="Fashion"/>
    <s v="Shirt"/>
    <n v="1"/>
    <n v="146.28"/>
    <s v="Cash on Delivery"/>
    <s v="East Johnton"/>
    <n v="4"/>
    <s v="F"/>
    <n v="39"/>
    <n v="146.28"/>
    <n v="43.884"/>
  </r>
  <r>
    <n v="81289"/>
    <x v="113"/>
    <n v="485"/>
    <n v="40"/>
    <s v="Books &amp; Stationery"/>
    <s v="Novel"/>
    <n v="1"/>
    <n v="489.21"/>
    <s v="Cash on Delivery"/>
    <s v="North Jamesside"/>
    <n v="5"/>
    <s v="M"/>
    <n v="60"/>
    <n v="489.21"/>
    <n v="146.76299999999998"/>
  </r>
  <r>
    <n v="53928"/>
    <x v="113"/>
    <n v="624"/>
    <n v="10"/>
    <s v="Electronics"/>
    <s v="Laptop"/>
    <n v="5"/>
    <n v="257.73"/>
    <s v="Bank Transfer"/>
    <s v="Butlerton"/>
    <n v="5"/>
    <s v="F"/>
    <n v="35"/>
    <n v="1288.6500000000001"/>
    <n v="386.59500000000003"/>
  </r>
  <r>
    <n v="92507"/>
    <x v="114"/>
    <n v="170"/>
    <n v="20"/>
    <s v="Fashion"/>
    <s v="Skirt"/>
    <n v="1"/>
    <n v="394.75"/>
    <s v="Credit Card"/>
    <s v="Bridgetchester"/>
    <m/>
    <s v="M"/>
    <n v="48"/>
    <n v="394.75"/>
    <n v="118.425"/>
  </r>
  <r>
    <n v="77451"/>
    <x v="115"/>
    <n v="509"/>
    <n v="20"/>
    <s v="Fashion"/>
    <s v="Dress"/>
    <n v="3"/>
    <n v="55.58"/>
    <s v="Credit Card"/>
    <s v="Andersonside"/>
    <n v="5"/>
    <s v="F"/>
    <n v="71"/>
    <n v="166.74"/>
    <n v="50.021999999999998"/>
  </r>
  <r>
    <n v="62981"/>
    <x v="115"/>
    <n v="200"/>
    <n v="30"/>
    <s v="Home &amp; Living"/>
    <s v="Painting"/>
    <n v="2"/>
    <n v="422.99"/>
    <s v="Cash on Delivery"/>
    <s v="Wrightport"/>
    <n v="5"/>
    <m/>
    <n v="67"/>
    <n v="845.98"/>
    <n v="253.79399999999998"/>
  </r>
  <r>
    <n v="41063"/>
    <x v="116"/>
    <n v="890"/>
    <n v="50"/>
    <s v="Sports &amp; Outdoors"/>
    <s v="Running Shoes"/>
    <n v="5"/>
    <n v="82.41"/>
    <s v="Cash on Delivery"/>
    <s v="South Jerry"/>
    <n v="1"/>
    <s v="F"/>
    <n v="27"/>
    <n v="412.04999999999995"/>
    <n v="123.61499999999998"/>
  </r>
  <r>
    <n v="37275"/>
    <x v="117"/>
    <n v="765"/>
    <n v="10"/>
    <s v="Electronics"/>
    <s v="Smartphone"/>
    <n v="1"/>
    <n v="447.13"/>
    <s v="Cash on Delivery"/>
    <s v="East Robert"/>
    <n v="5"/>
    <s v="F"/>
    <n v="57"/>
    <n v="447.13"/>
    <n v="134.13899999999998"/>
  </r>
  <r>
    <n v="11008"/>
    <x v="118"/>
    <n v="981"/>
    <n v="30"/>
    <s v="Home &amp; Living"/>
    <s v="Painting"/>
    <n v="2"/>
    <n v="366.42"/>
    <s v="Cash on Delivery"/>
    <s v="Lake Emilymouth"/>
    <n v="5"/>
    <s v="M"/>
    <n v="58"/>
    <n v="732.84"/>
    <n v="219.852"/>
  </r>
  <r>
    <n v="46244"/>
    <x v="118"/>
    <n v="263"/>
    <n v="50"/>
    <s v="Sports &amp; Outdoors"/>
    <s v="Basketball"/>
    <n v="5"/>
    <n v="272.22000000000003"/>
    <s v="Cash on Delivery"/>
    <s v="Lake Ellen"/>
    <n v="5"/>
    <s v="M"/>
    <n v="62"/>
    <n v="1361.1000000000001"/>
    <n v="408.33000000000004"/>
  </r>
  <r>
    <n v="10211"/>
    <x v="118"/>
    <n v="964"/>
    <n v="30"/>
    <s v="Home &amp; Living"/>
    <s v="Pillow"/>
    <n v="2"/>
    <n v="32.51"/>
    <s v="Cash on Delivery"/>
    <s v="Lake Michael"/>
    <n v="5"/>
    <s v="F"/>
    <n v="25"/>
    <n v="65.02"/>
    <n v="19.505999999999997"/>
  </r>
  <r>
    <n v="73282"/>
    <x v="118"/>
    <n v="883"/>
    <n v="50"/>
    <s v="Sports &amp; Outdoors"/>
    <s v="Yoga Mat"/>
    <n v="1"/>
    <n v="423.98"/>
    <s v="Bank Transfer"/>
    <s v="Lake Alexandriachester"/>
    <n v="5"/>
    <s v="M"/>
    <n v="24"/>
    <n v="423.98"/>
    <n v="127.194"/>
  </r>
  <r>
    <n v="42238"/>
    <x v="119"/>
    <n v="756"/>
    <n v="10"/>
    <s v="Electronics"/>
    <s v="Smartphone"/>
    <n v="4"/>
    <n v="338.88"/>
    <s v="Bank Transfer"/>
    <s v="Lake Sara"/>
    <n v="3"/>
    <s v="F"/>
    <n v="55"/>
    <n v="1355.52"/>
    <n v="406.65600000000001"/>
  </r>
  <r>
    <n v="29305"/>
    <x v="119"/>
    <n v="596"/>
    <n v="30"/>
    <s v="Home &amp; Living"/>
    <s v="Pillow"/>
    <n v="3"/>
    <n v="199.31"/>
    <s v="Bank Transfer"/>
    <s v="Port Taraburgh"/>
    <n v="5"/>
    <s v="M"/>
    <n v="23"/>
    <n v="597.93000000000006"/>
    <n v="179.37900000000002"/>
  </r>
  <r>
    <n v="97390"/>
    <x v="119"/>
    <n v="512"/>
    <n v="10"/>
    <s v="Electronics"/>
    <s v="Headphones"/>
    <n v="3"/>
    <n v="312.87"/>
    <s v="Credit Card"/>
    <s v="Davidborough"/>
    <n v="5"/>
    <s v="F"/>
    <n v="71"/>
    <n v="938.61"/>
    <n v="281.58299999999997"/>
  </r>
  <r>
    <n v="57158"/>
    <x v="120"/>
    <n v="294"/>
    <n v="30"/>
    <s v="Home &amp; Living"/>
    <s v="Pillow"/>
    <n v="4"/>
    <n v="11.74"/>
    <s v="Credit Card"/>
    <s v="Woodshaven"/>
    <n v="5"/>
    <s v="M"/>
    <n v="59"/>
    <n v="46.96"/>
    <n v="14.087999999999999"/>
  </r>
  <r>
    <n v="72081"/>
    <x v="120"/>
    <n v="563"/>
    <n v="40"/>
    <s v="Books &amp; Stationery"/>
    <s v="Pen"/>
    <n v="3"/>
    <n v="471.32"/>
    <s v="Credit Card"/>
    <s v="Trevinoland"/>
    <m/>
    <s v="F"/>
    <n v="63"/>
    <n v="1413.96"/>
    <n v="424.18799999999999"/>
  </r>
  <r>
    <n v="79954"/>
    <x v="120"/>
    <n v="295"/>
    <n v="20"/>
    <s v="Fashion"/>
    <s v="T-shirt"/>
    <n v="5"/>
    <n v="115.58"/>
    <s v="Bank Transfer"/>
    <s v="West Carlosberg"/>
    <n v="4"/>
    <s v="F"/>
    <n v="31"/>
    <n v="577.9"/>
    <n v="173.36999999999998"/>
  </r>
  <r>
    <n v="31245"/>
    <x v="120"/>
    <n v="209"/>
    <n v="20"/>
    <s v="Fashion"/>
    <s v="Shirt"/>
    <n v="1"/>
    <n v="96.75"/>
    <s v="Cash on Delivery"/>
    <s v="New Raymond"/>
    <n v="4"/>
    <s v="F"/>
    <n v="39"/>
    <n v="96.75"/>
    <n v="29.024999999999999"/>
  </r>
  <r>
    <n v="39305"/>
    <x v="120"/>
    <n v="846"/>
    <n v="50"/>
    <s v="Sports &amp; Outdoors"/>
    <s v="Soccer Ball"/>
    <n v="4"/>
    <n v="134.12"/>
    <s v="Cash on Delivery"/>
    <s v="Cindyberg"/>
    <n v="2"/>
    <s v="M"/>
    <n v="32"/>
    <n v="536.48"/>
    <n v="160.94399999999999"/>
  </r>
  <r>
    <n v="52278"/>
    <x v="120"/>
    <n v="749"/>
    <n v="10"/>
    <s v="Electronics"/>
    <s v="Laptop"/>
    <n v="3"/>
    <n v="461.91"/>
    <s v="Bank Transfer"/>
    <s v="East Sarah"/>
    <n v="3"/>
    <s v="M"/>
    <n v="21"/>
    <n v="1385.73"/>
    <n v="415.71899999999999"/>
  </r>
  <r>
    <n v="80441"/>
    <x v="121"/>
    <n v="867"/>
    <n v="30"/>
    <s v="Home &amp; Living"/>
    <s v="Carpet"/>
    <n v="2"/>
    <n v="308.39999999999998"/>
    <s v="Credit Card"/>
    <s v="Port Danielleview"/>
    <n v="3"/>
    <s v="M"/>
    <n v="52"/>
    <n v="616.79999999999995"/>
    <n v="185.04"/>
  </r>
  <r>
    <n v="97433"/>
    <x v="121"/>
    <n v="677"/>
    <n v="10"/>
    <s v="Electronics"/>
    <s v="Smartphone"/>
    <n v="4"/>
    <n v="418.88"/>
    <s v="Credit Card"/>
    <s v="North Lisafort"/>
    <n v="5"/>
    <m/>
    <n v="59"/>
    <n v="1675.52"/>
    <n v="502.65599999999995"/>
  </r>
  <r>
    <n v="90154"/>
    <x v="122"/>
    <n v="762"/>
    <n v="50"/>
    <s v="Sports &amp; Outdoors"/>
    <s v="Soccer Ball"/>
    <n v="1"/>
    <n v="388.35"/>
    <s v="Bank Transfer"/>
    <s v="New Amy"/>
    <n v="4"/>
    <s v="F"/>
    <n v="19"/>
    <n v="388.35"/>
    <n v="116.505"/>
  </r>
  <r>
    <n v="16797"/>
    <x v="122"/>
    <n v="333"/>
    <n v="40"/>
    <s v="Books &amp; Stationery"/>
    <s v="Novel"/>
    <n v="1"/>
    <n v="124.08"/>
    <s v="Credit Card"/>
    <s v="North Nancyville"/>
    <m/>
    <s v="M"/>
    <n v="59"/>
    <n v="124.08"/>
    <n v="37.223999999999997"/>
  </r>
  <r>
    <n v="66566"/>
    <x v="123"/>
    <n v="794"/>
    <n v="30"/>
    <s v="Home &amp; Living"/>
    <s v="Vase"/>
    <n v="5"/>
    <n v="100.1"/>
    <s v="Cash on Delivery"/>
    <s v="Michaelstad"/>
    <n v="4"/>
    <s v="F"/>
    <n v="19"/>
    <n v="500.5"/>
    <n v="150.15"/>
  </r>
  <r>
    <n v="87653"/>
    <x v="123"/>
    <n v="653"/>
    <n v="10"/>
    <s v="Electronics"/>
    <s v="Headphones"/>
    <n v="2"/>
    <n v="459.77"/>
    <s v="Credit Card"/>
    <s v="Johnland"/>
    <n v="5"/>
    <s v="M"/>
    <n v="28"/>
    <n v="919.54"/>
    <n v="275.86199999999997"/>
  </r>
  <r>
    <n v="19284"/>
    <x v="123"/>
    <n v="944"/>
    <n v="20"/>
    <s v="Fashion"/>
    <s v="T-shirt"/>
    <n v="5"/>
    <n v="162.44999999999999"/>
    <s v="Cash on Delivery"/>
    <s v="Phillipsport"/>
    <n v="4"/>
    <s v="F"/>
    <n v="52"/>
    <n v="812.25"/>
    <n v="243.67499999999998"/>
  </r>
  <r>
    <n v="37040"/>
    <x v="123"/>
    <n v="628"/>
    <n v="40"/>
    <s v="Books &amp; Stationery"/>
    <s v="Story Book"/>
    <n v="3"/>
    <n v="421.13"/>
    <s v="Cash on Delivery"/>
    <s v="Matthewmouth"/>
    <n v="5"/>
    <s v="F"/>
    <n v="41"/>
    <n v="1263.3899999999999"/>
    <n v="379.01699999999994"/>
  </r>
  <r>
    <n v="73957"/>
    <x v="123"/>
    <n v="834"/>
    <n v="40"/>
    <s v="Books &amp; Stationery"/>
    <s v="Notebook"/>
    <n v="5"/>
    <n v="137.29"/>
    <s v="Bank Transfer"/>
    <s v="Shawmouth"/>
    <n v="4"/>
    <m/>
    <n v="24"/>
    <n v="686.44999999999993"/>
    <n v="205.93499999999997"/>
  </r>
  <r>
    <n v="35014"/>
    <x v="123"/>
    <n v="149"/>
    <n v="20"/>
    <s v="Fashion"/>
    <s v="Skirt"/>
    <n v="1"/>
    <n v="54.19"/>
    <s v="Bank Transfer"/>
    <s v="Jamesland"/>
    <n v="5"/>
    <m/>
    <n v="33"/>
    <n v="54.19"/>
    <n v="16.256999999999998"/>
  </r>
  <r>
    <n v="13011"/>
    <x v="124"/>
    <n v="231"/>
    <n v="20"/>
    <s v="Fashion"/>
    <s v="Skirt"/>
    <n v="2"/>
    <n v="276.11"/>
    <s v="Bank Transfer"/>
    <s v="Lunafort"/>
    <m/>
    <s v="M"/>
    <n v="69"/>
    <n v="552.22"/>
    <n v="165.666"/>
  </r>
  <r>
    <n v="65235"/>
    <x v="124"/>
    <n v="554"/>
    <n v="40"/>
    <s v="Books &amp; Stationery"/>
    <s v="Eraser"/>
    <n v="1"/>
    <n v="299.39"/>
    <s v="Credit Card"/>
    <s v="Joshuafort"/>
    <n v="3"/>
    <s v="M"/>
    <n v="19"/>
    <n v="299.39"/>
    <n v="89.816999999999993"/>
  </r>
  <r>
    <n v="86435"/>
    <x v="125"/>
    <n v="988"/>
    <n v="40"/>
    <s v="Books &amp; Stationery"/>
    <s v="Notebook"/>
    <n v="4"/>
    <n v="431.48"/>
    <s v="Bank Transfer"/>
    <s v="Christopherport"/>
    <n v="3"/>
    <s v="F"/>
    <n v="48"/>
    <n v="1725.92"/>
    <n v="517.77599999999995"/>
  </r>
  <r>
    <n v="54645"/>
    <x v="125"/>
    <n v="190"/>
    <n v="50"/>
    <s v="Sports &amp; Outdoors"/>
    <s v="Soccer Ball"/>
    <n v="4"/>
    <n v="354.69"/>
    <s v="Bank Transfer"/>
    <s v="Scottmouth"/>
    <n v="5"/>
    <s v="F"/>
    <n v="75"/>
    <n v="1418.76"/>
    <n v="425.62799999999999"/>
  </r>
  <r>
    <n v="47601"/>
    <x v="126"/>
    <n v="793"/>
    <n v="50"/>
    <s v="Sports &amp; Outdoors"/>
    <s v="Yoga Mat"/>
    <n v="2"/>
    <n v="241.9"/>
    <s v="Cash on Delivery"/>
    <s v="South Ashleyshire"/>
    <n v="3"/>
    <m/>
    <n v="24"/>
    <n v="483.8"/>
    <n v="145.13999999999999"/>
  </r>
  <r>
    <n v="34368"/>
    <x v="126"/>
    <n v="204"/>
    <n v="20"/>
    <s v="Fashion"/>
    <s v="Dress"/>
    <n v="3"/>
    <n v="475.53"/>
    <s v="Bank Transfer"/>
    <s v="Kurtmouth"/>
    <n v="5"/>
    <s v="F"/>
    <n v="69"/>
    <n v="1426.59"/>
    <n v="427.97699999999998"/>
  </r>
  <r>
    <n v="83983"/>
    <x v="127"/>
    <n v="395"/>
    <n v="20"/>
    <s v="Fashion"/>
    <s v="T-shirt"/>
    <n v="5"/>
    <n v="161.05000000000001"/>
    <s v="Credit Card"/>
    <s v="Blakeshire"/>
    <n v="5"/>
    <s v="M"/>
    <n v="55"/>
    <n v="805.25"/>
    <n v="241.57499999999999"/>
  </r>
  <r>
    <n v="73069"/>
    <x v="127"/>
    <n v="171"/>
    <n v="20"/>
    <s v="Fashion"/>
    <s v="Pants"/>
    <n v="2"/>
    <n v="278.91000000000003"/>
    <s v="Cash on Delivery"/>
    <s v="Valerieview"/>
    <n v="5"/>
    <s v="M"/>
    <n v="38"/>
    <n v="557.82000000000005"/>
    <n v="167.346"/>
  </r>
  <r>
    <n v="37787"/>
    <x v="128"/>
    <n v="971"/>
    <n v="10"/>
    <s v="Electronics"/>
    <s v="Tablet"/>
    <n v="3"/>
    <n v="91.52"/>
    <s v="Bank Transfer"/>
    <s v="West Mariaton"/>
    <n v="5"/>
    <s v="M"/>
    <n v="35"/>
    <n v="274.56"/>
    <n v="82.367999999999995"/>
  </r>
  <r>
    <n v="59875"/>
    <x v="128"/>
    <n v="210"/>
    <n v="40"/>
    <s v="Books &amp; Stationery"/>
    <s v="Novel"/>
    <n v="4"/>
    <n v="334.76"/>
    <s v="Cash on Delivery"/>
    <s v="Sherylfort"/>
    <n v="5"/>
    <m/>
    <n v="49"/>
    <n v="1339.04"/>
    <n v="401.71199999999999"/>
  </r>
  <r>
    <n v="37813"/>
    <x v="128"/>
    <n v="792"/>
    <n v="10"/>
    <s v="Electronics"/>
    <s v="Smartphone"/>
    <n v="5"/>
    <n v="221.15"/>
    <s v="Bank Transfer"/>
    <s v="Phillipsborough"/>
    <n v="5"/>
    <s v="F"/>
    <n v="24"/>
    <n v="1105.75"/>
    <n v="331.72499999999997"/>
  </r>
  <r>
    <n v="13595"/>
    <x v="128"/>
    <n v="311"/>
    <n v="40"/>
    <s v="Books &amp; Stationery"/>
    <s v="Notebook"/>
    <n v="1"/>
    <n v="496.5"/>
    <s v="Bank Transfer"/>
    <s v="East Andrew"/>
    <n v="4"/>
    <m/>
    <n v="25"/>
    <n v="496.5"/>
    <n v="148.94999999999999"/>
  </r>
  <r>
    <n v="81400"/>
    <x v="128"/>
    <n v="950"/>
    <n v="10"/>
    <s v="Electronics"/>
    <s v="Tablet"/>
    <n v="4"/>
    <n v="167.11"/>
    <s v="Bank Transfer"/>
    <s v="South Elizabeth"/>
    <n v="5"/>
    <s v="M"/>
    <n v="48"/>
    <n v="668.44"/>
    <n v="200.53200000000001"/>
  </r>
  <r>
    <n v="78768"/>
    <x v="129"/>
    <n v="880"/>
    <n v="10"/>
    <s v="Electronics"/>
    <s v="Smartphone"/>
    <n v="1"/>
    <n v="152.19999999999999"/>
    <s v="Bank Transfer"/>
    <s v="Cantumouth"/>
    <n v="5"/>
    <s v="M"/>
    <n v="49"/>
    <n v="152.19999999999999"/>
    <n v="45.66"/>
  </r>
  <r>
    <n v="98074"/>
    <x v="129"/>
    <n v="463"/>
    <n v="30"/>
    <s v="Home &amp; Living"/>
    <s v="Vase"/>
    <n v="4"/>
    <n v="494.66"/>
    <s v="Cash on Delivery"/>
    <s v="East Jason"/>
    <n v="4"/>
    <s v="F"/>
    <n v="47"/>
    <n v="1978.64"/>
    <n v="593.59199999999998"/>
  </r>
  <r>
    <n v="56829"/>
    <x v="130"/>
    <n v="839"/>
    <n v="10"/>
    <s v="Electronics"/>
    <s v="Tablet"/>
    <n v="1"/>
    <n v="311.67"/>
    <s v="Bank Transfer"/>
    <s v="West Justinburgh"/>
    <m/>
    <s v="M"/>
    <n v="59"/>
    <n v="311.67"/>
    <n v="93.501000000000005"/>
  </r>
  <r>
    <n v="51963"/>
    <x v="130"/>
    <n v="471"/>
    <n v="40"/>
    <s v="Books &amp; Stationery"/>
    <s v="Eraser"/>
    <n v="3"/>
    <n v="149.61000000000001"/>
    <s v="Cash on Delivery"/>
    <s v="Lake Rachaelside"/>
    <n v="5"/>
    <s v="M"/>
    <n v="61"/>
    <n v="448.83000000000004"/>
    <n v="134.649"/>
  </r>
  <r>
    <n v="74288"/>
    <x v="130"/>
    <n v="173"/>
    <n v="50"/>
    <s v="Sports &amp; Outdoors"/>
    <s v="Tent"/>
    <n v="2"/>
    <n v="308.43"/>
    <s v="Bank Transfer"/>
    <s v="Lake Williamfort"/>
    <n v="5"/>
    <s v="F"/>
    <n v="25"/>
    <n v="616.86"/>
    <n v="185.05799999999999"/>
  </r>
  <r>
    <n v="47453"/>
    <x v="130"/>
    <n v="175"/>
    <n v="30"/>
    <s v="Home &amp; Living"/>
    <s v="Carpet"/>
    <n v="2"/>
    <n v="36.36"/>
    <s v="Cash on Delivery"/>
    <s v="Alvaradoborough"/>
    <n v="2"/>
    <s v="F"/>
    <n v="58"/>
    <n v="72.72"/>
    <n v="21.815999999999999"/>
  </r>
  <r>
    <n v="30037"/>
    <x v="131"/>
    <n v="314"/>
    <n v="20"/>
    <s v="Fashion"/>
    <s v="Dress"/>
    <n v="5"/>
    <n v="337.8"/>
    <s v="Credit Card"/>
    <s v="Lake Sarah"/>
    <n v="4"/>
    <s v="F"/>
    <n v="28"/>
    <n v="1689"/>
    <n v="506.7"/>
  </r>
  <r>
    <n v="25536"/>
    <x v="132"/>
    <n v="482"/>
    <n v="10"/>
    <s v="Electronics"/>
    <s v="Tablet"/>
    <n v="3"/>
    <n v="344.77"/>
    <s v="Credit Card"/>
    <s v="Lake John"/>
    <n v="3"/>
    <m/>
    <n v="43"/>
    <n v="1034.31"/>
    <n v="310.29299999999995"/>
  </r>
  <r>
    <n v="58848"/>
    <x v="133"/>
    <n v="876"/>
    <n v="30"/>
    <s v="Home &amp; Living"/>
    <s v="Blanket"/>
    <n v="2"/>
    <n v="97.08"/>
    <s v="Credit Card"/>
    <s v="North Jennifer"/>
    <n v="5"/>
    <m/>
    <n v="36"/>
    <n v="194.16"/>
    <n v="58.247999999999998"/>
  </r>
  <r>
    <n v="63313"/>
    <x v="134"/>
    <n v="182"/>
    <n v="50"/>
    <s v="Sports &amp; Outdoors"/>
    <s v="Tent"/>
    <n v="5"/>
    <n v="266.16000000000003"/>
    <s v="Bank Transfer"/>
    <s v="Jeffreyview"/>
    <n v="1"/>
    <s v="F"/>
    <n v="59"/>
    <n v="1330.8000000000002"/>
    <n v="399.24000000000007"/>
  </r>
  <r>
    <n v="53269"/>
    <x v="134"/>
    <n v="314"/>
    <n v="40"/>
    <s v="Books &amp; Stationery"/>
    <s v="Pen"/>
    <n v="5"/>
    <n v="346.19"/>
    <s v="Bank Transfer"/>
    <s v="New Amyfurt"/>
    <n v="5"/>
    <s v="M"/>
    <n v="54"/>
    <n v="1730.95"/>
    <n v="519.28499999999997"/>
  </r>
  <r>
    <n v="39126"/>
    <x v="134"/>
    <n v="225"/>
    <n v="20"/>
    <s v="Fashion"/>
    <s v="Skirt"/>
    <n v="3"/>
    <n v="482.28"/>
    <s v="Cash on Delivery"/>
    <s v="Port Alexanderton"/>
    <n v="5"/>
    <s v="M"/>
    <n v="24"/>
    <n v="1446.84"/>
    <n v="434.05199999999996"/>
  </r>
  <r>
    <n v="44035"/>
    <x v="135"/>
    <n v="974"/>
    <n v="10"/>
    <s v="Electronics"/>
    <s v="Headphones"/>
    <n v="4"/>
    <n v="292.12"/>
    <s v="Cash on Delivery"/>
    <s v="Cassandraville"/>
    <n v="4"/>
    <s v="F"/>
    <n v="39"/>
    <n v="1168.48"/>
    <n v="350.54399999999998"/>
  </r>
  <r>
    <n v="17341"/>
    <x v="135"/>
    <n v="291"/>
    <n v="20"/>
    <s v="Fashion"/>
    <s v="Shirt"/>
    <n v="5"/>
    <n v="98.76"/>
    <s v="Credit Card"/>
    <s v="Port Timothyshire"/>
    <n v="4"/>
    <s v="F"/>
    <n v="20"/>
    <n v="493.8"/>
    <n v="148.13999999999999"/>
  </r>
  <r>
    <n v="99909"/>
    <x v="136"/>
    <n v="233"/>
    <n v="10"/>
    <s v="Electronics"/>
    <s v="Tablet"/>
    <n v="1"/>
    <n v="474.06"/>
    <s v="Cash on Delivery"/>
    <s v="Sheltonmouth"/>
    <n v="5"/>
    <s v="F"/>
    <n v="37"/>
    <n v="474.06"/>
    <n v="142.21799999999999"/>
  </r>
  <r>
    <n v="91742"/>
    <x v="136"/>
    <n v="632"/>
    <n v="20"/>
    <s v="Fashion"/>
    <s v="Pants"/>
    <n v="1"/>
    <n v="332.78"/>
    <s v="Cash on Delivery"/>
    <s v="Brandichester"/>
    <n v="5"/>
    <s v="M"/>
    <n v="28"/>
    <n v="332.78"/>
    <n v="99.833999999999989"/>
  </r>
  <r>
    <n v="56705"/>
    <x v="137"/>
    <n v="299"/>
    <n v="20"/>
    <s v="Fashion"/>
    <s v="Shirt"/>
    <n v="2"/>
    <n v="168.65"/>
    <s v="Credit Card"/>
    <s v="Michellefort"/>
    <n v="2"/>
    <s v="M"/>
    <n v="38"/>
    <n v="337.3"/>
    <n v="101.19"/>
  </r>
  <r>
    <n v="23601"/>
    <x v="137"/>
    <n v="468"/>
    <n v="40"/>
    <s v="Books &amp; Stationery"/>
    <s v="Notebook"/>
    <n v="3"/>
    <n v="408.46"/>
    <s v="Cash on Delivery"/>
    <s v="East William"/>
    <n v="5"/>
    <m/>
    <n v="57"/>
    <n v="1225.3799999999999"/>
    <n v="367.61399999999998"/>
  </r>
  <r>
    <n v="60664"/>
    <x v="137"/>
    <n v="809"/>
    <n v="30"/>
    <s v="Home &amp; Living"/>
    <s v="Vase"/>
    <n v="3"/>
    <n v="186.36"/>
    <s v="Bank Transfer"/>
    <s v="East William"/>
    <m/>
    <s v="M"/>
    <n v="21"/>
    <n v="559.08000000000004"/>
    <n v="167.72400000000002"/>
  </r>
  <r>
    <n v="17439"/>
    <x v="137"/>
    <n v="520"/>
    <n v="10"/>
    <s v="Electronics"/>
    <s v="Laptop"/>
    <n v="4"/>
    <n v="462.82"/>
    <s v="Bank Transfer"/>
    <s v="Marieborough"/>
    <n v="5"/>
    <s v="M"/>
    <n v="55"/>
    <n v="1851.28"/>
    <n v="555.38400000000001"/>
  </r>
  <r>
    <n v="48216"/>
    <x v="137"/>
    <n v="738"/>
    <n v="40"/>
    <s v="Books &amp; Stationery"/>
    <s v="Pen"/>
    <n v="5"/>
    <n v="228.23"/>
    <s v="Bank Transfer"/>
    <s v="Mendozatown"/>
    <n v="4"/>
    <s v="M"/>
    <n v="21"/>
    <n v="1141.1499999999999"/>
    <n v="342.34499999999997"/>
  </r>
  <r>
    <n v="29312"/>
    <x v="137"/>
    <n v="481"/>
    <n v="30"/>
    <s v="Home &amp; Living"/>
    <s v="Pillow"/>
    <n v="4"/>
    <n v="354.83"/>
    <s v="Cash on Delivery"/>
    <s v="South Antonioton"/>
    <n v="5"/>
    <s v="M"/>
    <n v="64"/>
    <n v="1419.32"/>
    <n v="425.79599999999999"/>
  </r>
  <r>
    <n v="35514"/>
    <x v="137"/>
    <n v="791"/>
    <n v="20"/>
    <s v="Fashion"/>
    <s v="Dress"/>
    <n v="4"/>
    <n v="216.69"/>
    <s v="Cash on Delivery"/>
    <s v="Port Matthewfort"/>
    <n v="4"/>
    <s v="F"/>
    <n v="35"/>
    <n v="866.76"/>
    <n v="260.02799999999996"/>
  </r>
  <r>
    <n v="65789"/>
    <x v="137"/>
    <n v="368"/>
    <n v="30"/>
    <s v="Home &amp; Living"/>
    <s v="Vase"/>
    <n v="3"/>
    <n v="91.58"/>
    <s v="Bank Transfer"/>
    <s v="Pughton"/>
    <n v="5"/>
    <s v="M"/>
    <n v="69"/>
    <n v="274.74"/>
    <n v="82.421999999999997"/>
  </r>
  <r>
    <n v="11021"/>
    <x v="137"/>
    <n v="114"/>
    <n v="20"/>
    <s v="Fashion"/>
    <s v="T-shirt"/>
    <n v="5"/>
    <n v="67.92"/>
    <s v="Bank Transfer"/>
    <s v="North James"/>
    <n v="5"/>
    <s v="M"/>
    <n v="47"/>
    <n v="339.6"/>
    <n v="101.88000000000001"/>
  </r>
  <r>
    <n v="33094"/>
    <x v="137"/>
    <n v="298"/>
    <n v="30"/>
    <s v="Home &amp; Living"/>
    <s v="Blanket"/>
    <n v="2"/>
    <n v="387.05"/>
    <s v="Credit Card"/>
    <s v="Lake Loristad"/>
    <n v="5"/>
    <m/>
    <n v="68"/>
    <n v="774.1"/>
    <n v="232.23"/>
  </r>
  <r>
    <n v="21565"/>
    <x v="138"/>
    <n v="499"/>
    <n v="50"/>
    <s v="Sports &amp; Outdoors"/>
    <s v="Soccer Ball"/>
    <n v="4"/>
    <n v="484.81"/>
    <s v="Credit Card"/>
    <s v="Martinezview"/>
    <m/>
    <s v="F"/>
    <n v="43"/>
    <n v="1939.24"/>
    <n v="581.77199999999993"/>
  </r>
  <r>
    <n v="11849"/>
    <x v="139"/>
    <n v="141"/>
    <n v="40"/>
    <s v="Books &amp; Stationery"/>
    <s v="Eraser"/>
    <n v="5"/>
    <n v="409.35"/>
    <s v="Cash on Delivery"/>
    <s v="South Scott"/>
    <n v="4"/>
    <m/>
    <n v="23"/>
    <n v="2046.75"/>
    <n v="614.02499999999998"/>
  </r>
  <r>
    <n v="79948"/>
    <x v="139"/>
    <n v="858"/>
    <n v="40"/>
    <s v="Books &amp; Stationery"/>
    <s v="Novel"/>
    <n v="2"/>
    <n v="164.11"/>
    <s v="Bank Transfer"/>
    <s v="South Caroline"/>
    <m/>
    <s v="F"/>
    <n v="66"/>
    <n v="328.22"/>
    <n v="98.466000000000008"/>
  </r>
  <r>
    <n v="35088"/>
    <x v="139"/>
    <n v="157"/>
    <n v="30"/>
    <s v="Home &amp; Living"/>
    <s v="Vase"/>
    <n v="5"/>
    <n v="305.27999999999997"/>
    <s v="Bank Transfer"/>
    <s v="Port Michelle"/>
    <m/>
    <s v="M"/>
    <n v="50"/>
    <n v="1526.3999999999999"/>
    <n v="457.91999999999996"/>
  </r>
  <r>
    <n v="14303"/>
    <x v="139"/>
    <n v="332"/>
    <n v="10"/>
    <s v="Electronics"/>
    <s v="Tablet"/>
    <n v="5"/>
    <n v="425.1"/>
    <s v="Credit Card"/>
    <s v="Bakerburgh"/>
    <n v="4"/>
    <s v="F"/>
    <n v="51"/>
    <n v="2125.5"/>
    <n v="637.65"/>
  </r>
  <r>
    <n v="64326"/>
    <x v="140"/>
    <n v="348"/>
    <n v="40"/>
    <s v="Books &amp; Stationery"/>
    <s v="Notebook"/>
    <n v="5"/>
    <n v="275.88"/>
    <s v="Bank Transfer"/>
    <s v="Rachelburgh"/>
    <m/>
    <s v="F"/>
    <n v="63"/>
    <n v="1379.4"/>
    <n v="413.82"/>
  </r>
  <r>
    <n v="45453"/>
    <x v="140"/>
    <n v="363"/>
    <n v="40"/>
    <s v="Books &amp; Stationery"/>
    <s v="Novel"/>
    <n v="3"/>
    <n v="292.74"/>
    <s v="Cash on Delivery"/>
    <s v="West Michaelton"/>
    <m/>
    <s v="M"/>
    <n v="63"/>
    <n v="878.22"/>
    <n v="263.46600000000001"/>
  </r>
  <r>
    <n v="35603"/>
    <x v="140"/>
    <n v="177"/>
    <n v="40"/>
    <s v="Books &amp; Stationery"/>
    <s v="Story Book"/>
    <n v="4"/>
    <n v="228.81"/>
    <s v="Bank Transfer"/>
    <s v="Lake Brent"/>
    <n v="3"/>
    <s v="F"/>
    <n v="68"/>
    <n v="915.24"/>
    <n v="274.572"/>
  </r>
  <r>
    <n v="23747"/>
    <x v="140"/>
    <n v="558"/>
    <n v="10"/>
    <s v="Electronics"/>
    <s v="Headphones"/>
    <n v="1"/>
    <n v="51.1"/>
    <s v="Credit Card"/>
    <s v="Tammymouth"/>
    <n v="2"/>
    <m/>
    <n v="36"/>
    <n v="51.1"/>
    <n v="15.33"/>
  </r>
  <r>
    <n v="45326"/>
    <x v="140"/>
    <n v="714"/>
    <n v="20"/>
    <s v="Fashion"/>
    <s v="Skirt"/>
    <n v="2"/>
    <n v="329.92"/>
    <s v="Bank Transfer"/>
    <s v="Lake Joanna"/>
    <n v="4"/>
    <s v="M"/>
    <n v="41"/>
    <n v="659.84"/>
    <n v="197.952"/>
  </r>
  <r>
    <n v="63051"/>
    <x v="140"/>
    <n v="525"/>
    <n v="50"/>
    <s v="Sports &amp; Outdoors"/>
    <s v="Running Shoes"/>
    <n v="1"/>
    <n v="100.18"/>
    <s v="Cash on Delivery"/>
    <s v="South Wesley"/>
    <n v="5"/>
    <m/>
    <n v="33"/>
    <n v="100.18"/>
    <n v="30.054000000000002"/>
  </r>
  <r>
    <n v="37401"/>
    <x v="141"/>
    <n v="861"/>
    <n v="50"/>
    <s v="Sports &amp; Outdoors"/>
    <s v="Soccer Ball"/>
    <n v="1"/>
    <n v="376.51"/>
    <s v="Credit Card"/>
    <s v="Lake Jeffrey"/>
    <m/>
    <s v="F"/>
    <n v="63"/>
    <n v="376.51"/>
    <n v="112.95299999999999"/>
  </r>
  <r>
    <n v="44592"/>
    <x v="142"/>
    <n v="909"/>
    <n v="50"/>
    <s v="Sports &amp; Outdoors"/>
    <s v="Soccer Ball"/>
    <n v="2"/>
    <n v="414.37"/>
    <s v="Credit Card"/>
    <s v="Laurenmouth"/>
    <m/>
    <m/>
    <n v="66"/>
    <n v="828.74"/>
    <n v="248.62199999999999"/>
  </r>
  <r>
    <n v="41135"/>
    <x v="142"/>
    <n v="862"/>
    <n v="30"/>
    <s v="Home &amp; Living"/>
    <s v="Vase"/>
    <n v="4"/>
    <n v="57.84"/>
    <s v="Cash on Delivery"/>
    <s v="Lake Emily"/>
    <n v="5"/>
    <s v="M"/>
    <n v="23"/>
    <n v="231.36"/>
    <n v="69.408000000000001"/>
  </r>
  <r>
    <n v="27140"/>
    <x v="142"/>
    <n v="260"/>
    <n v="20"/>
    <s v="Fashion"/>
    <s v="Pants"/>
    <n v="1"/>
    <n v="408.63"/>
    <s v="Credit Card"/>
    <s v="New Seth"/>
    <n v="4"/>
    <s v="F"/>
    <n v="21"/>
    <n v="408.63"/>
    <n v="122.589"/>
  </r>
  <r>
    <n v="62597"/>
    <x v="142"/>
    <n v="828"/>
    <n v="20"/>
    <s v="Fashion"/>
    <s v="Pants"/>
    <n v="1"/>
    <n v="132.34"/>
    <s v="Cash on Delivery"/>
    <s v="Ramosport"/>
    <n v="3"/>
    <s v="M"/>
    <n v="54"/>
    <n v="132.34"/>
    <n v="39.701999999999998"/>
  </r>
  <r>
    <n v="78206"/>
    <x v="142"/>
    <n v="610"/>
    <n v="30"/>
    <s v="Home &amp; Living"/>
    <s v="Carpet"/>
    <n v="5"/>
    <n v="212.85"/>
    <s v="Cash on Delivery"/>
    <s v="North Jacob"/>
    <n v="1"/>
    <s v="M"/>
    <n v="18"/>
    <n v="1064.25"/>
    <n v="319.27499999999998"/>
  </r>
  <r>
    <n v="90329"/>
    <x v="142"/>
    <n v="114"/>
    <n v="30"/>
    <s v="Home &amp; Living"/>
    <s v="Blanket"/>
    <n v="4"/>
    <n v="379.26"/>
    <s v="Credit Card"/>
    <s v="East Amandaside"/>
    <n v="3"/>
    <s v="F"/>
    <n v="49"/>
    <n v="1517.04"/>
    <n v="455.11199999999997"/>
  </r>
  <r>
    <n v="19180"/>
    <x v="142"/>
    <n v="427"/>
    <n v="30"/>
    <s v="Home &amp; Living"/>
    <s v="Pillow"/>
    <n v="2"/>
    <n v="351.84"/>
    <s v="Bank Transfer"/>
    <s v="New Lauramouth"/>
    <n v="1"/>
    <s v="F"/>
    <n v="50"/>
    <n v="703.68"/>
    <n v="211.10399999999998"/>
  </r>
  <r>
    <n v="56744"/>
    <x v="142"/>
    <n v="798"/>
    <n v="50"/>
    <s v="Sports &amp; Outdoors"/>
    <s v="Soccer Ball"/>
    <n v="5"/>
    <n v="301.66000000000003"/>
    <s v="Bank Transfer"/>
    <s v="Lake Lindafort"/>
    <m/>
    <s v="F"/>
    <n v="27"/>
    <n v="1508.3000000000002"/>
    <n v="452.49000000000007"/>
  </r>
  <r>
    <n v="99414"/>
    <x v="142"/>
    <n v="186"/>
    <n v="20"/>
    <s v="Fashion"/>
    <s v="Pants"/>
    <n v="4"/>
    <n v="365.04"/>
    <s v="Bank Transfer"/>
    <s v="Jaclynview"/>
    <n v="3"/>
    <s v="F"/>
    <n v="55"/>
    <n v="1460.16"/>
    <n v="438.048"/>
  </r>
  <r>
    <n v="49509"/>
    <x v="143"/>
    <n v="508"/>
    <n v="10"/>
    <s v="Electronics"/>
    <s v="Headphones"/>
    <n v="1"/>
    <n v="194.81"/>
    <s v="Cash on Delivery"/>
    <s v="Phelpsstad"/>
    <n v="5"/>
    <s v="F"/>
    <n v="58"/>
    <n v="194.81"/>
    <n v="58.442999999999998"/>
  </r>
  <r>
    <n v="33753"/>
    <x v="143"/>
    <n v="531"/>
    <n v="50"/>
    <s v="Sports &amp; Outdoors"/>
    <s v="Soccer Ball"/>
    <n v="3"/>
    <n v="477.5"/>
    <s v="Credit Card"/>
    <s v="Lake Bethmouth"/>
    <n v="5"/>
    <s v="F"/>
    <n v="56"/>
    <n v="1432.5"/>
    <n v="429.75"/>
  </r>
  <r>
    <n v="54627"/>
    <x v="143"/>
    <n v="297"/>
    <n v="30"/>
    <s v="Home &amp; Living"/>
    <s v="Painting"/>
    <n v="1"/>
    <n v="52.33"/>
    <s v="Bank Transfer"/>
    <s v="Taraborough"/>
    <m/>
    <s v="M"/>
    <n v="42"/>
    <n v="52.33"/>
    <n v="15.698999999999998"/>
  </r>
  <r>
    <n v="99026"/>
    <x v="143"/>
    <n v="665"/>
    <n v="20"/>
    <s v="Fashion"/>
    <s v="Skirt"/>
    <n v="5"/>
    <n v="470.2"/>
    <s v="Credit Card"/>
    <s v="West Antonio"/>
    <n v="1"/>
    <s v="F"/>
    <n v="34"/>
    <n v="2351"/>
    <n v="705.3"/>
  </r>
  <r>
    <n v="21731"/>
    <x v="144"/>
    <n v="206"/>
    <n v="50"/>
    <s v="Sports &amp; Outdoors"/>
    <s v="Tent"/>
    <n v="5"/>
    <n v="22.86"/>
    <s v="Cash on Delivery"/>
    <s v="Lake Annburgh"/>
    <n v="5"/>
    <s v="M"/>
    <n v="34"/>
    <n v="114.3"/>
    <n v="34.29"/>
  </r>
  <r>
    <n v="23420"/>
    <x v="144"/>
    <n v="508"/>
    <n v="20"/>
    <s v="Fashion"/>
    <s v="Shirt"/>
    <n v="4"/>
    <n v="498.66"/>
    <s v="Credit Card"/>
    <s v="Port Adrianhaven"/>
    <n v="5"/>
    <s v="F"/>
    <n v="56"/>
    <n v="1994.64"/>
    <n v="598.39200000000005"/>
  </r>
  <r>
    <n v="70317"/>
    <x v="145"/>
    <n v="151"/>
    <n v="30"/>
    <s v="Home &amp; Living"/>
    <s v="Painting"/>
    <n v="1"/>
    <n v="357.67"/>
    <s v="Cash on Delivery"/>
    <s v="Elliottfort"/>
    <n v="4"/>
    <s v="F"/>
    <n v="27"/>
    <n v="357.67"/>
    <n v="107.301"/>
  </r>
  <r>
    <n v="60024"/>
    <x v="146"/>
    <n v="643"/>
    <n v="50"/>
    <s v="Sports &amp; Outdoors"/>
    <s v="Yoga Mat"/>
    <n v="5"/>
    <n v="234.44"/>
    <s v="Credit Card"/>
    <s v="Port Suzannebury"/>
    <m/>
    <s v="F"/>
    <n v="71"/>
    <n v="1172.2"/>
    <n v="351.66"/>
  </r>
  <r>
    <n v="72471"/>
    <x v="147"/>
    <n v="557"/>
    <n v="30"/>
    <s v="Home &amp; Living"/>
    <s v="Pillow"/>
    <n v="3"/>
    <n v="116.13"/>
    <s v="Cash on Delivery"/>
    <s v="Mayland"/>
    <n v="5"/>
    <s v="F"/>
    <n v="69"/>
    <n v="348.39"/>
    <n v="104.517"/>
  </r>
  <r>
    <n v="32285"/>
    <x v="148"/>
    <n v="978"/>
    <n v="10"/>
    <s v="Electronics"/>
    <s v="Laptop"/>
    <n v="1"/>
    <n v="127.53"/>
    <s v="Cash on Delivery"/>
    <s v="West Danielborough"/>
    <m/>
    <s v="M"/>
    <n v="43"/>
    <n v="127.53"/>
    <n v="38.259"/>
  </r>
  <r>
    <n v="61294"/>
    <x v="148"/>
    <n v="645"/>
    <n v="40"/>
    <s v="Books &amp; Stationery"/>
    <s v="Eraser"/>
    <n v="2"/>
    <n v="229.57"/>
    <s v="Bank Transfer"/>
    <s v="Port Jameston"/>
    <n v="4"/>
    <s v="M"/>
    <n v="38"/>
    <n v="459.14"/>
    <n v="137.74199999999999"/>
  </r>
  <r>
    <n v="24147"/>
    <x v="148"/>
    <n v="568"/>
    <n v="30"/>
    <s v="Home &amp; Living"/>
    <s v="Painting"/>
    <n v="1"/>
    <n v="268.26"/>
    <s v="Cash on Delivery"/>
    <s v="Davistown"/>
    <n v="1"/>
    <s v="M"/>
    <n v="29"/>
    <n v="268.26"/>
    <n v="80.477999999999994"/>
  </r>
  <r>
    <n v="82916"/>
    <x v="149"/>
    <n v="180"/>
    <n v="30"/>
    <s v="Home &amp; Living"/>
    <s v="Blanket"/>
    <n v="1"/>
    <n v="375.92"/>
    <s v="Bank Transfer"/>
    <s v="New Alicia"/>
    <n v="5"/>
    <s v="F"/>
    <n v="73"/>
    <n v="375.92"/>
    <n v="112.776"/>
  </r>
  <r>
    <n v="25309"/>
    <x v="149"/>
    <n v="977"/>
    <n v="40"/>
    <s v="Books &amp; Stationery"/>
    <s v="Story Book"/>
    <n v="3"/>
    <n v="368.91"/>
    <s v="Cash on Delivery"/>
    <s v="East Anthony"/>
    <n v="5"/>
    <s v="M"/>
    <n v="52"/>
    <n v="1106.73"/>
    <n v="332.01900000000001"/>
  </r>
  <r>
    <n v="42991"/>
    <x v="149"/>
    <n v="144"/>
    <n v="30"/>
    <s v="Home &amp; Living"/>
    <s v="Vase"/>
    <n v="1"/>
    <n v="261.60000000000002"/>
    <s v="Cash on Delivery"/>
    <s v="Stevensfurt"/>
    <n v="2"/>
    <s v="F"/>
    <n v="44"/>
    <n v="261.60000000000002"/>
    <n v="78.48"/>
  </r>
  <r>
    <n v="99265"/>
    <x v="149"/>
    <n v="532"/>
    <n v="10"/>
    <s v="Electronics"/>
    <s v="Smartwatch"/>
    <n v="5"/>
    <n v="266.04000000000002"/>
    <s v="Cash on Delivery"/>
    <s v="Garyville"/>
    <m/>
    <s v="F"/>
    <n v="43"/>
    <n v="1330.2"/>
    <n v="399.06"/>
  </r>
  <r>
    <n v="73481"/>
    <x v="149"/>
    <n v="538"/>
    <n v="30"/>
    <s v="Home &amp; Living"/>
    <s v="Pillow"/>
    <n v="4"/>
    <n v="197.51"/>
    <s v="Credit Card"/>
    <s v="Bateshaven"/>
    <n v="5"/>
    <s v="M"/>
    <n v="22"/>
    <n v="790.04"/>
    <n v="237.01199999999997"/>
  </r>
  <r>
    <n v="45719"/>
    <x v="150"/>
    <n v="329"/>
    <n v="40"/>
    <s v="Books &amp; Stationery"/>
    <s v="Eraser"/>
    <n v="3"/>
    <n v="348.31"/>
    <s v="Credit Card"/>
    <s v="Townsendville"/>
    <n v="3"/>
    <s v="M"/>
    <n v="26"/>
    <n v="1044.93"/>
    <n v="313.47899999999998"/>
  </r>
  <r>
    <n v="56269"/>
    <x v="150"/>
    <n v="575"/>
    <n v="30"/>
    <s v="Home &amp; Living"/>
    <s v="Painting"/>
    <n v="5"/>
    <n v="155.72999999999999"/>
    <s v="Credit Card"/>
    <s v="Leachstad"/>
    <m/>
    <s v="F"/>
    <n v="57"/>
    <n v="778.65"/>
    <n v="233.59499999999997"/>
  </r>
  <r>
    <n v="98186"/>
    <x v="150"/>
    <n v="606"/>
    <n v="50"/>
    <s v="Sports &amp; Outdoors"/>
    <s v="Running Shoes"/>
    <n v="1"/>
    <n v="134.35"/>
    <s v="Bank Transfer"/>
    <s v="Lake Brianbury"/>
    <n v="4"/>
    <s v="F"/>
    <n v="47"/>
    <n v="134.35"/>
    <n v="40.305"/>
  </r>
  <r>
    <n v="47335"/>
    <x v="150"/>
    <n v="776"/>
    <n v="10"/>
    <s v="Electronics"/>
    <s v="Tablet"/>
    <n v="5"/>
    <n v="310.77999999999997"/>
    <s v="Cash on Delivery"/>
    <s v="East David"/>
    <n v="5"/>
    <s v="F"/>
    <n v="49"/>
    <n v="1553.8999999999999"/>
    <n v="466.16999999999996"/>
  </r>
  <r>
    <n v="83687"/>
    <x v="151"/>
    <n v="115"/>
    <n v="50"/>
    <s v="Sports &amp; Outdoors"/>
    <s v="Tent"/>
    <n v="5"/>
    <n v="475.89"/>
    <s v="Cash on Delivery"/>
    <s v="Melanieborough"/>
    <n v="5"/>
    <s v="F"/>
    <n v="52"/>
    <n v="2379.4499999999998"/>
    <n v="713.83499999999992"/>
  </r>
  <r>
    <n v="50848"/>
    <x v="152"/>
    <n v="721"/>
    <n v="50"/>
    <s v="Sports &amp; Outdoors"/>
    <s v="Yoga Mat"/>
    <n v="4"/>
    <n v="350.05"/>
    <s v="Bank Transfer"/>
    <s v="Michaelside"/>
    <n v="1"/>
    <s v="M"/>
    <n v="65"/>
    <n v="1400.2"/>
    <n v="420.06"/>
  </r>
  <r>
    <n v="75246"/>
    <x v="152"/>
    <n v="643"/>
    <n v="10"/>
    <s v="Electronics"/>
    <s v="Smartphone"/>
    <n v="5"/>
    <n v="208.59"/>
    <s v="Bank Transfer"/>
    <s v="North Jessica"/>
    <n v="4"/>
    <s v="M"/>
    <n v="56"/>
    <n v="1042.95"/>
    <n v="312.88499999999999"/>
  </r>
  <r>
    <n v="39329"/>
    <x v="153"/>
    <n v="218"/>
    <n v="40"/>
    <s v="Books &amp; Stationery"/>
    <s v="Eraser"/>
    <n v="2"/>
    <n v="354.8"/>
    <s v="Cash on Delivery"/>
    <s v="Jessicastad"/>
    <n v="4"/>
    <s v="F"/>
    <n v="59"/>
    <n v="709.6"/>
    <n v="212.88"/>
  </r>
  <r>
    <n v="37422"/>
    <x v="153"/>
    <n v="444"/>
    <n v="10"/>
    <s v="Electronics"/>
    <s v="Tablet"/>
    <n v="5"/>
    <n v="21.72"/>
    <s v="Cash on Delivery"/>
    <s v="Maddenview"/>
    <n v="3"/>
    <s v="F"/>
    <n v="22"/>
    <n v="108.6"/>
    <n v="32.58"/>
  </r>
  <r>
    <n v="69327"/>
    <x v="153"/>
    <n v="183"/>
    <n v="50"/>
    <s v="Sports &amp; Outdoors"/>
    <s v="Yoga Mat"/>
    <n v="3"/>
    <n v="105.43"/>
    <s v="Cash on Delivery"/>
    <s v="Port Joseton"/>
    <n v="4"/>
    <s v="F"/>
    <n v="72"/>
    <n v="316.29000000000002"/>
    <n v="94.887"/>
  </r>
  <r>
    <n v="39858"/>
    <x v="154"/>
    <n v="339"/>
    <n v="20"/>
    <s v="Fashion"/>
    <s v="Skirt"/>
    <n v="5"/>
    <n v="442.3"/>
    <s v="Credit Card"/>
    <s v="West Jimmystad"/>
    <n v="5"/>
    <s v="M"/>
    <n v="19"/>
    <n v="2211.5"/>
    <n v="663.44999999999993"/>
  </r>
  <r>
    <n v="57134"/>
    <x v="154"/>
    <n v="101"/>
    <n v="10"/>
    <s v="Electronics"/>
    <s v="Headphones"/>
    <n v="4"/>
    <n v="49.31"/>
    <s v="Credit Card"/>
    <s v="Barronborough"/>
    <m/>
    <s v="F"/>
    <n v="42"/>
    <n v="197.24"/>
    <n v="59.171999999999997"/>
  </r>
  <r>
    <n v="89312"/>
    <x v="155"/>
    <n v="276"/>
    <n v="10"/>
    <s v="Electronics"/>
    <s v="Smartwatch"/>
    <n v="3"/>
    <n v="188.78"/>
    <s v="Credit Card"/>
    <s v="Veronicaburgh"/>
    <m/>
    <s v="M"/>
    <n v="31"/>
    <n v="566.34"/>
    <n v="169.90200000000002"/>
  </r>
  <r>
    <n v="99423"/>
    <x v="155"/>
    <n v="675"/>
    <n v="30"/>
    <s v="Home &amp; Living"/>
    <s v="Painting"/>
    <n v="5"/>
    <n v="175.5"/>
    <s v="Cash on Delivery"/>
    <s v="Adrianmouth"/>
    <m/>
    <s v="F"/>
    <n v="73"/>
    <n v="877.5"/>
    <n v="263.25"/>
  </r>
  <r>
    <n v="47342"/>
    <x v="155"/>
    <n v="141"/>
    <n v="10"/>
    <s v="Electronics"/>
    <s v="Laptop"/>
    <n v="4"/>
    <n v="226.23"/>
    <s v="Credit Card"/>
    <s v="Port Tammyberg"/>
    <n v="5"/>
    <s v="M"/>
    <n v="59"/>
    <n v="904.92"/>
    <n v="271.476"/>
  </r>
  <r>
    <n v="26742"/>
    <x v="155"/>
    <n v="349"/>
    <n v="40"/>
    <s v="Books &amp; Stationery"/>
    <s v="Story Book"/>
    <n v="3"/>
    <n v="456.63"/>
    <s v="Cash on Delivery"/>
    <s v="Toddton"/>
    <n v="5"/>
    <s v="M"/>
    <n v="75"/>
    <n v="1369.8899999999999"/>
    <n v="410.96699999999993"/>
  </r>
  <r>
    <n v="79189"/>
    <x v="155"/>
    <n v="639"/>
    <n v="40"/>
    <s v="Books &amp; Stationery"/>
    <s v="Notebook"/>
    <n v="1"/>
    <n v="399.18"/>
    <s v="Credit Card"/>
    <s v="Davidton"/>
    <n v="5"/>
    <s v="M"/>
    <n v="66"/>
    <n v="399.18"/>
    <n v="119.75399999999999"/>
  </r>
  <r>
    <n v="61717"/>
    <x v="156"/>
    <n v="705"/>
    <n v="10"/>
    <s v="Electronics"/>
    <s v="Smartwatch"/>
    <n v="2"/>
    <n v="393.49"/>
    <s v="Bank Transfer"/>
    <s v="East Alyssa"/>
    <n v="4"/>
    <s v="F"/>
    <n v="57"/>
    <n v="786.98"/>
    <n v="236.09399999999999"/>
  </r>
  <r>
    <n v="69487"/>
    <x v="156"/>
    <n v="729"/>
    <n v="50"/>
    <s v="Sports &amp; Outdoors"/>
    <s v="Yoga Mat"/>
    <n v="4"/>
    <n v="464.28"/>
    <s v="Cash on Delivery"/>
    <s v="Port Michaelville"/>
    <n v="4"/>
    <s v="F"/>
    <n v="62"/>
    <n v="1857.12"/>
    <n v="557.13599999999997"/>
  </r>
  <r>
    <n v="52189"/>
    <x v="157"/>
    <n v="653"/>
    <n v="10"/>
    <s v="Electronics"/>
    <s v="Tablet"/>
    <n v="1"/>
    <n v="183.61"/>
    <s v="Bank Transfer"/>
    <s v="Lake Michael"/>
    <n v="4"/>
    <s v="F"/>
    <n v="49"/>
    <n v="183.61"/>
    <n v="55.083000000000006"/>
  </r>
  <r>
    <n v="94141"/>
    <x v="157"/>
    <n v="701"/>
    <n v="20"/>
    <s v="Fashion"/>
    <s v="Skirt"/>
    <n v="4"/>
    <n v="270.32"/>
    <s v="Bank Transfer"/>
    <s v="North Jeannemouth"/>
    <n v="5"/>
    <s v="M"/>
    <n v="48"/>
    <n v="1081.28"/>
    <n v="324.38399999999996"/>
  </r>
  <r>
    <n v="58363"/>
    <x v="158"/>
    <n v="536"/>
    <n v="10"/>
    <s v="Electronics"/>
    <s v="Laptop"/>
    <n v="5"/>
    <n v="87.27"/>
    <s v="Credit Card"/>
    <s v="New Louis"/>
    <n v="5"/>
    <s v="M"/>
    <n v="63"/>
    <n v="436.34999999999997"/>
    <n v="130.90499999999997"/>
  </r>
  <r>
    <n v="63876"/>
    <x v="159"/>
    <n v="545"/>
    <n v="50"/>
    <s v="Sports &amp; Outdoors"/>
    <s v="Running Shoes"/>
    <n v="2"/>
    <n v="107.84"/>
    <s v="Credit Card"/>
    <s v="Nicolebury"/>
    <n v="1"/>
    <s v="F"/>
    <n v="53"/>
    <n v="215.68"/>
    <n v="64.703999999999994"/>
  </r>
  <r>
    <n v="99259"/>
    <x v="159"/>
    <n v="426"/>
    <n v="50"/>
    <s v="Sports &amp; Outdoors"/>
    <s v="Running Shoes"/>
    <n v="3"/>
    <n v="232.33"/>
    <s v="Bank Transfer"/>
    <s v="Johntown"/>
    <m/>
    <s v="F"/>
    <n v="62"/>
    <n v="696.99"/>
    <n v="209.09700000000001"/>
  </r>
  <r>
    <n v="90952"/>
    <x v="160"/>
    <n v="360"/>
    <n v="50"/>
    <s v="Sports &amp; Outdoors"/>
    <s v="Tent"/>
    <n v="2"/>
    <n v="55.78"/>
    <s v="Cash on Delivery"/>
    <s v="Rachelborough"/>
    <m/>
    <m/>
    <n v="60"/>
    <n v="111.56"/>
    <n v="33.467999999999996"/>
  </r>
  <r>
    <n v="71237"/>
    <x v="160"/>
    <n v="588"/>
    <n v="10"/>
    <s v="Electronics"/>
    <s v="Laptop"/>
    <n v="4"/>
    <n v="264.14999999999998"/>
    <s v="Cash on Delivery"/>
    <s v="Brentbury"/>
    <n v="3"/>
    <s v="F"/>
    <n v="57"/>
    <n v="1056.5999999999999"/>
    <n v="316.97999999999996"/>
  </r>
  <r>
    <n v="84978"/>
    <x v="160"/>
    <n v="292"/>
    <n v="40"/>
    <s v="Books &amp; Stationery"/>
    <s v="Notebook"/>
    <n v="1"/>
    <n v="458.02"/>
    <s v="Bank Transfer"/>
    <s v="Payneside"/>
    <n v="3"/>
    <s v="M"/>
    <n v="64"/>
    <n v="458.02"/>
    <n v="137.40599999999998"/>
  </r>
  <r>
    <n v="59603"/>
    <x v="160"/>
    <n v="125"/>
    <n v="20"/>
    <s v="Fashion"/>
    <s v="Shirt"/>
    <n v="2"/>
    <n v="402.42"/>
    <s v="Credit Card"/>
    <s v="New Melissa"/>
    <n v="2"/>
    <s v="F"/>
    <n v="28"/>
    <n v="804.84"/>
    <n v="241.452"/>
  </r>
  <r>
    <n v="48878"/>
    <x v="161"/>
    <n v="814"/>
    <n v="30"/>
    <s v="Home &amp; Living"/>
    <s v="Painting"/>
    <n v="2"/>
    <n v="83.97"/>
    <s v="Credit Card"/>
    <s v="Kellymouth"/>
    <n v="4"/>
    <s v="F"/>
    <n v="75"/>
    <n v="167.94"/>
    <n v="50.381999999999998"/>
  </r>
  <r>
    <n v="69068"/>
    <x v="161"/>
    <n v="220"/>
    <n v="10"/>
    <s v="Electronics"/>
    <s v="Headphones"/>
    <n v="5"/>
    <n v="252.5"/>
    <s v="Cash on Delivery"/>
    <s v="West Tamiville"/>
    <n v="5"/>
    <s v="M"/>
    <n v="71"/>
    <n v="1262.5"/>
    <n v="378.75"/>
  </r>
  <r>
    <n v="47566"/>
    <x v="161"/>
    <n v="574"/>
    <n v="20"/>
    <s v="Fashion"/>
    <s v="Dress"/>
    <n v="4"/>
    <n v="216.03"/>
    <s v="Bank Transfer"/>
    <s v="South John"/>
    <n v="3"/>
    <s v="F"/>
    <n v="32"/>
    <n v="864.12"/>
    <n v="259.23599999999999"/>
  </r>
  <r>
    <n v="97111"/>
    <x v="161"/>
    <n v="897"/>
    <n v="40"/>
    <s v="Books &amp; Stationery"/>
    <s v="Notebook"/>
    <n v="4"/>
    <n v="14.47"/>
    <s v="Bank Transfer"/>
    <s v="East Brittany"/>
    <n v="5"/>
    <s v="F"/>
    <n v="33"/>
    <n v="57.88"/>
    <n v="17.364000000000001"/>
  </r>
  <r>
    <n v="51171"/>
    <x v="162"/>
    <n v="608"/>
    <n v="50"/>
    <s v="Sports &amp; Outdoors"/>
    <s v="Yoga Mat"/>
    <n v="1"/>
    <n v="439.96"/>
    <s v="Bank Transfer"/>
    <s v="South Tonya"/>
    <n v="5"/>
    <s v="F"/>
    <n v="19"/>
    <n v="439.96"/>
    <n v="131.988"/>
  </r>
  <r>
    <n v="52751"/>
    <x v="162"/>
    <n v="399"/>
    <n v="50"/>
    <s v="Sports &amp; Outdoors"/>
    <s v="Yoga Mat"/>
    <n v="3"/>
    <n v="250.37"/>
    <s v="Cash on Delivery"/>
    <s v="Coreyfort"/>
    <n v="4"/>
    <s v="M"/>
    <n v="43"/>
    <n v="751.11"/>
    <n v="225.333"/>
  </r>
  <r>
    <n v="79018"/>
    <x v="162"/>
    <n v="460"/>
    <n v="50"/>
    <s v="Sports &amp; Outdoors"/>
    <s v="Tent"/>
    <n v="2"/>
    <n v="150.37"/>
    <s v="Cash on Delivery"/>
    <s v="Port Samantha"/>
    <m/>
    <s v="F"/>
    <n v="54"/>
    <n v="300.74"/>
    <n v="90.221999999999994"/>
  </r>
  <r>
    <n v="27462"/>
    <x v="162"/>
    <n v="864"/>
    <n v="10"/>
    <s v="Electronics"/>
    <s v="Smartwatch"/>
    <n v="5"/>
    <n v="466.38"/>
    <s v="Bank Transfer"/>
    <s v="Johnfort"/>
    <n v="3"/>
    <s v="M"/>
    <n v="67"/>
    <n v="2331.9"/>
    <n v="699.57"/>
  </r>
  <r>
    <n v="99233"/>
    <x v="162"/>
    <n v="842"/>
    <n v="20"/>
    <s v="Fashion"/>
    <s v="Shirt"/>
    <n v="1"/>
    <n v="273.56"/>
    <s v="Cash on Delivery"/>
    <s v="West Teresa"/>
    <m/>
    <s v="M"/>
    <n v="43"/>
    <n v="273.56"/>
    <n v="82.067999999999998"/>
  </r>
  <r>
    <n v="10825"/>
    <x v="163"/>
    <n v="693"/>
    <n v="30"/>
    <s v="Home &amp; Living"/>
    <s v="Blanket"/>
    <n v="1"/>
    <n v="286.33999999999997"/>
    <s v="Cash on Delivery"/>
    <s v="Port Marcusmouth"/>
    <n v="5"/>
    <s v="M"/>
    <n v="63"/>
    <n v="286.33999999999997"/>
    <n v="85.901999999999987"/>
  </r>
  <r>
    <n v="43226"/>
    <x v="163"/>
    <n v="221"/>
    <n v="10"/>
    <s v="Electronics"/>
    <s v="Headphones"/>
    <n v="1"/>
    <n v="306.52999999999997"/>
    <s v="Cash on Delivery"/>
    <s v="North David"/>
    <n v="5"/>
    <s v="M"/>
    <n v="32"/>
    <n v="306.52999999999997"/>
    <n v="91.958999999999989"/>
  </r>
  <r>
    <n v="25370"/>
    <x v="163"/>
    <n v="576"/>
    <n v="10"/>
    <s v="Electronics"/>
    <s v="Laptop"/>
    <n v="1"/>
    <n v="366.61"/>
    <s v="Cash on Delivery"/>
    <s v="Port Markport"/>
    <n v="2"/>
    <s v="F"/>
    <n v="57"/>
    <n v="366.61"/>
    <n v="109.983"/>
  </r>
  <r>
    <n v="10254"/>
    <x v="164"/>
    <n v="318"/>
    <n v="30"/>
    <s v="Home &amp; Living"/>
    <s v="Vase"/>
    <n v="1"/>
    <n v="70.930000000000007"/>
    <s v="Cash on Delivery"/>
    <s v="Port Christine"/>
    <n v="3"/>
    <s v="M"/>
    <n v="73"/>
    <n v="70.930000000000007"/>
    <n v="21.279"/>
  </r>
  <r>
    <n v="29786"/>
    <x v="164"/>
    <n v="749"/>
    <n v="40"/>
    <s v="Books &amp; Stationery"/>
    <s v="Notebook"/>
    <n v="3"/>
    <n v="334.67"/>
    <s v="Bank Transfer"/>
    <s v="South Brianstad"/>
    <n v="5"/>
    <s v="F"/>
    <n v="23"/>
    <n v="1004.01"/>
    <n v="301.20299999999997"/>
  </r>
  <r>
    <n v="65102"/>
    <x v="164"/>
    <n v="294"/>
    <n v="20"/>
    <s v="Fashion"/>
    <s v="Pants"/>
    <n v="1"/>
    <n v="107.09"/>
    <s v="Bank Transfer"/>
    <s v="Port Ryanville"/>
    <n v="3"/>
    <s v="F"/>
    <n v="52"/>
    <n v="107.09"/>
    <n v="32.127000000000002"/>
  </r>
  <r>
    <n v="29007"/>
    <x v="165"/>
    <n v="951"/>
    <n v="50"/>
    <s v="Sports &amp; Outdoors"/>
    <s v="Soccer Ball"/>
    <n v="4"/>
    <n v="334.37"/>
    <s v="Cash on Delivery"/>
    <s v="Morrisburgh"/>
    <n v="5"/>
    <s v="M"/>
    <n v="24"/>
    <n v="1337.48"/>
    <n v="401.24399999999997"/>
  </r>
  <r>
    <n v="47725"/>
    <x v="166"/>
    <n v="320"/>
    <n v="20"/>
    <s v="Fashion"/>
    <s v="Dress"/>
    <n v="3"/>
    <n v="106.66"/>
    <s v="Cash on Delivery"/>
    <s v="Bradleyview"/>
    <m/>
    <s v="F"/>
    <n v="36"/>
    <n v="319.98"/>
    <n v="95.994"/>
  </r>
  <r>
    <n v="96162"/>
    <x v="166"/>
    <n v="887"/>
    <n v="50"/>
    <s v="Sports &amp; Outdoors"/>
    <s v="Yoga Mat"/>
    <n v="5"/>
    <n v="292.95999999999998"/>
    <s v="Cash on Delivery"/>
    <s v="South Jeffreystad"/>
    <n v="5"/>
    <s v="M"/>
    <n v="34"/>
    <n v="1464.8"/>
    <n v="439.44"/>
  </r>
  <r>
    <n v="92859"/>
    <x v="166"/>
    <n v="727"/>
    <n v="50"/>
    <s v="Sports &amp; Outdoors"/>
    <s v="Running Shoes"/>
    <n v="3"/>
    <n v="498.35"/>
    <s v="Cash on Delivery"/>
    <s v="Patriciaville"/>
    <m/>
    <s v="F"/>
    <n v="27"/>
    <n v="1495.0500000000002"/>
    <n v="448.51500000000004"/>
  </r>
  <r>
    <n v="29123"/>
    <x v="166"/>
    <n v="506"/>
    <n v="20"/>
    <s v="Fashion"/>
    <s v="T-shirt"/>
    <n v="3"/>
    <n v="72.66"/>
    <s v="Cash on Delivery"/>
    <s v="East Daleton"/>
    <m/>
    <s v="F"/>
    <n v="39"/>
    <n v="217.98"/>
    <n v="65.393999999999991"/>
  </r>
  <r>
    <n v="99828"/>
    <x v="166"/>
    <n v="510"/>
    <n v="40"/>
    <s v="Books &amp; Stationery"/>
    <s v="Story Book"/>
    <n v="5"/>
    <n v="427.73"/>
    <s v="Credit Card"/>
    <s v="Douglastown"/>
    <n v="3"/>
    <s v="F"/>
    <n v="72"/>
    <n v="2138.65"/>
    <n v="641.59500000000003"/>
  </r>
  <r>
    <n v="10486"/>
    <x v="167"/>
    <n v="297"/>
    <n v="20"/>
    <s v="Fashion"/>
    <s v="Shirt"/>
    <n v="2"/>
    <n v="274.10000000000002"/>
    <s v="Cash on Delivery"/>
    <s v="Port Allisonfort"/>
    <n v="4"/>
    <s v="F"/>
    <n v="54"/>
    <n v="548.20000000000005"/>
    <n v="164.46"/>
  </r>
  <r>
    <n v="55931"/>
    <x v="167"/>
    <n v="431"/>
    <n v="40"/>
    <s v="Books &amp; Stationery"/>
    <s v="Pen"/>
    <n v="2"/>
    <n v="328.1"/>
    <s v="Credit Card"/>
    <s v="East Nicole"/>
    <n v="5"/>
    <s v="F"/>
    <n v="46"/>
    <n v="656.2"/>
    <n v="196.86"/>
  </r>
  <r>
    <n v="76854"/>
    <x v="168"/>
    <n v="845"/>
    <n v="30"/>
    <s v="Home &amp; Living"/>
    <s v="Pillow"/>
    <n v="2"/>
    <n v="148.59"/>
    <s v="Bank Transfer"/>
    <s v="Andrewmouth"/>
    <n v="5"/>
    <s v="F"/>
    <n v="64"/>
    <n v="297.18"/>
    <n v="89.153999999999996"/>
  </r>
  <r>
    <n v="82077"/>
    <x v="168"/>
    <n v="889"/>
    <n v="20"/>
    <s v="Fashion"/>
    <s v="Shirt"/>
    <n v="1"/>
    <n v="239.33"/>
    <s v="Credit Card"/>
    <s v="Brandyborough"/>
    <n v="5"/>
    <s v="M"/>
    <n v="37"/>
    <n v="239.33"/>
    <n v="71.799000000000007"/>
  </r>
  <r>
    <n v="13425"/>
    <x v="168"/>
    <n v="852"/>
    <n v="30"/>
    <s v="Home &amp; Living"/>
    <s v="Vase"/>
    <n v="4"/>
    <n v="409.58"/>
    <s v="Cash on Delivery"/>
    <s v="Port Luke"/>
    <n v="5"/>
    <s v="M"/>
    <n v="46"/>
    <n v="1638.32"/>
    <n v="491.49599999999998"/>
  </r>
  <r>
    <n v="14276"/>
    <x v="168"/>
    <n v="513"/>
    <n v="50"/>
    <s v="Sports &amp; Outdoors"/>
    <s v="Yoga Mat"/>
    <n v="5"/>
    <n v="212.42"/>
    <s v="Credit Card"/>
    <s v="East Stevenmouth"/>
    <m/>
    <s v="M"/>
    <n v="73"/>
    <n v="1062.0999999999999"/>
    <n v="318.62999999999994"/>
  </r>
  <r>
    <n v="60295"/>
    <x v="168"/>
    <n v="636"/>
    <n v="50"/>
    <s v="Sports &amp; Outdoors"/>
    <s v="Yoga Mat"/>
    <n v="2"/>
    <n v="349.54"/>
    <s v="Credit Card"/>
    <s v="Joshuabury"/>
    <n v="5"/>
    <s v="M"/>
    <n v="71"/>
    <n v="699.08"/>
    <n v="209.72400000000002"/>
  </r>
  <r>
    <n v="68220"/>
    <x v="169"/>
    <n v="961"/>
    <n v="30"/>
    <s v="Home &amp; Living"/>
    <s v="Carpet"/>
    <n v="2"/>
    <n v="113.21"/>
    <s v="Bank Transfer"/>
    <s v="Jacobburgh"/>
    <n v="1"/>
    <s v="F"/>
    <n v="50"/>
    <n v="226.42"/>
    <n v="67.925999999999988"/>
  </r>
  <r>
    <n v="53270"/>
    <x v="169"/>
    <n v="848"/>
    <n v="20"/>
    <s v="Fashion"/>
    <s v="Skirt"/>
    <n v="1"/>
    <n v="431.8"/>
    <s v="Cash on Delivery"/>
    <s v="South Jessica"/>
    <n v="4"/>
    <s v="F"/>
    <n v="65"/>
    <n v="431.8"/>
    <n v="129.54"/>
  </r>
  <r>
    <n v="71646"/>
    <x v="169"/>
    <n v="693"/>
    <n v="30"/>
    <s v="Home &amp; Living"/>
    <s v="Blanket"/>
    <n v="2"/>
    <n v="60.33"/>
    <s v="Cash on Delivery"/>
    <s v="Hernandezmouth"/>
    <n v="4"/>
    <s v="M"/>
    <n v="48"/>
    <n v="120.66"/>
    <n v="36.198"/>
  </r>
  <r>
    <n v="79047"/>
    <x v="170"/>
    <n v="517"/>
    <n v="50"/>
    <s v="Sports &amp; Outdoors"/>
    <s v="Basketball"/>
    <n v="3"/>
    <n v="310.39"/>
    <s v="Bank Transfer"/>
    <s v="Rhodesfurt"/>
    <n v="4"/>
    <s v="M"/>
    <n v="62"/>
    <n v="931.17"/>
    <n v="279.351"/>
  </r>
  <r>
    <n v="77178"/>
    <x v="171"/>
    <n v="167"/>
    <n v="40"/>
    <s v="Books &amp; Stationery"/>
    <s v="Novel"/>
    <n v="5"/>
    <n v="126.23"/>
    <s v="Cash on Delivery"/>
    <s v="Lake Ryanland"/>
    <n v="3"/>
    <s v="M"/>
    <n v="61"/>
    <n v="631.15"/>
    <n v="189.345"/>
  </r>
  <r>
    <n v="84001"/>
    <x v="171"/>
    <n v="970"/>
    <n v="10"/>
    <s v="Electronics"/>
    <s v="Smartwatch"/>
    <n v="5"/>
    <n v="332.86"/>
    <s v="Credit Card"/>
    <s v="East Robynmouth"/>
    <n v="5"/>
    <s v="M"/>
    <n v="67"/>
    <n v="1664.3000000000002"/>
    <n v="499.29"/>
  </r>
  <r>
    <n v="61427"/>
    <x v="171"/>
    <n v="410"/>
    <n v="10"/>
    <s v="Electronics"/>
    <s v="Laptop"/>
    <n v="4"/>
    <n v="221.54"/>
    <s v="Cash on Delivery"/>
    <s v="New Sean"/>
    <n v="3"/>
    <s v="M"/>
    <n v="71"/>
    <n v="886.16"/>
    <n v="265.84799999999996"/>
  </r>
  <r>
    <n v="96418"/>
    <x v="172"/>
    <n v="939"/>
    <n v="30"/>
    <s v="Home &amp; Living"/>
    <s v="Carpet"/>
    <n v="2"/>
    <n v="325.88"/>
    <s v="Bank Transfer"/>
    <s v="New David"/>
    <n v="5"/>
    <s v="F"/>
    <n v="64"/>
    <n v="651.76"/>
    <n v="195.52799999999999"/>
  </r>
  <r>
    <n v="53004"/>
    <x v="173"/>
    <n v="309"/>
    <n v="30"/>
    <s v="Home &amp; Living"/>
    <s v="Carpet"/>
    <n v="5"/>
    <n v="249.38"/>
    <s v="Credit Card"/>
    <s v="New Brittanytown"/>
    <m/>
    <s v="M"/>
    <n v="20"/>
    <n v="1246.9000000000001"/>
    <n v="374.07"/>
  </r>
  <r>
    <n v="62697"/>
    <x v="173"/>
    <n v="774"/>
    <n v="10"/>
    <s v="Electronics"/>
    <s v="Headphones"/>
    <n v="2"/>
    <n v="471.12"/>
    <s v="Bank Transfer"/>
    <s v="Murrayville"/>
    <m/>
    <s v="M"/>
    <n v="25"/>
    <n v="942.24"/>
    <n v="282.67199999999997"/>
  </r>
  <r>
    <n v="52324"/>
    <x v="174"/>
    <n v="932"/>
    <n v="20"/>
    <s v="Fashion"/>
    <s v="T-shirt"/>
    <n v="2"/>
    <n v="260.14"/>
    <s v="Credit Card"/>
    <s v="New Patriciaville"/>
    <n v="4"/>
    <s v="M"/>
    <n v="64"/>
    <n v="520.28"/>
    <n v="156.08399999999997"/>
  </r>
  <r>
    <n v="86646"/>
    <x v="174"/>
    <n v="279"/>
    <n v="20"/>
    <s v="Fashion"/>
    <s v="Pants"/>
    <n v="2"/>
    <n v="397.28"/>
    <s v="Credit Card"/>
    <s v="New Kelly"/>
    <n v="3"/>
    <s v="F"/>
    <n v="55"/>
    <n v="794.56"/>
    <n v="238.36799999999997"/>
  </r>
  <r>
    <n v="79476"/>
    <x v="174"/>
    <n v="880"/>
    <n v="50"/>
    <s v="Sports &amp; Outdoors"/>
    <s v="Basketball"/>
    <n v="4"/>
    <n v="322.58999999999997"/>
    <s v="Credit Card"/>
    <s v="North Cristianview"/>
    <m/>
    <s v="M"/>
    <n v="25"/>
    <n v="1290.3599999999999"/>
    <n v="387.10799999999995"/>
  </r>
  <r>
    <n v="50437"/>
    <x v="174"/>
    <n v="220"/>
    <n v="40"/>
    <s v="Books &amp; Stationery"/>
    <s v="Notebook"/>
    <n v="2"/>
    <n v="266.27"/>
    <s v="Cash on Delivery"/>
    <s v="Port Jasmin"/>
    <n v="2"/>
    <s v="M"/>
    <n v="34"/>
    <n v="532.54"/>
    <n v="159.76199999999997"/>
  </r>
  <r>
    <n v="15858"/>
    <x v="174"/>
    <n v="626"/>
    <n v="30"/>
    <s v="Home &amp; Living"/>
    <s v="Blanket"/>
    <n v="2"/>
    <n v="213.97"/>
    <s v="Cash on Delivery"/>
    <s v="Jacobville"/>
    <n v="3"/>
    <s v="F"/>
    <n v="51"/>
    <n v="427.94"/>
    <n v="128.38200000000001"/>
  </r>
  <r>
    <n v="92429"/>
    <x v="174"/>
    <n v="710"/>
    <n v="10"/>
    <s v="Electronics"/>
    <s v="Headphones"/>
    <n v="4"/>
    <n v="303.16000000000003"/>
    <s v="Cash on Delivery"/>
    <s v="Jonesville"/>
    <n v="4"/>
    <s v="M"/>
    <n v="50"/>
    <n v="1212.6400000000001"/>
    <n v="363.79200000000003"/>
  </r>
  <r>
    <n v="53811"/>
    <x v="175"/>
    <n v="551"/>
    <n v="40"/>
    <s v="Books &amp; Stationery"/>
    <s v="Eraser"/>
    <n v="5"/>
    <n v="426.37"/>
    <s v="Credit Card"/>
    <s v="Port Cristianfort"/>
    <n v="4"/>
    <s v="F"/>
    <n v="52"/>
    <n v="2131.85"/>
    <n v="639.55499999999995"/>
  </r>
  <r>
    <n v="78056"/>
    <x v="175"/>
    <n v="313"/>
    <n v="40"/>
    <s v="Books &amp; Stationery"/>
    <s v="Pen"/>
    <n v="2"/>
    <n v="113.24"/>
    <s v="Credit Card"/>
    <s v="South Mark"/>
    <n v="5"/>
    <s v="M"/>
    <n v="43"/>
    <n v="226.48"/>
    <n v="67.943999999999988"/>
  </r>
  <r>
    <n v="89576"/>
    <x v="175"/>
    <n v="774"/>
    <n v="30"/>
    <s v="Home &amp; Living"/>
    <s v="Vase"/>
    <n v="3"/>
    <n v="82.53"/>
    <s v="Bank Transfer"/>
    <s v="Lake Jeanneview"/>
    <m/>
    <s v="F"/>
    <n v="26"/>
    <n v="247.59"/>
    <n v="74.277000000000001"/>
  </r>
  <r>
    <n v="48519"/>
    <x v="176"/>
    <n v="954"/>
    <n v="30"/>
    <s v="Home &amp; Living"/>
    <s v="Pillow"/>
    <n v="4"/>
    <n v="206.28"/>
    <s v="Cash on Delivery"/>
    <s v="Lewisburgh"/>
    <n v="4"/>
    <s v="M"/>
    <n v="67"/>
    <n v="825.12"/>
    <n v="247.536"/>
  </r>
  <r>
    <n v="14108"/>
    <x v="176"/>
    <n v="820"/>
    <n v="40"/>
    <s v="Books &amp; Stationery"/>
    <s v="Pen"/>
    <n v="1"/>
    <n v="357.97"/>
    <s v="Bank Transfer"/>
    <s v="Markborough"/>
    <n v="4"/>
    <s v="M"/>
    <n v="55"/>
    <n v="357.97"/>
    <n v="107.39100000000001"/>
  </r>
  <r>
    <n v="96041"/>
    <x v="176"/>
    <n v="595"/>
    <n v="10"/>
    <s v="Electronics"/>
    <s v="Smartphone"/>
    <n v="2"/>
    <n v="177.49"/>
    <s v="Bank Transfer"/>
    <s v="Kirbyport"/>
    <m/>
    <s v="M"/>
    <n v="56"/>
    <n v="354.98"/>
    <n v="106.494"/>
  </r>
  <r>
    <n v="88321"/>
    <x v="176"/>
    <n v="738"/>
    <n v="10"/>
    <s v="Electronics"/>
    <s v="Smartwatch"/>
    <n v="5"/>
    <n v="193.09"/>
    <s v="Bank Transfer"/>
    <s v="West Jerry"/>
    <n v="5"/>
    <s v="M"/>
    <n v="48"/>
    <n v="965.45"/>
    <n v="289.63499999999999"/>
  </r>
  <r>
    <n v="36855"/>
    <x v="176"/>
    <n v="132"/>
    <n v="10"/>
    <s v="Electronics"/>
    <s v="Headphones"/>
    <n v="2"/>
    <n v="301.92"/>
    <s v="Cash on Delivery"/>
    <s v="Port Jo"/>
    <m/>
    <s v="F"/>
    <n v="43"/>
    <n v="603.84"/>
    <n v="181.15200000000002"/>
  </r>
  <r>
    <n v="32232"/>
    <x v="177"/>
    <n v="476"/>
    <n v="10"/>
    <s v="Electronics"/>
    <s v="Smartphone"/>
    <n v="1"/>
    <n v="234.56"/>
    <s v="Cash on Delivery"/>
    <s v="Mcdonaldmouth"/>
    <n v="5"/>
    <s v="M"/>
    <n v="55"/>
    <n v="234.56"/>
    <n v="70.367999999999995"/>
  </r>
  <r>
    <n v="56464"/>
    <x v="177"/>
    <n v="361"/>
    <n v="20"/>
    <s v="Fashion"/>
    <s v="Dress"/>
    <n v="1"/>
    <n v="483.14"/>
    <s v="Bank Transfer"/>
    <s v="Jonathanport"/>
    <n v="5"/>
    <s v="M"/>
    <n v="44"/>
    <n v="483.14"/>
    <n v="144.94199999999998"/>
  </r>
  <r>
    <n v="82689"/>
    <x v="177"/>
    <n v="254"/>
    <n v="30"/>
    <s v="Home &amp; Living"/>
    <s v="Painting"/>
    <n v="1"/>
    <n v="169.29"/>
    <s v="Cash on Delivery"/>
    <s v="South Christine"/>
    <n v="4"/>
    <s v="F"/>
    <n v="23"/>
    <n v="169.29"/>
    <n v="50.786999999999999"/>
  </r>
  <r>
    <n v="11871"/>
    <x v="177"/>
    <n v="479"/>
    <n v="30"/>
    <s v="Home &amp; Living"/>
    <s v="Painting"/>
    <n v="3"/>
    <n v="258.27999999999997"/>
    <s v="Bank Transfer"/>
    <s v="East Kevinchester"/>
    <n v="5"/>
    <s v="M"/>
    <n v="65"/>
    <n v="774.83999999999992"/>
    <n v="232.45199999999997"/>
  </r>
  <r>
    <n v="26652"/>
    <x v="178"/>
    <n v="952"/>
    <n v="10"/>
    <s v="Electronics"/>
    <s v="Tablet"/>
    <n v="2"/>
    <n v="480.79"/>
    <s v="Cash on Delivery"/>
    <s v="Danielstad"/>
    <n v="5"/>
    <s v="F"/>
    <n v="48"/>
    <n v="961.58"/>
    <n v="288.47399999999999"/>
  </r>
  <r>
    <n v="33496"/>
    <x v="178"/>
    <n v="863"/>
    <n v="50"/>
    <s v="Sports &amp; Outdoors"/>
    <s v="Running Shoes"/>
    <n v="5"/>
    <n v="174.83"/>
    <s v="Bank Transfer"/>
    <s v="Port Ginaside"/>
    <n v="5"/>
    <s v="M"/>
    <n v="71"/>
    <n v="874.15000000000009"/>
    <n v="262.245"/>
  </r>
  <r>
    <n v="76010"/>
    <x v="178"/>
    <n v="248"/>
    <n v="30"/>
    <s v="Home &amp; Living"/>
    <s v="Pillow"/>
    <n v="1"/>
    <n v="257.23"/>
    <s v="Credit Card"/>
    <s v="Stevenfurt"/>
    <m/>
    <s v="F"/>
    <n v="51"/>
    <n v="257.23"/>
    <n v="77.168999999999997"/>
  </r>
  <r>
    <n v="25889"/>
    <x v="178"/>
    <n v="507"/>
    <n v="20"/>
    <s v="Fashion"/>
    <s v="Skirt"/>
    <n v="4"/>
    <n v="255.89"/>
    <s v="Cash on Delivery"/>
    <s v="West Kristinehaven"/>
    <n v="5"/>
    <s v="F"/>
    <n v="51"/>
    <n v="1023.56"/>
    <n v="307.06799999999998"/>
  </r>
  <r>
    <n v="42185"/>
    <x v="178"/>
    <n v="615"/>
    <n v="50"/>
    <s v="Sports &amp; Outdoors"/>
    <s v="Soccer Ball"/>
    <n v="2"/>
    <n v="86.15"/>
    <s v="Credit Card"/>
    <s v="Lake Spencer"/>
    <n v="4"/>
    <s v="M"/>
    <n v="35"/>
    <n v="172.3"/>
    <n v="51.690000000000005"/>
  </r>
  <r>
    <n v="94503"/>
    <x v="178"/>
    <n v="874"/>
    <n v="30"/>
    <s v="Home &amp; Living"/>
    <s v="Carpet"/>
    <n v="2"/>
    <n v="62.01"/>
    <s v="Cash on Delivery"/>
    <s v="East Moniquefort"/>
    <n v="3"/>
    <s v="M"/>
    <n v="68"/>
    <n v="124.02"/>
    <n v="37.205999999999996"/>
  </r>
  <r>
    <n v="50575"/>
    <x v="178"/>
    <n v="107"/>
    <n v="50"/>
    <s v="Sports &amp; Outdoors"/>
    <s v="Basketball"/>
    <n v="4"/>
    <n v="225.83"/>
    <s v="Credit Card"/>
    <s v="Lake Sharonmouth"/>
    <m/>
    <s v="M"/>
    <n v="29"/>
    <n v="903.32"/>
    <n v="270.99599999999998"/>
  </r>
  <r>
    <n v="99887"/>
    <x v="178"/>
    <n v="237"/>
    <n v="50"/>
    <s v="Sports &amp; Outdoors"/>
    <s v="Running Shoes"/>
    <n v="1"/>
    <n v="101.82"/>
    <s v="Credit Card"/>
    <s v="North Wendyberg"/>
    <n v="5"/>
    <s v="F"/>
    <n v="50"/>
    <n v="101.82"/>
    <n v="30.545999999999996"/>
  </r>
  <r>
    <n v="96195"/>
    <x v="179"/>
    <n v="975"/>
    <n v="30"/>
    <s v="Home &amp; Living"/>
    <s v="Carpet"/>
    <n v="4"/>
    <n v="196.7"/>
    <s v="Cash on Delivery"/>
    <s v="Port Matthew"/>
    <n v="5"/>
    <s v="M"/>
    <n v="27"/>
    <n v="786.8"/>
    <n v="236.03999999999996"/>
  </r>
  <r>
    <n v="27766"/>
    <x v="179"/>
    <n v="257"/>
    <n v="30"/>
    <s v="Home &amp; Living"/>
    <s v="Vase"/>
    <n v="5"/>
    <n v="154.72"/>
    <s v="Credit Card"/>
    <s v="Lake Troyshire"/>
    <n v="4"/>
    <m/>
    <n v="39"/>
    <n v="773.6"/>
    <n v="232.07999999999998"/>
  </r>
  <r>
    <n v="36373"/>
    <x v="179"/>
    <n v="901"/>
    <n v="50"/>
    <s v="Sports &amp; Outdoors"/>
    <s v="Basketball"/>
    <n v="1"/>
    <n v="101.9"/>
    <s v="Bank Transfer"/>
    <s v="Port Lindaton"/>
    <n v="1"/>
    <s v="F"/>
    <n v="50"/>
    <n v="101.9"/>
    <n v="30.57"/>
  </r>
  <r>
    <n v="71005"/>
    <x v="180"/>
    <n v="203"/>
    <n v="10"/>
    <s v="Electronics"/>
    <s v="Headphones"/>
    <n v="3"/>
    <n v="129.35"/>
    <s v="Credit Card"/>
    <s v="Grahamhaven"/>
    <n v="5"/>
    <s v="M"/>
    <n v="28"/>
    <n v="388.04999999999995"/>
    <n v="116.41499999999998"/>
  </r>
  <r>
    <n v="53474"/>
    <x v="180"/>
    <n v="892"/>
    <n v="40"/>
    <s v="Books &amp; Stationery"/>
    <s v="Eraser"/>
    <n v="5"/>
    <n v="280.14999999999998"/>
    <s v="Bank Transfer"/>
    <s v="Johnburgh"/>
    <m/>
    <s v="F"/>
    <n v="44"/>
    <n v="1400.75"/>
    <n v="420.22499999999997"/>
  </r>
  <r>
    <n v="54306"/>
    <x v="180"/>
    <n v="409"/>
    <n v="50"/>
    <s v="Sports &amp; Outdoors"/>
    <s v="Running Shoes"/>
    <n v="1"/>
    <n v="333.66"/>
    <s v="Cash on Delivery"/>
    <s v="Jacobfort"/>
    <m/>
    <s v="M"/>
    <n v="39"/>
    <n v="333.66"/>
    <n v="100.098"/>
  </r>
  <r>
    <n v="77823"/>
    <x v="181"/>
    <n v="994"/>
    <n v="10"/>
    <s v="Electronics"/>
    <s v="Smartphone"/>
    <n v="5"/>
    <n v="475.31"/>
    <s v="Credit Card"/>
    <s v="South Roger"/>
    <n v="5"/>
    <s v="F"/>
    <n v="34"/>
    <n v="2376.5500000000002"/>
    <n v="712.96500000000003"/>
  </r>
  <r>
    <n v="91463"/>
    <x v="181"/>
    <n v="110"/>
    <n v="20"/>
    <s v="Fashion"/>
    <s v="Pants"/>
    <n v="5"/>
    <n v="418.71"/>
    <s v="Bank Transfer"/>
    <s v="Johnsonborough"/>
    <n v="3"/>
    <s v="F"/>
    <n v="66"/>
    <n v="2093.5499999999997"/>
    <n v="628.06499999999994"/>
  </r>
  <r>
    <n v="11101"/>
    <x v="181"/>
    <n v="750"/>
    <n v="50"/>
    <s v="Sports &amp; Outdoors"/>
    <s v="Soccer Ball"/>
    <n v="5"/>
    <n v="96.94"/>
    <s v="Cash on Delivery"/>
    <s v="South Katiefurt"/>
    <n v="4"/>
    <s v="F"/>
    <n v="22"/>
    <n v="484.7"/>
    <n v="145.41"/>
  </r>
  <r>
    <n v="48803"/>
    <x v="181"/>
    <n v="285"/>
    <n v="30"/>
    <s v="Home &amp; Living"/>
    <s v="Painting"/>
    <n v="1"/>
    <n v="481.21"/>
    <s v="Bank Transfer"/>
    <s v="New Kristen"/>
    <n v="5"/>
    <s v="M"/>
    <n v="31"/>
    <n v="481.21"/>
    <n v="144.363"/>
  </r>
  <r>
    <n v="96862"/>
    <x v="182"/>
    <n v="146"/>
    <n v="40"/>
    <s v="Books &amp; Stationery"/>
    <s v="Notebook"/>
    <n v="5"/>
    <n v="457.21"/>
    <s v="Cash on Delivery"/>
    <s v="Barberside"/>
    <n v="3"/>
    <s v="M"/>
    <n v="29"/>
    <n v="2286.0499999999997"/>
    <n v="685.81499999999994"/>
  </r>
  <r>
    <n v="13992"/>
    <x v="182"/>
    <n v="375"/>
    <n v="40"/>
    <s v="Books &amp; Stationery"/>
    <s v="Eraser"/>
    <n v="5"/>
    <n v="25.87"/>
    <s v="Cash on Delivery"/>
    <s v="Karenside"/>
    <n v="3"/>
    <s v="F"/>
    <n v="40"/>
    <n v="129.35"/>
    <n v="38.805"/>
  </r>
  <r>
    <n v="82756"/>
    <x v="182"/>
    <n v="597"/>
    <n v="10"/>
    <s v="Electronics"/>
    <s v="Tablet"/>
    <n v="3"/>
    <n v="445.82"/>
    <s v="Cash on Delivery"/>
    <s v="Ricemouth"/>
    <m/>
    <s v="F"/>
    <n v="73"/>
    <n v="1337.46"/>
    <n v="401.238"/>
  </r>
  <r>
    <n v="47637"/>
    <x v="182"/>
    <n v="197"/>
    <n v="40"/>
    <s v="Books &amp; Stationery"/>
    <s v="Eraser"/>
    <n v="2"/>
    <n v="484.93"/>
    <s v="Cash on Delivery"/>
    <s v="West Mary"/>
    <m/>
    <s v="F"/>
    <n v="42"/>
    <n v="969.86"/>
    <n v="290.95799999999997"/>
  </r>
  <r>
    <n v="32168"/>
    <x v="183"/>
    <n v="896"/>
    <n v="30"/>
    <s v="Home &amp; Living"/>
    <s v="Painting"/>
    <n v="4"/>
    <n v="479.12"/>
    <s v="Credit Card"/>
    <s v="Lesliemouth"/>
    <n v="4"/>
    <s v="F"/>
    <n v="39"/>
    <n v="1916.48"/>
    <n v="574.94399999999996"/>
  </r>
  <r>
    <n v="42739"/>
    <x v="183"/>
    <n v="149"/>
    <n v="10"/>
    <s v="Electronics"/>
    <s v="Laptop"/>
    <n v="5"/>
    <n v="486.9"/>
    <s v="Credit Card"/>
    <s v="Jenniferville"/>
    <n v="5"/>
    <s v="M"/>
    <n v="43"/>
    <n v="2434.5"/>
    <n v="730.35"/>
  </r>
  <r>
    <n v="12945"/>
    <x v="184"/>
    <n v="798"/>
    <n v="50"/>
    <s v="Sports &amp; Outdoors"/>
    <s v="Soccer Ball"/>
    <n v="5"/>
    <n v="194.83"/>
    <s v="Bank Transfer"/>
    <s v="Lake Vincentview"/>
    <n v="2"/>
    <s v="M"/>
    <n v="42"/>
    <n v="974.15000000000009"/>
    <n v="292.245"/>
  </r>
  <r>
    <n v="93329"/>
    <x v="185"/>
    <n v="775"/>
    <n v="10"/>
    <s v="Electronics"/>
    <s v="Smartwatch"/>
    <n v="4"/>
    <n v="460.38"/>
    <s v="Credit Card"/>
    <s v="Johnhaven"/>
    <n v="1"/>
    <s v="F"/>
    <n v="44"/>
    <n v="1841.52"/>
    <n v="552.45600000000002"/>
  </r>
  <r>
    <n v="39413"/>
    <x v="185"/>
    <n v="362"/>
    <n v="20"/>
    <s v="Fashion"/>
    <s v="Pants"/>
    <n v="2"/>
    <n v="327.22000000000003"/>
    <s v="Cash on Delivery"/>
    <s v="Wesleytown"/>
    <n v="1"/>
    <s v="F"/>
    <n v="23"/>
    <n v="654.44000000000005"/>
    <n v="196.33200000000002"/>
  </r>
  <r>
    <n v="39267"/>
    <x v="186"/>
    <n v="399"/>
    <n v="10"/>
    <s v="Electronics"/>
    <s v="Smartwatch"/>
    <n v="3"/>
    <n v="153.15"/>
    <s v="Credit Card"/>
    <s v="North Danielburgh"/>
    <n v="5"/>
    <s v="F"/>
    <n v="74"/>
    <n v="459.45000000000005"/>
    <n v="137.83500000000001"/>
  </r>
  <r>
    <n v="50538"/>
    <x v="186"/>
    <n v="868"/>
    <n v="40"/>
    <s v="Books &amp; Stationery"/>
    <s v="Eraser"/>
    <n v="2"/>
    <n v="246.64"/>
    <s v="Cash on Delivery"/>
    <s v="North Ryanfort"/>
    <n v="5"/>
    <m/>
    <n v="33"/>
    <n v="493.28"/>
    <n v="147.98399999999998"/>
  </r>
  <r>
    <n v="11363"/>
    <x v="186"/>
    <n v="816"/>
    <n v="10"/>
    <s v="Electronics"/>
    <s v="Smartwatch"/>
    <n v="3"/>
    <n v="81.96"/>
    <s v="Credit Card"/>
    <s v="Pattersonfort"/>
    <n v="2"/>
    <s v="M"/>
    <n v="63"/>
    <n v="245.88"/>
    <n v="73.763999999999996"/>
  </r>
  <r>
    <n v="71713"/>
    <x v="187"/>
    <n v="819"/>
    <n v="30"/>
    <s v="Home &amp; Living"/>
    <s v="Carpet"/>
    <n v="3"/>
    <n v="467.51"/>
    <s v="Cash on Delivery"/>
    <s v="Floydchester"/>
    <n v="2"/>
    <s v="M"/>
    <n v="50"/>
    <n v="1402.53"/>
    <n v="420.75899999999996"/>
  </r>
  <r>
    <n v="99315"/>
    <x v="187"/>
    <n v="618"/>
    <n v="30"/>
    <s v="Home &amp; Living"/>
    <s v="Painting"/>
    <n v="3"/>
    <n v="413.52"/>
    <s v="Cash on Delivery"/>
    <s v="Michelleview"/>
    <n v="3"/>
    <m/>
    <n v="39"/>
    <n v="1240.56"/>
    <n v="372.16799999999995"/>
  </r>
  <r>
    <n v="87467"/>
    <x v="188"/>
    <n v="199"/>
    <n v="20"/>
    <s v="Fashion"/>
    <s v="Skirt"/>
    <n v="4"/>
    <n v="53.77"/>
    <s v="Credit Card"/>
    <s v="Judithbury"/>
    <m/>
    <s v="M"/>
    <n v="38"/>
    <n v="215.08"/>
    <n v="64.524000000000001"/>
  </r>
  <r>
    <n v="42912"/>
    <x v="188"/>
    <n v="811"/>
    <n v="40"/>
    <s v="Books &amp; Stationery"/>
    <s v="Novel"/>
    <n v="5"/>
    <n v="60.3"/>
    <s v="Bank Transfer"/>
    <s v="Joshuaborough"/>
    <m/>
    <s v="F"/>
    <n v="21"/>
    <n v="301.5"/>
    <n v="90.45"/>
  </r>
  <r>
    <n v="55540"/>
    <x v="189"/>
    <n v="424"/>
    <n v="10"/>
    <s v="Electronics"/>
    <s v="Tablet"/>
    <n v="4"/>
    <n v="225.09"/>
    <s v="Cash on Delivery"/>
    <s v="Villanuevaburgh"/>
    <n v="1"/>
    <s v="F"/>
    <n v="23"/>
    <n v="900.36"/>
    <n v="270.108"/>
  </r>
  <r>
    <n v="57116"/>
    <x v="189"/>
    <n v="319"/>
    <n v="20"/>
    <s v="Fashion"/>
    <s v="Pants"/>
    <n v="5"/>
    <n v="11.73"/>
    <s v="Bank Transfer"/>
    <s v="Catherinestad"/>
    <m/>
    <s v="F"/>
    <n v="60"/>
    <n v="58.650000000000006"/>
    <n v="17.595000000000002"/>
  </r>
  <r>
    <n v="37972"/>
    <x v="190"/>
    <n v="603"/>
    <n v="50"/>
    <s v="Sports &amp; Outdoors"/>
    <s v="Basketball"/>
    <n v="4"/>
    <n v="316.74"/>
    <s v="Bank Transfer"/>
    <s v="Colemouth"/>
    <n v="4"/>
    <s v="M"/>
    <n v="53"/>
    <n v="1266.96"/>
    <n v="380.08800000000002"/>
  </r>
  <r>
    <n v="74049"/>
    <x v="190"/>
    <n v="354"/>
    <n v="10"/>
    <s v="Electronics"/>
    <s v="Laptop"/>
    <n v="5"/>
    <n v="292.08999999999997"/>
    <s v="Bank Transfer"/>
    <s v="West Jonathon"/>
    <n v="3"/>
    <s v="F"/>
    <n v="46"/>
    <n v="1460.4499999999998"/>
    <n v="438.13499999999993"/>
  </r>
  <r>
    <n v="65579"/>
    <x v="190"/>
    <n v="533"/>
    <n v="10"/>
    <s v="Electronics"/>
    <s v="Smartwatch"/>
    <n v="1"/>
    <n v="142.29"/>
    <s v="Cash on Delivery"/>
    <s v="Cervantesland"/>
    <n v="5"/>
    <s v="M"/>
    <n v="63"/>
    <n v="142.29"/>
    <n v="42.686999999999998"/>
  </r>
  <r>
    <n v="26457"/>
    <x v="190"/>
    <n v="279"/>
    <n v="30"/>
    <s v="Home &amp; Living"/>
    <s v="Pillow"/>
    <n v="5"/>
    <n v="456.55"/>
    <s v="Bank Transfer"/>
    <s v="Hawkinschester"/>
    <n v="4"/>
    <s v="F"/>
    <n v="60"/>
    <n v="2282.75"/>
    <n v="684.82499999999993"/>
  </r>
  <r>
    <n v="75854"/>
    <x v="191"/>
    <n v="783"/>
    <n v="50"/>
    <s v="Sports &amp; Outdoors"/>
    <s v="Running Shoes"/>
    <n v="3"/>
    <n v="454.2"/>
    <s v="Cash on Delivery"/>
    <s v="Timothychester"/>
    <n v="3"/>
    <s v="M"/>
    <n v="19"/>
    <n v="1362.6"/>
    <n v="408.78"/>
  </r>
  <r>
    <n v="25229"/>
    <x v="192"/>
    <n v="644"/>
    <n v="30"/>
    <s v="Home &amp; Living"/>
    <s v="Blanket"/>
    <n v="2"/>
    <n v="157.56"/>
    <s v="Credit Card"/>
    <s v="Anthonybury"/>
    <n v="1"/>
    <s v="F"/>
    <n v="27"/>
    <n v="315.12"/>
    <n v="94.536000000000001"/>
  </r>
  <r>
    <n v="97829"/>
    <x v="192"/>
    <n v="640"/>
    <n v="30"/>
    <s v="Home &amp; Living"/>
    <s v="Pillow"/>
    <n v="5"/>
    <n v="143.03"/>
    <s v="Credit Card"/>
    <s v="Lake Alison"/>
    <n v="4"/>
    <s v="M"/>
    <n v="38"/>
    <n v="715.15"/>
    <n v="214.54499999999999"/>
  </r>
  <r>
    <n v="77150"/>
    <x v="193"/>
    <n v="371"/>
    <n v="30"/>
    <s v="Home &amp; Living"/>
    <s v="Blanket"/>
    <n v="4"/>
    <n v="476.07"/>
    <s v="Bank Transfer"/>
    <s v="Anthonyside"/>
    <n v="5"/>
    <s v="F"/>
    <n v="69"/>
    <n v="1904.28"/>
    <n v="571.28399999999999"/>
  </r>
  <r>
    <n v="38807"/>
    <x v="194"/>
    <n v="756"/>
    <n v="30"/>
    <s v="Home &amp; Living"/>
    <s v="Blanket"/>
    <n v="4"/>
    <n v="90.79"/>
    <s v="Bank Transfer"/>
    <s v="Curryhaven"/>
    <m/>
    <s v="M"/>
    <n v="63"/>
    <n v="363.16"/>
    <n v="108.94800000000001"/>
  </r>
  <r>
    <n v="35246"/>
    <x v="194"/>
    <n v="209"/>
    <n v="10"/>
    <s v="Electronics"/>
    <s v="Laptop"/>
    <n v="3"/>
    <n v="152.68"/>
    <s v="Bank Transfer"/>
    <s v="West Lisa"/>
    <n v="5"/>
    <s v="F"/>
    <n v="46"/>
    <n v="458.04"/>
    <n v="137.41200000000001"/>
  </r>
  <r>
    <n v="48366"/>
    <x v="195"/>
    <n v="292"/>
    <n v="10"/>
    <s v="Electronics"/>
    <s v="Smartwatch"/>
    <n v="3"/>
    <n v="327.3"/>
    <s v="Credit Card"/>
    <s v="Moraleshaven"/>
    <n v="5"/>
    <s v="F"/>
    <n v="48"/>
    <n v="981.90000000000009"/>
    <n v="294.57"/>
  </r>
  <r>
    <n v="89076"/>
    <x v="195"/>
    <n v="967"/>
    <n v="40"/>
    <s v="Books &amp; Stationery"/>
    <s v="Eraser"/>
    <n v="3"/>
    <n v="94.54"/>
    <s v="Cash on Delivery"/>
    <s v="Wendychester"/>
    <n v="5"/>
    <s v="M"/>
    <n v="69"/>
    <n v="283.62"/>
    <n v="85.085999999999999"/>
  </r>
  <r>
    <n v="95344"/>
    <x v="195"/>
    <n v="551"/>
    <n v="20"/>
    <s v="Fashion"/>
    <s v="Pants"/>
    <n v="3"/>
    <n v="360.32"/>
    <s v="Cash on Delivery"/>
    <s v="Wrightmouth"/>
    <n v="3"/>
    <s v="M"/>
    <n v="61"/>
    <n v="1080.96"/>
    <n v="324.28800000000001"/>
  </r>
  <r>
    <n v="70476"/>
    <x v="196"/>
    <n v="883"/>
    <n v="30"/>
    <s v="Home &amp; Living"/>
    <s v="Pillow"/>
    <n v="1"/>
    <n v="489.19"/>
    <s v="Cash on Delivery"/>
    <s v="West Amandamouth"/>
    <n v="3"/>
    <s v="M"/>
    <n v="32"/>
    <n v="489.19"/>
    <n v="146.75700000000001"/>
  </r>
  <r>
    <n v="32206"/>
    <x v="196"/>
    <n v="400"/>
    <n v="50"/>
    <s v="Sports &amp; Outdoors"/>
    <s v="Running Shoes"/>
    <n v="4"/>
    <n v="40.78"/>
    <s v="Bank Transfer"/>
    <s v="North Juliaborough"/>
    <n v="4"/>
    <s v="M"/>
    <n v="28"/>
    <n v="163.12"/>
    <n v="48.936"/>
  </r>
  <r>
    <n v="74278"/>
    <x v="196"/>
    <n v="225"/>
    <n v="50"/>
    <s v="Sports &amp; Outdoors"/>
    <s v="Tent"/>
    <n v="1"/>
    <n v="304"/>
    <s v="Cash on Delivery"/>
    <s v="Harrytown"/>
    <n v="2"/>
    <m/>
    <n v="24"/>
    <n v="304"/>
    <n v="91.2"/>
  </r>
  <r>
    <n v="92929"/>
    <x v="196"/>
    <n v="716"/>
    <n v="40"/>
    <s v="Books &amp; Stationery"/>
    <s v="Story Book"/>
    <n v="2"/>
    <n v="55.07"/>
    <s v="Bank Transfer"/>
    <s v="Rogersfurt"/>
    <m/>
    <m/>
    <n v="44"/>
    <n v="110.14"/>
    <n v="33.042000000000002"/>
  </r>
  <r>
    <n v="74233"/>
    <x v="196"/>
    <n v="750"/>
    <n v="50"/>
    <s v="Sports &amp; Outdoors"/>
    <s v="Basketball"/>
    <n v="2"/>
    <n v="103.2"/>
    <s v="Bank Transfer"/>
    <s v="New Miranda"/>
    <n v="5"/>
    <s v="F"/>
    <n v="60"/>
    <n v="206.4"/>
    <n v="61.92"/>
  </r>
  <r>
    <n v="46001"/>
    <x v="197"/>
    <n v="661"/>
    <n v="50"/>
    <s v="Sports &amp; Outdoors"/>
    <s v="Running Shoes"/>
    <n v="1"/>
    <n v="297.8"/>
    <s v="Cash on Delivery"/>
    <s v="Hayesshire"/>
    <m/>
    <s v="M"/>
    <n v="40"/>
    <n v="297.8"/>
    <n v="89.34"/>
  </r>
  <r>
    <n v="10201"/>
    <x v="197"/>
    <n v="455"/>
    <n v="10"/>
    <s v="Electronics"/>
    <s v="Smartphone"/>
    <n v="4"/>
    <n v="156.21"/>
    <s v="Cash on Delivery"/>
    <s v="Leeborough"/>
    <m/>
    <m/>
    <n v="23"/>
    <n v="624.84"/>
    <n v="187.452"/>
  </r>
  <r>
    <n v="62444"/>
    <x v="197"/>
    <n v="222"/>
    <n v="10"/>
    <s v="Electronics"/>
    <s v="Headphones"/>
    <n v="3"/>
    <n v="352.35"/>
    <s v="Cash on Delivery"/>
    <s v="South Carriefurt"/>
    <n v="5"/>
    <s v="M"/>
    <n v="70"/>
    <n v="1057.0500000000002"/>
    <n v="317.11500000000007"/>
  </r>
  <r>
    <n v="45241"/>
    <x v="197"/>
    <n v="448"/>
    <n v="40"/>
    <s v="Books &amp; Stationery"/>
    <s v="Eraser"/>
    <n v="5"/>
    <n v="141.47"/>
    <s v="Cash on Delivery"/>
    <s v="Port Stacey"/>
    <m/>
    <s v="F"/>
    <n v="29"/>
    <n v="707.35"/>
    <n v="212.20500000000001"/>
  </r>
  <r>
    <n v="59266"/>
    <x v="197"/>
    <n v="405"/>
    <n v="10"/>
    <s v="Electronics"/>
    <s v="Laptop"/>
    <n v="2"/>
    <n v="486.1"/>
    <s v="Cash on Delivery"/>
    <s v="North Michaelborough"/>
    <n v="4"/>
    <s v="F"/>
    <n v="63"/>
    <n v="972.2"/>
    <n v="291.66000000000003"/>
  </r>
  <r>
    <n v="50842"/>
    <x v="197"/>
    <n v="300"/>
    <n v="50"/>
    <s v="Sports &amp; Outdoors"/>
    <s v="Running Shoes"/>
    <n v="3"/>
    <n v="266.5"/>
    <s v="Cash on Delivery"/>
    <s v="South Stephenport"/>
    <n v="4"/>
    <m/>
    <n v="58"/>
    <n v="799.5"/>
    <n v="239.85"/>
  </r>
  <r>
    <n v="92632"/>
    <x v="198"/>
    <n v="712"/>
    <n v="50"/>
    <s v="Sports &amp; Outdoors"/>
    <s v="Soccer Ball"/>
    <n v="3"/>
    <n v="218.49"/>
    <s v="Bank Transfer"/>
    <s v="North Jason"/>
    <n v="4"/>
    <s v="M"/>
    <n v="26"/>
    <n v="655.47"/>
    <n v="196.64099999999999"/>
  </r>
  <r>
    <n v="45508"/>
    <x v="198"/>
    <n v="300"/>
    <n v="50"/>
    <s v="Sports &amp; Outdoors"/>
    <s v="Soccer Ball"/>
    <n v="3"/>
    <n v="452.9"/>
    <s v="Bank Transfer"/>
    <s v="Tonyamouth"/>
    <n v="5"/>
    <s v="F"/>
    <n v="53"/>
    <n v="1358.6999999999998"/>
    <n v="407.60999999999996"/>
  </r>
  <r>
    <n v="24025"/>
    <x v="199"/>
    <n v="761"/>
    <n v="10"/>
    <s v="Electronics"/>
    <s v="Laptop"/>
    <n v="5"/>
    <n v="62.46"/>
    <s v="Credit Card"/>
    <s v="Brooksmouth"/>
    <m/>
    <s v="F"/>
    <n v="54"/>
    <n v="312.3"/>
    <n v="93.69"/>
  </r>
  <r>
    <n v="36922"/>
    <x v="200"/>
    <n v="226"/>
    <n v="20"/>
    <s v="Fashion"/>
    <s v="Dress"/>
    <n v="1"/>
    <n v="254.46"/>
    <s v="Cash on Delivery"/>
    <s v="Lake Brittanyberg"/>
    <n v="4"/>
    <s v="M"/>
    <n v="75"/>
    <n v="254.46"/>
    <n v="76.337999999999994"/>
  </r>
  <r>
    <n v="79537"/>
    <x v="201"/>
    <n v="858"/>
    <n v="40"/>
    <s v="Books &amp; Stationery"/>
    <s v="Story Book"/>
    <n v="5"/>
    <n v="374.39"/>
    <s v="Bank Transfer"/>
    <s v="Anthonyborough"/>
    <n v="4"/>
    <s v="F"/>
    <n v="30"/>
    <n v="1871.9499999999998"/>
    <n v="561.58499999999992"/>
  </r>
  <r>
    <n v="79379"/>
    <x v="201"/>
    <n v="411"/>
    <n v="30"/>
    <s v="Home &amp; Living"/>
    <s v="Carpet"/>
    <n v="5"/>
    <n v="245.38"/>
    <s v="Cash on Delivery"/>
    <s v="East William"/>
    <n v="5"/>
    <s v="F"/>
    <n v="54"/>
    <n v="1226.9000000000001"/>
    <n v="368.07"/>
  </r>
  <r>
    <n v="50142"/>
    <x v="201"/>
    <n v="347"/>
    <n v="20"/>
    <s v="Fashion"/>
    <s v="Dress"/>
    <n v="2"/>
    <n v="150.51"/>
    <s v="Cash on Delivery"/>
    <s v="Port Kellyport"/>
    <m/>
    <m/>
    <n v="18"/>
    <n v="301.02"/>
    <n v="90.305999999999997"/>
  </r>
  <r>
    <n v="21473"/>
    <x v="202"/>
    <n v="369"/>
    <n v="20"/>
    <s v="Fashion"/>
    <s v="Pants"/>
    <n v="2"/>
    <n v="343.37"/>
    <s v="Cash on Delivery"/>
    <s v="Aprilton"/>
    <n v="5"/>
    <s v="M"/>
    <n v="56"/>
    <n v="686.74"/>
    <n v="206.02199999999999"/>
  </r>
  <r>
    <n v="57449"/>
    <x v="203"/>
    <n v="247"/>
    <n v="10"/>
    <s v="Electronics"/>
    <s v="Smartphone"/>
    <n v="5"/>
    <n v="37.520000000000003"/>
    <s v="Cash on Delivery"/>
    <s v="Luketon"/>
    <n v="1"/>
    <s v="F"/>
    <n v="32"/>
    <n v="187.60000000000002"/>
    <n v="56.280000000000008"/>
  </r>
  <r>
    <n v="50447"/>
    <x v="204"/>
    <n v="910"/>
    <n v="40"/>
    <s v="Books &amp; Stationery"/>
    <s v="Notebook"/>
    <n v="3"/>
    <n v="167.32"/>
    <s v="Credit Card"/>
    <s v="Kathyton"/>
    <n v="5"/>
    <s v="M"/>
    <n v="22"/>
    <n v="501.96"/>
    <n v="150.58799999999999"/>
  </r>
  <r>
    <n v="17277"/>
    <x v="204"/>
    <n v="157"/>
    <n v="20"/>
    <s v="Fashion"/>
    <s v="Skirt"/>
    <n v="4"/>
    <n v="22.26"/>
    <s v="Cash on Delivery"/>
    <s v="Lake Michaelhaven"/>
    <n v="3"/>
    <s v="F"/>
    <n v="70"/>
    <n v="89.04"/>
    <n v="26.712"/>
  </r>
  <r>
    <n v="80473"/>
    <x v="204"/>
    <n v="317"/>
    <n v="30"/>
    <s v="Home &amp; Living"/>
    <s v="Pillow"/>
    <n v="2"/>
    <n v="97.45"/>
    <s v="Cash on Delivery"/>
    <s v="Lake Brittanyburgh"/>
    <n v="3"/>
    <s v="M"/>
    <n v="44"/>
    <n v="194.9"/>
    <n v="58.47"/>
  </r>
  <r>
    <n v="96551"/>
    <x v="204"/>
    <n v="526"/>
    <n v="30"/>
    <s v="Home &amp; Living"/>
    <s v="Painting"/>
    <n v="2"/>
    <n v="19.72"/>
    <s v="Credit Card"/>
    <s v="Elliottmouth"/>
    <n v="3"/>
    <s v="F"/>
    <n v="25"/>
    <n v="39.44"/>
    <n v="11.831999999999999"/>
  </r>
  <r>
    <n v="19510"/>
    <x v="204"/>
    <n v="648"/>
    <n v="20"/>
    <s v="Fashion"/>
    <s v="Dress"/>
    <n v="4"/>
    <n v="296.5"/>
    <s v="Bank Transfer"/>
    <s v="Jaychester"/>
    <n v="5"/>
    <s v="M"/>
    <n v="25"/>
    <n v="1186"/>
    <n v="355.8"/>
  </r>
  <r>
    <n v="20938"/>
    <x v="205"/>
    <n v="478"/>
    <n v="40"/>
    <s v="Books &amp; Stationery"/>
    <s v="Notebook"/>
    <n v="1"/>
    <n v="84.68"/>
    <s v="Bank Transfer"/>
    <s v="Jordanmouth"/>
    <n v="1"/>
    <s v="F"/>
    <n v="40"/>
    <n v="84.68"/>
    <n v="25.404"/>
  </r>
  <r>
    <n v="45637"/>
    <x v="205"/>
    <n v="961"/>
    <n v="30"/>
    <s v="Home &amp; Living"/>
    <s v="Painting"/>
    <n v="3"/>
    <n v="228.55"/>
    <s v="Credit Card"/>
    <s v="East Whitney"/>
    <m/>
    <s v="F"/>
    <n v="62"/>
    <n v="685.65000000000009"/>
    <n v="205.69500000000002"/>
  </r>
  <r>
    <n v="98997"/>
    <x v="205"/>
    <n v="703"/>
    <n v="50"/>
    <s v="Sports &amp; Outdoors"/>
    <s v="Yoga Mat"/>
    <n v="3"/>
    <n v="407.83"/>
    <s v="Cash on Delivery"/>
    <s v="Port Joseph"/>
    <n v="2"/>
    <s v="M"/>
    <n v="59"/>
    <n v="1223.49"/>
    <n v="367.04699999999997"/>
  </r>
  <r>
    <n v="16430"/>
    <x v="206"/>
    <n v="522"/>
    <n v="20"/>
    <s v="Fashion"/>
    <s v="Dress"/>
    <n v="2"/>
    <n v="204.96"/>
    <s v="Bank Transfer"/>
    <s v="Rodriguezport"/>
    <n v="5"/>
    <s v="F"/>
    <n v="57"/>
    <n v="409.92"/>
    <n v="122.976"/>
  </r>
  <r>
    <n v="78972"/>
    <x v="207"/>
    <n v="112"/>
    <n v="10"/>
    <s v="Electronics"/>
    <s v="Tablet"/>
    <n v="4"/>
    <n v="288.22000000000003"/>
    <s v="Credit Card"/>
    <s v="Robinsonstad"/>
    <n v="5"/>
    <m/>
    <n v="60"/>
    <n v="1152.8800000000001"/>
    <n v="345.86400000000003"/>
  </r>
  <r>
    <n v="15505"/>
    <x v="208"/>
    <n v="465"/>
    <n v="50"/>
    <s v="Sports &amp; Outdoors"/>
    <s v="Yoga Mat"/>
    <n v="2"/>
    <n v="350.15"/>
    <s v="Bank Transfer"/>
    <s v="Jamiefort"/>
    <n v="4"/>
    <s v="F"/>
    <n v="19"/>
    <n v="700.3"/>
    <n v="210.08999999999997"/>
  </r>
  <r>
    <n v="40540"/>
    <x v="208"/>
    <n v="509"/>
    <n v="10"/>
    <s v="Electronics"/>
    <s v="Headphones"/>
    <n v="3"/>
    <n v="492.35"/>
    <s v="Credit Card"/>
    <s v="North Jimmyborough"/>
    <n v="5"/>
    <s v="M"/>
    <n v="72"/>
    <n v="1477.0500000000002"/>
    <n v="443.11500000000007"/>
  </r>
  <r>
    <n v="44293"/>
    <x v="209"/>
    <n v="212"/>
    <n v="20"/>
    <s v="Fashion"/>
    <s v="Skirt"/>
    <n v="4"/>
    <n v="337.11"/>
    <s v="Cash on Delivery"/>
    <s v="West Sandrachester"/>
    <n v="4"/>
    <m/>
    <n v="72"/>
    <n v="1348.44"/>
    <n v="404.53199999999998"/>
  </r>
  <r>
    <n v="99015"/>
    <x v="209"/>
    <n v="420"/>
    <n v="10"/>
    <s v="Electronics"/>
    <s v="Smartphone"/>
    <n v="5"/>
    <n v="269.41000000000003"/>
    <s v="Bank Transfer"/>
    <s v="Lake Paulastad"/>
    <n v="4"/>
    <s v="M"/>
    <n v="66"/>
    <n v="1347.0500000000002"/>
    <n v="404.11500000000007"/>
  </r>
  <r>
    <n v="50145"/>
    <x v="209"/>
    <n v="554"/>
    <n v="10"/>
    <s v="Electronics"/>
    <s v="Tablet"/>
    <n v="3"/>
    <n v="321.07"/>
    <s v="Cash on Delivery"/>
    <s v="Paulton"/>
    <n v="3"/>
    <s v="M"/>
    <n v="34"/>
    <n v="963.21"/>
    <n v="288.96300000000002"/>
  </r>
  <r>
    <n v="88797"/>
    <x v="209"/>
    <n v="244"/>
    <n v="30"/>
    <s v="Home &amp; Living"/>
    <s v="Pillow"/>
    <n v="3"/>
    <n v="216.9"/>
    <s v="Credit Card"/>
    <s v="Robertmouth"/>
    <n v="4"/>
    <s v="F"/>
    <n v="43"/>
    <n v="650.70000000000005"/>
    <n v="195.21"/>
  </r>
  <r>
    <n v="19845"/>
    <x v="209"/>
    <n v="798"/>
    <n v="30"/>
    <s v="Home &amp; Living"/>
    <s v="Painting"/>
    <n v="2"/>
    <n v="367.78"/>
    <s v="Bank Transfer"/>
    <s v="New Michaeltown"/>
    <n v="2"/>
    <s v="M"/>
    <n v="45"/>
    <n v="735.56"/>
    <n v="220.66799999999998"/>
  </r>
  <r>
    <n v="52052"/>
    <x v="210"/>
    <n v="247"/>
    <n v="40"/>
    <s v="Books &amp; Stationery"/>
    <s v="Novel"/>
    <n v="3"/>
    <n v="343.78"/>
    <s v="Credit Card"/>
    <s v="North Benjaminton"/>
    <m/>
    <s v="F"/>
    <n v="20"/>
    <n v="1031.3399999999999"/>
    <n v="309.40199999999999"/>
  </r>
  <r>
    <n v="49782"/>
    <x v="210"/>
    <n v="911"/>
    <n v="10"/>
    <s v="Electronics"/>
    <s v="Smartphone"/>
    <n v="3"/>
    <n v="427.48"/>
    <s v="Cash on Delivery"/>
    <s v="Lake Brianbury"/>
    <n v="5"/>
    <s v="M"/>
    <n v="63"/>
    <n v="1282.44"/>
    <n v="384.73200000000003"/>
  </r>
  <r>
    <n v="65208"/>
    <x v="211"/>
    <n v="204"/>
    <n v="40"/>
    <s v="Books &amp; Stationery"/>
    <s v="Story Book"/>
    <n v="2"/>
    <n v="230.11"/>
    <s v="Bank Transfer"/>
    <s v="Hernandezburgh"/>
    <n v="5"/>
    <s v="M"/>
    <n v="34"/>
    <n v="460.22"/>
    <n v="138.066"/>
  </r>
  <r>
    <n v="41736"/>
    <x v="211"/>
    <n v="457"/>
    <n v="10"/>
    <s v="Electronics"/>
    <s v="Tablet"/>
    <n v="4"/>
    <n v="196.99"/>
    <s v="Bank Transfer"/>
    <s v="North Anthony"/>
    <n v="4"/>
    <m/>
    <n v="72"/>
    <n v="787.96"/>
    <n v="236.38800000000001"/>
  </r>
  <r>
    <n v="59644"/>
    <x v="211"/>
    <n v="139"/>
    <n v="40"/>
    <s v="Books &amp; Stationery"/>
    <s v="Story Book"/>
    <n v="5"/>
    <n v="108.39"/>
    <s v="Cash on Delivery"/>
    <s v="Cynthiaburgh"/>
    <n v="5"/>
    <s v="M"/>
    <n v="61"/>
    <n v="541.95000000000005"/>
    <n v="162.58500000000001"/>
  </r>
  <r>
    <n v="38565"/>
    <x v="211"/>
    <n v="884"/>
    <n v="10"/>
    <s v="Electronics"/>
    <s v="Tablet"/>
    <n v="5"/>
    <n v="455.43"/>
    <s v="Cash on Delivery"/>
    <s v="Nicoletown"/>
    <n v="5"/>
    <s v="M"/>
    <n v="50"/>
    <n v="2277.15"/>
    <n v="683.14499999999998"/>
  </r>
  <r>
    <n v="34709"/>
    <x v="211"/>
    <n v="636"/>
    <n v="20"/>
    <s v="Fashion"/>
    <s v="T-shirt"/>
    <n v="2"/>
    <n v="115.08"/>
    <s v="Bank Transfer"/>
    <s v="West Nicholas"/>
    <n v="5"/>
    <s v="F"/>
    <n v="19"/>
    <n v="230.16"/>
    <n v="69.048000000000002"/>
  </r>
  <r>
    <n v="64016"/>
    <x v="212"/>
    <n v="970"/>
    <n v="30"/>
    <s v="Home &amp; Living"/>
    <s v="Carpet"/>
    <n v="1"/>
    <n v="189.89"/>
    <s v="Credit Card"/>
    <s v="Rodgershaven"/>
    <n v="5"/>
    <s v="F"/>
    <n v="61"/>
    <n v="189.89"/>
    <n v="56.966999999999992"/>
  </r>
  <r>
    <n v="16285"/>
    <x v="213"/>
    <n v="579"/>
    <n v="50"/>
    <s v="Sports &amp; Outdoors"/>
    <s v="Soccer Ball"/>
    <n v="4"/>
    <n v="145.86000000000001"/>
    <s v="Credit Card"/>
    <s v="Savannahmouth"/>
    <n v="5"/>
    <s v="F"/>
    <n v="59"/>
    <n v="583.44000000000005"/>
    <n v="175.03200000000001"/>
  </r>
  <r>
    <n v="23672"/>
    <x v="213"/>
    <n v="158"/>
    <n v="20"/>
    <s v="Fashion"/>
    <s v="Shirt"/>
    <n v="2"/>
    <n v="91.76"/>
    <s v="Bank Transfer"/>
    <s v="Aprilshire"/>
    <m/>
    <s v="M"/>
    <n v="49"/>
    <n v="183.52"/>
    <n v="55.056000000000004"/>
  </r>
  <r>
    <n v="64799"/>
    <x v="213"/>
    <n v="950"/>
    <n v="50"/>
    <s v="Sports &amp; Outdoors"/>
    <s v="Yoga Mat"/>
    <n v="4"/>
    <n v="346.44"/>
    <s v="Cash on Delivery"/>
    <s v="East Christopher"/>
    <m/>
    <s v="F"/>
    <n v="71"/>
    <n v="1385.76"/>
    <n v="415.72800000000001"/>
  </r>
  <r>
    <n v="76563"/>
    <x v="214"/>
    <n v="108"/>
    <n v="50"/>
    <s v="Sports &amp; Outdoors"/>
    <s v="Soccer Ball"/>
    <n v="2"/>
    <n v="283.81"/>
    <s v="Cash on Delivery"/>
    <s v="Moniquemouth"/>
    <n v="5"/>
    <s v="F"/>
    <n v="59"/>
    <n v="567.62"/>
    <n v="170.286"/>
  </r>
  <r>
    <n v="20770"/>
    <x v="215"/>
    <n v="941"/>
    <n v="10"/>
    <s v="Electronics"/>
    <s v="Smartphone"/>
    <n v="2"/>
    <n v="391.43"/>
    <s v="Credit Card"/>
    <s v="Moranland"/>
    <m/>
    <m/>
    <n v="44"/>
    <n v="782.86"/>
    <n v="234.858"/>
  </r>
  <r>
    <n v="23008"/>
    <x v="215"/>
    <n v="248"/>
    <n v="20"/>
    <s v="Fashion"/>
    <s v="Dress"/>
    <n v="5"/>
    <n v="194.27"/>
    <s v="Bank Transfer"/>
    <s v="Richardshire"/>
    <n v="3"/>
    <m/>
    <n v="53"/>
    <n v="971.35"/>
    <n v="291.40499999999997"/>
  </r>
  <r>
    <n v="14487"/>
    <x v="215"/>
    <n v="923"/>
    <n v="10"/>
    <s v="Electronics"/>
    <s v="Laptop"/>
    <n v="5"/>
    <n v="60.82"/>
    <s v="Cash on Delivery"/>
    <s v="South Melinda"/>
    <n v="4"/>
    <s v="F"/>
    <n v="56"/>
    <n v="304.10000000000002"/>
    <n v="91.23"/>
  </r>
  <r>
    <n v="61595"/>
    <x v="215"/>
    <n v="586"/>
    <n v="40"/>
    <s v="Books &amp; Stationery"/>
    <s v="Notebook"/>
    <n v="2"/>
    <n v="395.01"/>
    <s v="Bank Transfer"/>
    <s v="West Masonton"/>
    <n v="5"/>
    <s v="F"/>
    <n v="32"/>
    <n v="790.02"/>
    <n v="237.00599999999997"/>
  </r>
  <r>
    <n v="84575"/>
    <x v="216"/>
    <n v="922"/>
    <n v="30"/>
    <s v="Home &amp; Living"/>
    <s v="Painting"/>
    <n v="4"/>
    <n v="157.94999999999999"/>
    <s v="Cash on Delivery"/>
    <s v="Perezmouth"/>
    <n v="4"/>
    <s v="M"/>
    <n v="68"/>
    <n v="631.79999999999995"/>
    <n v="189.54"/>
  </r>
  <r>
    <n v="62764"/>
    <x v="217"/>
    <n v="901"/>
    <n v="40"/>
    <s v="Books &amp; Stationery"/>
    <s v="Story Book"/>
    <n v="4"/>
    <n v="36.71"/>
    <s v="Credit Card"/>
    <s v="Paulabury"/>
    <n v="4"/>
    <s v="M"/>
    <n v="23"/>
    <n v="146.84"/>
    <n v="44.052"/>
  </r>
  <r>
    <n v="62323"/>
    <x v="218"/>
    <n v="308"/>
    <n v="30"/>
    <s v="Home &amp; Living"/>
    <s v="Blanket"/>
    <n v="5"/>
    <n v="228.43"/>
    <s v="Bank Transfer"/>
    <s v="New Terrancetown"/>
    <n v="4"/>
    <s v="M"/>
    <n v="26"/>
    <n v="1142.1500000000001"/>
    <n v="342.64500000000004"/>
  </r>
  <r>
    <n v="96190"/>
    <x v="218"/>
    <n v="415"/>
    <n v="50"/>
    <s v="Sports &amp; Outdoors"/>
    <s v="Yoga Mat"/>
    <n v="5"/>
    <n v="365.81"/>
    <s v="Cash on Delivery"/>
    <s v="Patriciaville"/>
    <n v="5"/>
    <s v="M"/>
    <n v="18"/>
    <n v="1829.05"/>
    <n v="548.71499999999992"/>
  </r>
  <r>
    <n v="50937"/>
    <x v="219"/>
    <n v="101"/>
    <n v="30"/>
    <s v="Home &amp; Living"/>
    <s v="Painting"/>
    <n v="1"/>
    <n v="92.22"/>
    <s v="Cash on Delivery"/>
    <s v="Stevensonside"/>
    <n v="5"/>
    <s v="F"/>
    <n v="46"/>
    <n v="92.22"/>
    <n v="27.666"/>
  </r>
  <r>
    <n v="24054"/>
    <x v="219"/>
    <n v="953"/>
    <n v="50"/>
    <s v="Sports &amp; Outdoors"/>
    <s v="Basketball"/>
    <n v="3"/>
    <n v="220.73"/>
    <s v="Credit Card"/>
    <s v="Lake Michaelfort"/>
    <n v="4"/>
    <s v="F"/>
    <n v="26"/>
    <n v="662.18999999999994"/>
    <n v="198.65699999999998"/>
  </r>
  <r>
    <n v="48855"/>
    <x v="219"/>
    <n v="809"/>
    <n v="40"/>
    <s v="Books &amp; Stationery"/>
    <s v="Eraser"/>
    <n v="1"/>
    <n v="447.49"/>
    <s v="Bank Transfer"/>
    <s v="Watkinsburgh"/>
    <m/>
    <s v="F"/>
    <n v="47"/>
    <n v="447.49"/>
    <n v="134.24699999999999"/>
  </r>
  <r>
    <n v="94532"/>
    <x v="220"/>
    <n v="335"/>
    <n v="50"/>
    <s v="Sports &amp; Outdoors"/>
    <s v="Running Shoes"/>
    <n v="4"/>
    <n v="85.58"/>
    <s v="Credit Card"/>
    <s v="Port Lisa"/>
    <n v="5"/>
    <s v="F"/>
    <n v="41"/>
    <n v="342.32"/>
    <n v="102.696"/>
  </r>
  <r>
    <n v="66122"/>
    <x v="220"/>
    <n v="280"/>
    <n v="50"/>
    <s v="Sports &amp; Outdoors"/>
    <s v="Yoga Mat"/>
    <n v="1"/>
    <n v="401.05"/>
    <s v="Cash on Delivery"/>
    <s v="Ryanberg"/>
    <m/>
    <s v="M"/>
    <n v="46"/>
    <n v="401.05"/>
    <n v="120.315"/>
  </r>
  <r>
    <n v="80018"/>
    <x v="220"/>
    <n v="257"/>
    <n v="30"/>
    <s v="Home &amp; Living"/>
    <s v="Carpet"/>
    <n v="4"/>
    <n v="265.26"/>
    <s v="Bank Transfer"/>
    <s v="Susanchester"/>
    <n v="4"/>
    <s v="M"/>
    <n v="65"/>
    <n v="1061.04"/>
    <n v="318.31199999999995"/>
  </r>
  <r>
    <n v="92290"/>
    <x v="220"/>
    <n v="445"/>
    <n v="10"/>
    <s v="Electronics"/>
    <s v="Smartphone"/>
    <n v="5"/>
    <n v="354.64"/>
    <s v="Bank Transfer"/>
    <s v="New Amberville"/>
    <m/>
    <s v="M"/>
    <n v="49"/>
    <n v="1773.1999999999998"/>
    <n v="531.95999999999992"/>
  </r>
  <r>
    <n v="20658"/>
    <x v="220"/>
    <n v="177"/>
    <n v="40"/>
    <s v="Books &amp; Stationery"/>
    <s v="Pen"/>
    <n v="3"/>
    <n v="196.97"/>
    <s v="Cash on Delivery"/>
    <s v="North Kelsey"/>
    <n v="1"/>
    <s v="M"/>
    <n v="34"/>
    <n v="590.91"/>
    <n v="177.273"/>
  </r>
  <r>
    <n v="20522"/>
    <x v="221"/>
    <n v="380"/>
    <n v="30"/>
    <s v="Home &amp; Living"/>
    <s v="Pillow"/>
    <n v="2"/>
    <n v="302.49"/>
    <s v="Bank Transfer"/>
    <s v="Toddmouth"/>
    <n v="5"/>
    <s v="F"/>
    <n v="31"/>
    <n v="604.98"/>
    <n v="181.494"/>
  </r>
  <r>
    <n v="32037"/>
    <x v="221"/>
    <n v="897"/>
    <n v="10"/>
    <s v="Electronics"/>
    <s v="Tablet"/>
    <n v="5"/>
    <n v="25.55"/>
    <s v="Bank Transfer"/>
    <s v="South Holly"/>
    <m/>
    <s v="M"/>
    <n v="42"/>
    <n v="127.75"/>
    <n v="38.324999999999996"/>
  </r>
  <r>
    <n v="76799"/>
    <x v="222"/>
    <n v="691"/>
    <n v="20"/>
    <s v="Fashion"/>
    <s v="Dress"/>
    <n v="3"/>
    <n v="137.88999999999999"/>
    <s v="Bank Transfer"/>
    <s v="Freemanport"/>
    <n v="5"/>
    <s v="M"/>
    <n v="39"/>
    <n v="413.66999999999996"/>
    <n v="124.10099999999998"/>
  </r>
  <r>
    <n v="91430"/>
    <x v="222"/>
    <n v="417"/>
    <n v="40"/>
    <s v="Books &amp; Stationery"/>
    <s v="Pen"/>
    <n v="5"/>
    <n v="327.93"/>
    <s v="Credit Card"/>
    <s v="Tinaport"/>
    <m/>
    <s v="F"/>
    <n v="36"/>
    <n v="1639.65"/>
    <n v="491.89499999999998"/>
  </r>
  <r>
    <n v="27736"/>
    <x v="222"/>
    <n v="106"/>
    <n v="20"/>
    <s v="Fashion"/>
    <s v="Skirt"/>
    <n v="1"/>
    <n v="497.89"/>
    <s v="Credit Card"/>
    <s v="South Jonathan"/>
    <n v="5"/>
    <s v="F"/>
    <n v="58"/>
    <n v="497.89"/>
    <n v="149.36699999999999"/>
  </r>
  <r>
    <n v="55131"/>
    <x v="222"/>
    <n v="866"/>
    <n v="40"/>
    <s v="Books &amp; Stationery"/>
    <s v="Story Book"/>
    <n v="2"/>
    <n v="148.31"/>
    <s v="Bank Transfer"/>
    <s v="South Douglasland"/>
    <n v="5"/>
    <s v="M"/>
    <n v="67"/>
    <n v="296.62"/>
    <n v="88.986000000000004"/>
  </r>
  <r>
    <n v="42115"/>
    <x v="223"/>
    <n v="135"/>
    <n v="20"/>
    <s v="Fashion"/>
    <s v="T-shirt"/>
    <n v="4"/>
    <n v="39.22"/>
    <s v="Bank Transfer"/>
    <s v="North Johnland"/>
    <n v="4"/>
    <s v="F"/>
    <n v="55"/>
    <n v="156.88"/>
    <n v="47.064"/>
  </r>
  <r>
    <n v="68792"/>
    <x v="223"/>
    <n v="209"/>
    <n v="50"/>
    <s v="Sports &amp; Outdoors"/>
    <s v="Yoga Mat"/>
    <n v="1"/>
    <n v="119.39"/>
    <s v="Cash on Delivery"/>
    <s v="Kevinville"/>
    <n v="5"/>
    <s v="M"/>
    <n v="38"/>
    <n v="119.39"/>
    <n v="35.817"/>
  </r>
  <r>
    <n v="88142"/>
    <x v="223"/>
    <n v="992"/>
    <n v="10"/>
    <s v="Electronics"/>
    <s v="Headphones"/>
    <n v="3"/>
    <n v="228.85"/>
    <s v="Bank Transfer"/>
    <s v="Carlville"/>
    <n v="1"/>
    <s v="F"/>
    <n v="50"/>
    <n v="686.55"/>
    <n v="205.96499999999997"/>
  </r>
  <r>
    <n v="36278"/>
    <x v="223"/>
    <n v="246"/>
    <n v="50"/>
    <s v="Sports &amp; Outdoors"/>
    <s v="Running Shoes"/>
    <n v="2"/>
    <n v="65.13"/>
    <s v="Credit Card"/>
    <s v="Reginachester"/>
    <m/>
    <s v="F"/>
    <n v="75"/>
    <n v="130.26"/>
    <n v="39.077999999999996"/>
  </r>
  <r>
    <n v="89064"/>
    <x v="224"/>
    <n v="533"/>
    <n v="50"/>
    <s v="Sports &amp; Outdoors"/>
    <s v="Yoga Mat"/>
    <n v="3"/>
    <n v="28.75"/>
    <s v="Cash on Delivery"/>
    <s v="Lake Teresafurt"/>
    <n v="4"/>
    <s v="F"/>
    <n v="74"/>
    <n v="86.25"/>
    <n v="25.875"/>
  </r>
  <r>
    <n v="38245"/>
    <x v="225"/>
    <n v="615"/>
    <n v="50"/>
    <s v="Sports &amp; Outdoors"/>
    <s v="Soccer Ball"/>
    <n v="4"/>
    <n v="340.85"/>
    <s v="Credit Card"/>
    <s v="Franklinmouth"/>
    <n v="4"/>
    <m/>
    <n v="36"/>
    <n v="1363.4"/>
    <n v="409.02000000000004"/>
  </r>
  <r>
    <n v="32978"/>
    <x v="225"/>
    <n v="667"/>
    <n v="30"/>
    <s v="Home &amp; Living"/>
    <s v="Vase"/>
    <n v="4"/>
    <n v="478.17"/>
    <s v="Cash on Delivery"/>
    <s v="South Elizabeth"/>
    <n v="4"/>
    <s v="F"/>
    <n v="25"/>
    <n v="1912.68"/>
    <n v="573.80399999999997"/>
  </r>
  <r>
    <n v="52435"/>
    <x v="225"/>
    <n v="529"/>
    <n v="10"/>
    <s v="Electronics"/>
    <s v="Smartphone"/>
    <n v="5"/>
    <n v="340.31"/>
    <s v="Bank Transfer"/>
    <s v="West Kendrafort"/>
    <n v="4"/>
    <s v="M"/>
    <n v="18"/>
    <n v="1701.55"/>
    <n v="510.46499999999997"/>
  </r>
  <r>
    <n v="47231"/>
    <x v="226"/>
    <n v="802"/>
    <n v="50"/>
    <s v="Sports &amp; Outdoors"/>
    <s v="Tent"/>
    <n v="2"/>
    <n v="128.55000000000001"/>
    <s v="Credit Card"/>
    <s v="Port Elizabeth"/>
    <n v="2"/>
    <s v="M"/>
    <n v="23"/>
    <n v="257.10000000000002"/>
    <n v="77.13000000000001"/>
  </r>
  <r>
    <n v="88802"/>
    <x v="226"/>
    <n v="452"/>
    <n v="20"/>
    <s v="Fashion"/>
    <s v="Pants"/>
    <n v="2"/>
    <n v="398.91"/>
    <s v="Cash on Delivery"/>
    <s v="Sandrafurt"/>
    <n v="1"/>
    <m/>
    <n v="56"/>
    <n v="797.82"/>
    <n v="239.346"/>
  </r>
  <r>
    <n v="29111"/>
    <x v="226"/>
    <n v="355"/>
    <n v="30"/>
    <s v="Home &amp; Living"/>
    <s v="Carpet"/>
    <n v="3"/>
    <n v="265.77"/>
    <s v="Cash on Delivery"/>
    <s v="Brownmouth"/>
    <m/>
    <s v="F"/>
    <n v="18"/>
    <n v="797.31"/>
    <n v="239.19299999999998"/>
  </r>
  <r>
    <n v="53843"/>
    <x v="226"/>
    <n v="256"/>
    <n v="30"/>
    <s v="Home &amp; Living"/>
    <s v="Painting"/>
    <n v="5"/>
    <n v="410.55"/>
    <s v="Cash on Delivery"/>
    <s v="New Kimberly"/>
    <n v="5"/>
    <s v="F"/>
    <n v="38"/>
    <n v="2052.75"/>
    <n v="615.82499999999993"/>
  </r>
  <r>
    <n v="55003"/>
    <x v="227"/>
    <n v="910"/>
    <n v="10"/>
    <s v="Electronics"/>
    <s v="Smartphone"/>
    <n v="4"/>
    <n v="159.13999999999999"/>
    <s v="Bank Transfer"/>
    <s v="Englishmouth"/>
    <m/>
    <s v="M"/>
    <n v="74"/>
    <n v="636.55999999999995"/>
    <n v="190.96799999999999"/>
  </r>
  <r>
    <n v="33851"/>
    <x v="227"/>
    <n v="713"/>
    <n v="40"/>
    <s v="Books &amp; Stationery"/>
    <s v="Eraser"/>
    <n v="5"/>
    <n v="83.92"/>
    <s v="Credit Card"/>
    <s v="Mcdanielchester"/>
    <n v="4"/>
    <s v="F"/>
    <n v="48"/>
    <n v="419.6"/>
    <n v="125.88"/>
  </r>
  <r>
    <n v="42128"/>
    <x v="227"/>
    <n v="563"/>
    <n v="30"/>
    <s v="Home &amp; Living"/>
    <s v="Pillow"/>
    <n v="2"/>
    <n v="292.89999999999998"/>
    <s v="Cash on Delivery"/>
    <s v="North Rebeccashire"/>
    <m/>
    <s v="M"/>
    <n v="46"/>
    <n v="585.79999999999995"/>
    <n v="175.73999999999998"/>
  </r>
  <r>
    <n v="43023"/>
    <x v="227"/>
    <n v="241"/>
    <n v="30"/>
    <s v="Home &amp; Living"/>
    <s v="Painting"/>
    <n v="5"/>
    <n v="395.64"/>
    <s v="Cash on Delivery"/>
    <s v="Lake Michaelport"/>
    <m/>
    <s v="M"/>
    <n v="44"/>
    <n v="1978.1999999999998"/>
    <n v="593.45999999999992"/>
  </r>
  <r>
    <n v="69632"/>
    <x v="227"/>
    <n v="451"/>
    <n v="30"/>
    <s v="Home &amp; Living"/>
    <s v="Painting"/>
    <n v="3"/>
    <n v="87.72"/>
    <s v="Cash on Delivery"/>
    <s v="Port James"/>
    <m/>
    <m/>
    <n v="36"/>
    <n v="263.15999999999997"/>
    <n v="78.947999999999993"/>
  </r>
  <r>
    <n v="67667"/>
    <x v="228"/>
    <n v="854"/>
    <n v="40"/>
    <s v="Books &amp; Stationery"/>
    <s v="Novel"/>
    <n v="3"/>
    <n v="366.14"/>
    <s v="Bank Transfer"/>
    <s v="Ericville"/>
    <n v="5"/>
    <s v="M"/>
    <n v="37"/>
    <n v="1098.42"/>
    <n v="329.52600000000001"/>
  </r>
  <r>
    <n v="94912"/>
    <x v="228"/>
    <n v="795"/>
    <n v="20"/>
    <s v="Fashion"/>
    <s v="T-shirt"/>
    <n v="4"/>
    <n v="463.07"/>
    <s v="Credit Card"/>
    <s v="East Robert"/>
    <n v="4"/>
    <s v="F"/>
    <n v="70"/>
    <n v="1852.28"/>
    <n v="555.68399999999997"/>
  </r>
  <r>
    <n v="88975"/>
    <x v="228"/>
    <n v="577"/>
    <n v="50"/>
    <s v="Sports &amp; Outdoors"/>
    <s v="Yoga Mat"/>
    <n v="3"/>
    <n v="149.49"/>
    <s v="Cash on Delivery"/>
    <s v="New Norma"/>
    <n v="4"/>
    <s v="M"/>
    <n v="59"/>
    <n v="448.47"/>
    <n v="134.541"/>
  </r>
  <r>
    <n v="63665"/>
    <x v="228"/>
    <n v="747"/>
    <n v="30"/>
    <s v="Home &amp; Living"/>
    <s v="Vase"/>
    <n v="1"/>
    <n v="168.47"/>
    <s v="Cash on Delivery"/>
    <s v="Stephenmouth"/>
    <m/>
    <s v="F"/>
    <n v="41"/>
    <n v="168.47"/>
    <n v="50.540999999999997"/>
  </r>
  <r>
    <n v="64684"/>
    <x v="229"/>
    <n v="166"/>
    <n v="20"/>
    <s v="Fashion"/>
    <s v="Pants"/>
    <n v="1"/>
    <n v="197.69"/>
    <s v="Credit Card"/>
    <s v="New Brooke"/>
    <n v="5"/>
    <s v="M"/>
    <n v="53"/>
    <n v="197.69"/>
    <n v="59.306999999999995"/>
  </r>
  <r>
    <n v="81133"/>
    <x v="229"/>
    <n v="682"/>
    <n v="40"/>
    <s v="Books &amp; Stationery"/>
    <s v="Novel"/>
    <n v="1"/>
    <n v="240.56"/>
    <s v="Cash on Delivery"/>
    <s v="East Kristin"/>
    <n v="4"/>
    <m/>
    <n v="33"/>
    <n v="240.56"/>
    <n v="72.167999999999992"/>
  </r>
  <r>
    <n v="55304"/>
    <x v="229"/>
    <n v="417"/>
    <n v="10"/>
    <s v="Electronics"/>
    <s v="Tablet"/>
    <n v="1"/>
    <n v="36.520000000000003"/>
    <s v="Cash on Delivery"/>
    <s v="North Janet"/>
    <m/>
    <s v="F"/>
    <n v="34"/>
    <n v="36.520000000000003"/>
    <n v="10.956000000000001"/>
  </r>
  <r>
    <n v="81439"/>
    <x v="230"/>
    <n v="792"/>
    <n v="40"/>
    <s v="Books &amp; Stationery"/>
    <s v="Novel"/>
    <n v="2"/>
    <n v="320.48"/>
    <s v="Credit Card"/>
    <s v="Woodsport"/>
    <n v="4"/>
    <s v="F"/>
    <n v="21"/>
    <n v="640.96"/>
    <n v="192.28800000000001"/>
  </r>
  <r>
    <n v="32522"/>
    <x v="230"/>
    <n v="638"/>
    <n v="50"/>
    <s v="Sports &amp; Outdoors"/>
    <s v="Soccer Ball"/>
    <n v="4"/>
    <n v="422.48"/>
    <s v="Credit Card"/>
    <s v="Michaelchester"/>
    <n v="5"/>
    <s v="M"/>
    <n v="42"/>
    <n v="1689.92"/>
    <n v="506.976"/>
  </r>
  <r>
    <n v="76411"/>
    <x v="231"/>
    <n v="576"/>
    <n v="40"/>
    <s v="Books &amp; Stationery"/>
    <s v="Story Book"/>
    <n v="4"/>
    <n v="443.43"/>
    <s v="Bank Transfer"/>
    <s v="Port Tony"/>
    <n v="5"/>
    <s v="M"/>
    <n v="57"/>
    <n v="1773.72"/>
    <n v="532.11599999999999"/>
  </r>
  <r>
    <n v="65398"/>
    <x v="231"/>
    <n v="505"/>
    <n v="50"/>
    <s v="Sports &amp; Outdoors"/>
    <s v="Soccer Ball"/>
    <n v="4"/>
    <n v="222.1"/>
    <s v="Cash on Delivery"/>
    <s v="East Codyport"/>
    <n v="1"/>
    <s v="M"/>
    <n v="33"/>
    <n v="888.4"/>
    <n v="266.52"/>
  </r>
  <r>
    <n v="82746"/>
    <x v="231"/>
    <n v="101"/>
    <n v="50"/>
    <s v="Sports &amp; Outdoors"/>
    <s v="Soccer Ball"/>
    <n v="3"/>
    <n v="263.16000000000003"/>
    <s v="Bank Transfer"/>
    <s v="Brandonbury"/>
    <n v="5"/>
    <s v="M"/>
    <n v="35"/>
    <n v="789.48"/>
    <n v="236.84399999999999"/>
  </r>
  <r>
    <n v="53070"/>
    <x v="232"/>
    <n v="503"/>
    <n v="50"/>
    <s v="Sports &amp; Outdoors"/>
    <s v="Running Shoes"/>
    <n v="5"/>
    <n v="66.959999999999994"/>
    <s v="Credit Card"/>
    <s v="Jefferyshire"/>
    <n v="5"/>
    <s v="F"/>
    <n v="68"/>
    <n v="334.79999999999995"/>
    <n v="100.43999999999998"/>
  </r>
  <r>
    <n v="35155"/>
    <x v="232"/>
    <n v="956"/>
    <n v="10"/>
    <s v="Electronics"/>
    <s v="Tablet"/>
    <n v="2"/>
    <n v="496.93"/>
    <s v="Credit Card"/>
    <s v="Blackchester"/>
    <n v="5"/>
    <s v="F"/>
    <n v="20"/>
    <n v="993.86"/>
    <n v="298.15800000000002"/>
  </r>
  <r>
    <n v="84991"/>
    <x v="233"/>
    <n v="434"/>
    <n v="50"/>
    <s v="Sports &amp; Outdoors"/>
    <s v="Yoga Mat"/>
    <n v="1"/>
    <n v="198.08"/>
    <s v="Cash on Delivery"/>
    <s v="East Anthonymouth"/>
    <m/>
    <m/>
    <n v="33"/>
    <n v="198.08"/>
    <n v="59.423999999999999"/>
  </r>
  <r>
    <n v="11164"/>
    <x v="233"/>
    <n v="154"/>
    <n v="10"/>
    <s v="Electronics"/>
    <s v="Smartphone"/>
    <n v="5"/>
    <n v="129.83000000000001"/>
    <s v="Bank Transfer"/>
    <s v="Yatesstad"/>
    <n v="3"/>
    <m/>
    <n v="44"/>
    <n v="649.15000000000009"/>
    <n v="194.74500000000003"/>
  </r>
  <r>
    <n v="12167"/>
    <x v="233"/>
    <n v="500"/>
    <n v="30"/>
    <s v="Home &amp; Living"/>
    <s v="Vase"/>
    <n v="1"/>
    <n v="187.51"/>
    <s v="Credit Card"/>
    <s v="West Jeffreyview"/>
    <n v="4"/>
    <s v="F"/>
    <n v="46"/>
    <n v="187.51"/>
    <n v="56.252999999999993"/>
  </r>
  <r>
    <n v="53191"/>
    <x v="234"/>
    <n v="852"/>
    <n v="30"/>
    <s v="Home &amp; Living"/>
    <s v="Pillow"/>
    <n v="4"/>
    <n v="204.56"/>
    <s v="Cash on Delivery"/>
    <s v="Jenniferberg"/>
    <m/>
    <s v="M"/>
    <n v="30"/>
    <n v="818.24"/>
    <n v="245.47199999999998"/>
  </r>
  <r>
    <n v="25897"/>
    <x v="235"/>
    <n v="247"/>
    <n v="30"/>
    <s v="Home &amp; Living"/>
    <s v="Vase"/>
    <n v="5"/>
    <n v="65.87"/>
    <s v="Cash on Delivery"/>
    <s v="Randallburgh"/>
    <n v="1"/>
    <s v="M"/>
    <n v="29"/>
    <n v="329.35"/>
    <n v="98.805000000000007"/>
  </r>
  <r>
    <n v="79715"/>
    <x v="235"/>
    <n v="977"/>
    <n v="10"/>
    <s v="Electronics"/>
    <s v="Headphones"/>
    <n v="5"/>
    <n v="196.87"/>
    <s v="Credit Card"/>
    <s v="West Crystal"/>
    <n v="3"/>
    <s v="F"/>
    <n v="38"/>
    <n v="984.35"/>
    <n v="295.30500000000001"/>
  </r>
  <r>
    <n v="29275"/>
    <x v="236"/>
    <n v="180"/>
    <n v="40"/>
    <s v="Books &amp; Stationery"/>
    <s v="Eraser"/>
    <n v="4"/>
    <n v="234.04"/>
    <s v="Credit Card"/>
    <s v="Port Tracystad"/>
    <n v="1"/>
    <s v="M"/>
    <n v="68"/>
    <n v="936.16"/>
    <n v="280.84799999999996"/>
  </r>
  <r>
    <n v="35793"/>
    <x v="236"/>
    <n v="427"/>
    <n v="10"/>
    <s v="Electronics"/>
    <s v="Tablet"/>
    <n v="2"/>
    <n v="227.71"/>
    <s v="Credit Card"/>
    <s v="South Sharonburgh"/>
    <n v="4"/>
    <s v="F"/>
    <n v="66"/>
    <n v="455.42"/>
    <n v="136.626"/>
  </r>
  <r>
    <n v="25561"/>
    <x v="236"/>
    <n v="275"/>
    <n v="10"/>
    <s v="Electronics"/>
    <s v="Headphones"/>
    <n v="1"/>
    <n v="330.94"/>
    <s v="Credit Card"/>
    <s v="Port Samanthafort"/>
    <n v="5"/>
    <s v="F"/>
    <n v="31"/>
    <n v="330.94"/>
    <n v="99.281999999999996"/>
  </r>
  <r>
    <n v="61642"/>
    <x v="237"/>
    <n v="264"/>
    <n v="50"/>
    <s v="Sports &amp; Outdoors"/>
    <s v="Tent"/>
    <n v="1"/>
    <n v="241.61"/>
    <s v="Bank Transfer"/>
    <s v="Fryeberg"/>
    <n v="5"/>
    <s v="M"/>
    <n v="19"/>
    <n v="241.61"/>
    <n v="72.483000000000004"/>
  </r>
  <r>
    <n v="49861"/>
    <x v="237"/>
    <n v="832"/>
    <n v="20"/>
    <s v="Fashion"/>
    <s v="Skirt"/>
    <n v="2"/>
    <n v="96.31"/>
    <s v="Cash on Delivery"/>
    <s v="Brianburgh"/>
    <n v="5"/>
    <s v="M"/>
    <n v="46"/>
    <n v="192.62"/>
    <n v="57.786000000000001"/>
  </r>
  <r>
    <n v="26849"/>
    <x v="237"/>
    <n v="667"/>
    <n v="50"/>
    <s v="Sports &amp; Outdoors"/>
    <s v="Running Shoes"/>
    <n v="3"/>
    <n v="116.74"/>
    <s v="Bank Transfer"/>
    <s v="Gardnerberg"/>
    <n v="5"/>
    <s v="F"/>
    <n v="27"/>
    <n v="350.21999999999997"/>
    <n v="105.06599999999999"/>
  </r>
  <r>
    <n v="35625"/>
    <x v="237"/>
    <n v="863"/>
    <n v="30"/>
    <s v="Home &amp; Living"/>
    <s v="Pillow"/>
    <n v="2"/>
    <n v="19.350000000000001"/>
    <s v="Cash on Delivery"/>
    <s v="Lake Johnland"/>
    <n v="3"/>
    <m/>
    <n v="22"/>
    <n v="38.700000000000003"/>
    <n v="11.610000000000001"/>
  </r>
  <r>
    <n v="82649"/>
    <x v="238"/>
    <n v="983"/>
    <n v="20"/>
    <s v="Fashion"/>
    <s v="Pants"/>
    <n v="1"/>
    <n v="419.8"/>
    <s v="Bank Transfer"/>
    <s v="Smithmouth"/>
    <m/>
    <s v="M"/>
    <n v="60"/>
    <n v="419.8"/>
    <n v="125.94"/>
  </r>
  <r>
    <n v="42780"/>
    <x v="238"/>
    <n v="482"/>
    <n v="40"/>
    <s v="Books &amp; Stationery"/>
    <s v="Eraser"/>
    <n v="4"/>
    <n v="121.29"/>
    <s v="Credit Card"/>
    <s v="Port Craigfort"/>
    <n v="4"/>
    <s v="M"/>
    <n v="32"/>
    <n v="485.16"/>
    <n v="145.548"/>
  </r>
  <r>
    <n v="94070"/>
    <x v="238"/>
    <n v="822"/>
    <n v="50"/>
    <s v="Sports &amp; Outdoors"/>
    <s v="Yoga Mat"/>
    <n v="2"/>
    <n v="236.61"/>
    <s v="Bank Transfer"/>
    <s v="West Tyler"/>
    <n v="5"/>
    <s v="M"/>
    <n v="67"/>
    <n v="473.22"/>
    <n v="141.96600000000001"/>
  </r>
  <r>
    <n v="10299"/>
    <x v="239"/>
    <n v="971"/>
    <n v="20"/>
    <s v="Fashion"/>
    <s v="Dress"/>
    <n v="4"/>
    <n v="203.94"/>
    <s v="Cash on Delivery"/>
    <s v="Teresaville"/>
    <n v="5"/>
    <s v="F"/>
    <n v="33"/>
    <n v="815.76"/>
    <n v="244.72799999999998"/>
  </r>
  <r>
    <n v="60036"/>
    <x v="239"/>
    <n v="244"/>
    <n v="20"/>
    <s v="Fashion"/>
    <s v="Shirt"/>
    <n v="4"/>
    <n v="333.23"/>
    <s v="Bank Transfer"/>
    <s v="South Julieborough"/>
    <m/>
    <s v="F"/>
    <n v="57"/>
    <n v="1332.92"/>
    <n v="399.87600000000003"/>
  </r>
  <r>
    <n v="27117"/>
    <x v="239"/>
    <n v="312"/>
    <n v="20"/>
    <s v="Fashion"/>
    <s v="Pants"/>
    <n v="4"/>
    <n v="245.65"/>
    <s v="Credit Card"/>
    <s v="West Jonathanmouth"/>
    <n v="4"/>
    <s v="F"/>
    <n v="66"/>
    <n v="982.6"/>
    <n v="294.77999999999997"/>
  </r>
  <r>
    <n v="24078"/>
    <x v="240"/>
    <n v="344"/>
    <n v="20"/>
    <s v="Fashion"/>
    <s v="Shirt"/>
    <n v="5"/>
    <n v="364.91"/>
    <s v="Cash on Delivery"/>
    <s v="West Jesusville"/>
    <n v="1"/>
    <s v="M"/>
    <n v="71"/>
    <n v="1824.5500000000002"/>
    <n v="547.36500000000001"/>
  </r>
  <r>
    <n v="59486"/>
    <x v="240"/>
    <n v="327"/>
    <n v="30"/>
    <s v="Home &amp; Living"/>
    <s v="Vase"/>
    <n v="5"/>
    <n v="475.62"/>
    <s v="Bank Transfer"/>
    <s v="Brownbury"/>
    <n v="4"/>
    <s v="F"/>
    <n v="61"/>
    <n v="2378.1"/>
    <n v="713.43"/>
  </r>
  <r>
    <n v="77096"/>
    <x v="241"/>
    <n v="369"/>
    <n v="50"/>
    <s v="Sports &amp; Outdoors"/>
    <s v="Running Shoes"/>
    <n v="4"/>
    <n v="83.08"/>
    <s v="Credit Card"/>
    <s v="Millerborough"/>
    <n v="5"/>
    <s v="M"/>
    <n v="22"/>
    <n v="332.32"/>
    <n v="99.695999999999998"/>
  </r>
  <r>
    <n v="67215"/>
    <x v="242"/>
    <n v="912"/>
    <n v="20"/>
    <s v="Fashion"/>
    <s v="Pants"/>
    <n v="1"/>
    <n v="242.04"/>
    <s v="Credit Card"/>
    <s v="Codyburgh"/>
    <n v="4"/>
    <s v="M"/>
    <n v="71"/>
    <n v="242.04"/>
    <n v="72.611999999999995"/>
  </r>
  <r>
    <n v="23807"/>
    <x v="242"/>
    <n v="547"/>
    <n v="40"/>
    <s v="Books &amp; Stationery"/>
    <s v="Notebook"/>
    <n v="5"/>
    <n v="397.63"/>
    <s v="Credit Card"/>
    <s v="Jackshire"/>
    <n v="2"/>
    <s v="M"/>
    <n v="53"/>
    <n v="1988.15"/>
    <n v="596.44500000000005"/>
  </r>
  <r>
    <n v="87140"/>
    <x v="242"/>
    <n v="977"/>
    <n v="30"/>
    <s v="Home &amp; Living"/>
    <s v="Blanket"/>
    <n v="3"/>
    <n v="83.47"/>
    <s v="Credit Card"/>
    <s v="New Joshua"/>
    <n v="5"/>
    <s v="F"/>
    <n v="28"/>
    <n v="250.41"/>
    <n v="75.12299999999999"/>
  </r>
  <r>
    <n v="29989"/>
    <x v="243"/>
    <n v="829"/>
    <n v="10"/>
    <s v="Electronics"/>
    <s v="Smartphone"/>
    <n v="4"/>
    <n v="196.16"/>
    <s v="Bank Transfer"/>
    <s v="East Tonyaberg"/>
    <n v="5"/>
    <s v="F"/>
    <n v="21"/>
    <n v="784.64"/>
    <n v="235.392"/>
  </r>
  <r>
    <n v="61360"/>
    <x v="243"/>
    <n v="544"/>
    <n v="10"/>
    <s v="Electronics"/>
    <s v="Laptop"/>
    <n v="3"/>
    <n v="457.44"/>
    <s v="Cash on Delivery"/>
    <s v="Myershaven"/>
    <n v="5"/>
    <s v="M"/>
    <n v="60"/>
    <n v="1372.32"/>
    <n v="411.69599999999997"/>
  </r>
  <r>
    <n v="75434"/>
    <x v="243"/>
    <n v="775"/>
    <n v="10"/>
    <s v="Electronics"/>
    <s v="Laptop"/>
    <n v="3"/>
    <n v="256.12"/>
    <s v="Cash on Delivery"/>
    <s v="Craigmouth"/>
    <n v="3"/>
    <s v="M"/>
    <n v="21"/>
    <n v="768.36"/>
    <n v="230.50799999999998"/>
  </r>
  <r>
    <n v="16119"/>
    <x v="243"/>
    <n v="628"/>
    <n v="20"/>
    <s v="Fashion"/>
    <s v="Pants"/>
    <n v="1"/>
    <n v="71.83"/>
    <s v="Bank Transfer"/>
    <s v="Williamsside"/>
    <m/>
    <s v="F"/>
    <n v="28"/>
    <n v="71.83"/>
    <n v="21.548999999999999"/>
  </r>
  <r>
    <n v="69355"/>
    <x v="244"/>
    <n v="683"/>
    <n v="30"/>
    <s v="Home &amp; Living"/>
    <s v="Painting"/>
    <n v="1"/>
    <n v="404.07"/>
    <s v="Bank Transfer"/>
    <s v="South Susanstad"/>
    <n v="5"/>
    <s v="M"/>
    <n v="18"/>
    <n v="404.07"/>
    <n v="121.22099999999999"/>
  </r>
  <r>
    <n v="55134"/>
    <x v="244"/>
    <n v="837"/>
    <n v="50"/>
    <s v="Sports &amp; Outdoors"/>
    <s v="Basketball"/>
    <n v="4"/>
    <n v="487.21"/>
    <s v="Bank Transfer"/>
    <s v="Marthabury"/>
    <m/>
    <s v="M"/>
    <n v="46"/>
    <n v="1948.84"/>
    <n v="584.65199999999993"/>
  </r>
  <r>
    <n v="93992"/>
    <x v="245"/>
    <n v="853"/>
    <n v="30"/>
    <s v="Home &amp; Living"/>
    <s v="Pillow"/>
    <n v="1"/>
    <n v="153.82"/>
    <s v="Credit Card"/>
    <s v="West Cynthiaton"/>
    <n v="4"/>
    <m/>
    <n v="29"/>
    <n v="153.82"/>
    <n v="46.145999999999994"/>
  </r>
  <r>
    <n v="77884"/>
    <x v="245"/>
    <n v="620"/>
    <n v="20"/>
    <s v="Fashion"/>
    <s v="T-shirt"/>
    <n v="3"/>
    <n v="145.36000000000001"/>
    <s v="Bank Transfer"/>
    <s v="Shortmouth"/>
    <n v="3"/>
    <s v="F"/>
    <n v="41"/>
    <n v="436.08000000000004"/>
    <n v="130.82400000000001"/>
  </r>
  <r>
    <n v="32787"/>
    <x v="245"/>
    <n v="359"/>
    <n v="50"/>
    <s v="Sports &amp; Outdoors"/>
    <s v="Tent"/>
    <n v="5"/>
    <n v="88.57"/>
    <s v="Cash on Delivery"/>
    <s v="Lindsaybury"/>
    <m/>
    <s v="M"/>
    <n v="28"/>
    <n v="442.84999999999997"/>
    <n v="132.85499999999999"/>
  </r>
  <r>
    <n v="95980"/>
    <x v="246"/>
    <n v="804"/>
    <n v="40"/>
    <s v="Books &amp; Stationery"/>
    <s v="Pen"/>
    <n v="1"/>
    <n v="106.07"/>
    <s v="Cash on Delivery"/>
    <s v="Haileyville"/>
    <m/>
    <s v="F"/>
    <n v="75"/>
    <n v="106.07"/>
    <n v="31.820999999999998"/>
  </r>
  <r>
    <n v="97281"/>
    <x v="247"/>
    <n v="450"/>
    <n v="30"/>
    <s v="Home &amp; Living"/>
    <s v="Blanket"/>
    <n v="4"/>
    <n v="289.63"/>
    <s v="Credit Card"/>
    <s v="Ramirezton"/>
    <n v="5"/>
    <s v="M"/>
    <n v="32"/>
    <n v="1158.52"/>
    <n v="347.55599999999998"/>
  </r>
  <r>
    <n v="61329"/>
    <x v="247"/>
    <n v="311"/>
    <n v="10"/>
    <s v="Electronics"/>
    <s v="Laptop"/>
    <n v="2"/>
    <n v="50.52"/>
    <s v="Bank Transfer"/>
    <s v="Ashleychester"/>
    <n v="5"/>
    <s v="M"/>
    <n v="74"/>
    <n v="101.04"/>
    <n v="30.312000000000001"/>
  </r>
  <r>
    <n v="89104"/>
    <x v="247"/>
    <n v="358"/>
    <n v="40"/>
    <s v="Books &amp; Stationery"/>
    <s v="Notebook"/>
    <n v="3"/>
    <n v="284.47000000000003"/>
    <s v="Cash on Delivery"/>
    <s v="Christophertown"/>
    <n v="4"/>
    <s v="F"/>
    <n v="55"/>
    <n v="853.41000000000008"/>
    <n v="256.02300000000002"/>
  </r>
  <r>
    <n v="29306"/>
    <x v="247"/>
    <n v="162"/>
    <n v="50"/>
    <s v="Sports &amp; Outdoors"/>
    <s v="Yoga Mat"/>
    <n v="3"/>
    <n v="358.82"/>
    <s v="Cash on Delivery"/>
    <s v="Williamsburgh"/>
    <n v="5"/>
    <s v="M"/>
    <n v="41"/>
    <n v="1076.46"/>
    <n v="322.93799999999999"/>
  </r>
  <r>
    <n v="64649"/>
    <x v="247"/>
    <n v="438"/>
    <n v="40"/>
    <s v="Books &amp; Stationery"/>
    <s v="Notebook"/>
    <n v="5"/>
    <n v="132.97999999999999"/>
    <s v="Cash on Delivery"/>
    <s v="Alexanderberg"/>
    <m/>
    <s v="M"/>
    <n v="45"/>
    <n v="664.9"/>
    <n v="199.47"/>
  </r>
  <r>
    <n v="15545"/>
    <x v="248"/>
    <n v="128"/>
    <n v="40"/>
    <s v="Books &amp; Stationery"/>
    <s v="Pen"/>
    <n v="2"/>
    <n v="475.77"/>
    <s v="Bank Transfer"/>
    <s v="Johnsonborough"/>
    <m/>
    <s v="F"/>
    <n v="65"/>
    <n v="951.54"/>
    <n v="285.46199999999999"/>
  </r>
  <r>
    <n v="55426"/>
    <x v="248"/>
    <n v="139"/>
    <n v="50"/>
    <s v="Sports &amp; Outdoors"/>
    <s v="Running Shoes"/>
    <n v="5"/>
    <n v="448.92"/>
    <s v="Bank Transfer"/>
    <s v="East Josestad"/>
    <n v="5"/>
    <m/>
    <n v="69"/>
    <n v="2244.6"/>
    <n v="673.38"/>
  </r>
  <r>
    <n v="58368"/>
    <x v="248"/>
    <n v="522"/>
    <n v="20"/>
    <s v="Fashion"/>
    <s v="Dress"/>
    <n v="3"/>
    <n v="162.83000000000001"/>
    <s v="Bank Transfer"/>
    <s v="Amandamouth"/>
    <n v="5"/>
    <s v="F"/>
    <n v="23"/>
    <n v="488.49"/>
    <n v="146.547"/>
  </r>
  <r>
    <n v="54614"/>
    <x v="249"/>
    <n v="704"/>
    <n v="40"/>
    <s v="Books &amp; Stationery"/>
    <s v="Novel"/>
    <n v="1"/>
    <n v="55.6"/>
    <s v="Credit Card"/>
    <s v="Stephanieshire"/>
    <n v="4"/>
    <s v="M"/>
    <n v="61"/>
    <n v="55.6"/>
    <n v="16.68"/>
  </r>
  <r>
    <n v="38547"/>
    <x v="249"/>
    <n v="486"/>
    <n v="30"/>
    <s v="Home &amp; Living"/>
    <s v="Carpet"/>
    <n v="3"/>
    <n v="474.17"/>
    <s v="Credit Card"/>
    <s v="West Courtneychester"/>
    <n v="4"/>
    <s v="M"/>
    <n v="61"/>
    <n v="1422.51"/>
    <n v="426.75299999999999"/>
  </r>
  <r>
    <n v="50139"/>
    <x v="249"/>
    <n v="905"/>
    <n v="30"/>
    <s v="Home &amp; Living"/>
    <s v="Pillow"/>
    <n v="4"/>
    <n v="388"/>
    <s v="Credit Card"/>
    <s v="Port Vincenttown"/>
    <n v="3"/>
    <s v="M"/>
    <n v="53"/>
    <n v="1552"/>
    <n v="465.59999999999997"/>
  </r>
  <r>
    <n v="30321"/>
    <x v="250"/>
    <n v="665"/>
    <n v="30"/>
    <s v="Home &amp; Living"/>
    <s v="Pillow"/>
    <n v="3"/>
    <n v="477.17"/>
    <s v="Cash on Delivery"/>
    <s v="Alvaradoview"/>
    <n v="4"/>
    <m/>
    <n v="59"/>
    <n v="1431.51"/>
    <n v="429.45299999999997"/>
  </r>
  <r>
    <n v="18191"/>
    <x v="250"/>
    <n v="355"/>
    <n v="20"/>
    <s v="Fashion"/>
    <s v="Pants"/>
    <n v="2"/>
    <n v="433.83"/>
    <s v="Bank Transfer"/>
    <s v="Port Jasmine"/>
    <n v="5"/>
    <s v="M"/>
    <n v="26"/>
    <n v="867.66"/>
    <n v="260.298"/>
  </r>
  <r>
    <n v="31253"/>
    <x v="250"/>
    <n v="226"/>
    <n v="40"/>
    <s v="Books &amp; Stationery"/>
    <s v="Story Book"/>
    <n v="3"/>
    <n v="428.95"/>
    <s v="Cash on Delivery"/>
    <s v="New Coleside"/>
    <m/>
    <s v="M"/>
    <n v="43"/>
    <n v="1286.8499999999999"/>
    <n v="386.05499999999995"/>
  </r>
  <r>
    <n v="76505"/>
    <x v="250"/>
    <n v="295"/>
    <n v="40"/>
    <s v="Books &amp; Stationery"/>
    <s v="Eraser"/>
    <n v="5"/>
    <n v="250.07"/>
    <s v="Bank Transfer"/>
    <s v="Armstrongberg"/>
    <n v="5"/>
    <s v="F"/>
    <n v="19"/>
    <n v="1250.3499999999999"/>
    <n v="375.10499999999996"/>
  </r>
  <r>
    <n v="14361"/>
    <x v="251"/>
    <n v="178"/>
    <n v="50"/>
    <s v="Sports &amp; Outdoors"/>
    <s v="Running Shoes"/>
    <n v="4"/>
    <n v="233.12"/>
    <s v="Bank Transfer"/>
    <s v="Robertbury"/>
    <n v="5"/>
    <m/>
    <n v="23"/>
    <n v="932.48"/>
    <n v="279.74399999999997"/>
  </r>
  <r>
    <n v="57240"/>
    <x v="251"/>
    <n v="426"/>
    <n v="10"/>
    <s v="Electronics"/>
    <s v="Tablet"/>
    <n v="4"/>
    <n v="458.08"/>
    <s v="Cash on Delivery"/>
    <s v="Jennachester"/>
    <n v="5"/>
    <s v="M"/>
    <n v="61"/>
    <n v="1832.32"/>
    <n v="549.69599999999991"/>
  </r>
  <r>
    <n v="69817"/>
    <x v="251"/>
    <n v="100"/>
    <n v="10"/>
    <s v="Electronics"/>
    <s v="Laptop"/>
    <n v="4"/>
    <n v="179.94"/>
    <s v="Bank Transfer"/>
    <s v="West Jennifer"/>
    <m/>
    <s v="F"/>
    <n v="18"/>
    <n v="719.76"/>
    <n v="215.928"/>
  </r>
  <r>
    <n v="55539"/>
    <x v="252"/>
    <n v="614"/>
    <n v="10"/>
    <s v="Electronics"/>
    <s v="Laptop"/>
    <n v="5"/>
    <n v="144.94999999999999"/>
    <s v="Credit Card"/>
    <s v="Jasonbury"/>
    <n v="5"/>
    <s v="F"/>
    <n v="59"/>
    <n v="724.75"/>
    <n v="217.42499999999998"/>
  </r>
  <r>
    <n v="88885"/>
    <x v="252"/>
    <n v="393"/>
    <n v="10"/>
    <s v="Electronics"/>
    <s v="Headphones"/>
    <n v="1"/>
    <n v="112.93"/>
    <s v="Cash on Delivery"/>
    <s v="Port Emily"/>
    <n v="5"/>
    <s v="M"/>
    <n v="27"/>
    <n v="112.93"/>
    <n v="33.878999999999998"/>
  </r>
  <r>
    <n v="85139"/>
    <x v="252"/>
    <n v="844"/>
    <n v="40"/>
    <s v="Books &amp; Stationery"/>
    <s v="Notebook"/>
    <n v="1"/>
    <n v="312.01"/>
    <s v="Bank Transfer"/>
    <s v="Jackmouth"/>
    <n v="5"/>
    <s v="M"/>
    <n v="57"/>
    <n v="312.01"/>
    <n v="93.602999999999994"/>
  </r>
  <r>
    <n v="74178"/>
    <x v="252"/>
    <n v="179"/>
    <n v="10"/>
    <s v="Electronics"/>
    <s v="Smartwatch"/>
    <n v="1"/>
    <n v="20.84"/>
    <s v="Credit Card"/>
    <s v="Jonathanstad"/>
    <n v="2"/>
    <s v="M"/>
    <n v="52"/>
    <n v="20.84"/>
    <n v="6.2519999999999998"/>
  </r>
  <r>
    <n v="74956"/>
    <x v="253"/>
    <n v="204"/>
    <n v="50"/>
    <s v="Sports &amp; Outdoors"/>
    <s v="Basketball"/>
    <n v="5"/>
    <n v="93.29"/>
    <s v="Credit Card"/>
    <s v="Kristenberg"/>
    <n v="5"/>
    <s v="M"/>
    <n v="58"/>
    <n v="466.45000000000005"/>
    <n v="139.935"/>
  </r>
  <r>
    <n v="44994"/>
    <x v="253"/>
    <n v="879"/>
    <n v="10"/>
    <s v="Electronics"/>
    <s v="Tablet"/>
    <n v="5"/>
    <n v="269.42"/>
    <s v="Cash on Delivery"/>
    <s v="Lake April"/>
    <n v="5"/>
    <m/>
    <n v="42"/>
    <n v="1347.1000000000001"/>
    <n v="404.13000000000005"/>
  </r>
  <r>
    <n v="68416"/>
    <x v="254"/>
    <n v="311"/>
    <n v="20"/>
    <s v="Fashion"/>
    <s v="Skirt"/>
    <n v="5"/>
    <n v="22.15"/>
    <s v="Cash on Delivery"/>
    <s v="New Jeremy"/>
    <n v="5"/>
    <s v="F"/>
    <n v="44"/>
    <n v="110.75"/>
    <n v="33.225000000000001"/>
  </r>
  <r>
    <n v="13112"/>
    <x v="254"/>
    <n v="202"/>
    <n v="10"/>
    <s v="Electronics"/>
    <s v="Headphones"/>
    <n v="2"/>
    <n v="182.06"/>
    <s v="Cash on Delivery"/>
    <s v="South Katherineside"/>
    <n v="3"/>
    <m/>
    <n v="35"/>
    <n v="364.12"/>
    <n v="109.236"/>
  </r>
  <r>
    <n v="46326"/>
    <x v="254"/>
    <n v="625"/>
    <n v="10"/>
    <s v="Electronics"/>
    <s v="Headphones"/>
    <n v="4"/>
    <n v="427.65"/>
    <s v="Cash on Delivery"/>
    <s v="Andersonchester"/>
    <n v="3"/>
    <s v="M"/>
    <n v="31"/>
    <n v="1710.6"/>
    <n v="513.17999999999995"/>
  </r>
  <r>
    <n v="82894"/>
    <x v="254"/>
    <n v="585"/>
    <n v="20"/>
    <s v="Fashion"/>
    <s v="Shirt"/>
    <n v="1"/>
    <n v="499.23"/>
    <s v="Bank Transfer"/>
    <s v="Johnstad"/>
    <n v="5"/>
    <m/>
    <n v="58"/>
    <n v="499.23"/>
    <n v="149.76900000000001"/>
  </r>
  <r>
    <n v="57419"/>
    <x v="254"/>
    <n v="222"/>
    <n v="10"/>
    <s v="Electronics"/>
    <s v="Tablet"/>
    <n v="2"/>
    <n v="423.22"/>
    <s v="Credit Card"/>
    <s v="Alvaradobury"/>
    <n v="2"/>
    <s v="M"/>
    <n v="29"/>
    <n v="846.44"/>
    <n v="253.93200000000002"/>
  </r>
  <r>
    <n v="79928"/>
    <x v="255"/>
    <n v="246"/>
    <n v="20"/>
    <s v="Fashion"/>
    <s v="Dress"/>
    <n v="3"/>
    <n v="30.61"/>
    <s v="Cash on Delivery"/>
    <s v="East Chris"/>
    <m/>
    <m/>
    <n v="50"/>
    <n v="91.83"/>
    <n v="27.548999999999999"/>
  </r>
  <r>
    <n v="52647"/>
    <x v="255"/>
    <n v="806"/>
    <n v="50"/>
    <s v="Sports &amp; Outdoors"/>
    <s v="Tent"/>
    <n v="4"/>
    <n v="433.77"/>
    <s v="Cash on Delivery"/>
    <s v="Port Timothy"/>
    <n v="5"/>
    <s v="M"/>
    <n v="43"/>
    <n v="1735.08"/>
    <n v="520.524"/>
  </r>
  <r>
    <n v="68904"/>
    <x v="255"/>
    <n v="957"/>
    <n v="10"/>
    <s v="Electronics"/>
    <s v="Laptop"/>
    <n v="4"/>
    <n v="266.13"/>
    <s v="Cash on Delivery"/>
    <s v="Chenmouth"/>
    <n v="5"/>
    <s v="F"/>
    <n v="25"/>
    <n v="1064.52"/>
    <n v="319.35599999999999"/>
  </r>
  <r>
    <n v="13542"/>
    <x v="256"/>
    <n v="784"/>
    <n v="10"/>
    <s v="Electronics"/>
    <s v="Smartphone"/>
    <n v="2"/>
    <n v="373.36"/>
    <s v="Credit Card"/>
    <s v="New Oliviaberg"/>
    <n v="1"/>
    <s v="F"/>
    <n v="56"/>
    <n v="746.72"/>
    <n v="224.01599999999999"/>
  </r>
  <r>
    <n v="41394"/>
    <x v="256"/>
    <n v="549"/>
    <n v="30"/>
    <s v="Home &amp; Living"/>
    <s v="Pillow"/>
    <n v="3"/>
    <n v="429.11"/>
    <s v="Credit Card"/>
    <s v="West Larrymouth"/>
    <n v="3"/>
    <s v="F"/>
    <n v="69"/>
    <n v="1287.33"/>
    <n v="386.19899999999996"/>
  </r>
  <r>
    <n v="76490"/>
    <x v="256"/>
    <n v="362"/>
    <n v="30"/>
    <s v="Home &amp; Living"/>
    <s v="Vase"/>
    <n v="5"/>
    <n v="307.04000000000002"/>
    <s v="Cash on Delivery"/>
    <s v="Roymouth"/>
    <m/>
    <s v="F"/>
    <n v="48"/>
    <n v="1535.2"/>
    <n v="460.56"/>
  </r>
  <r>
    <n v="81394"/>
    <x v="256"/>
    <n v="110"/>
    <n v="50"/>
    <s v="Sports &amp; Outdoors"/>
    <s v="Tent"/>
    <n v="3"/>
    <n v="68.22"/>
    <s v="Credit Card"/>
    <s v="Cameronstad"/>
    <n v="3"/>
    <s v="F"/>
    <n v="52"/>
    <n v="204.66"/>
    <n v="61.397999999999996"/>
  </r>
  <r>
    <n v="53977"/>
    <x v="256"/>
    <n v="125"/>
    <n v="50"/>
    <s v="Sports &amp; Outdoors"/>
    <s v="Basketball"/>
    <n v="1"/>
    <n v="117.37"/>
    <s v="Credit Card"/>
    <s v="South Taylorchester"/>
    <n v="4"/>
    <s v="F"/>
    <n v="43"/>
    <n v="117.37"/>
    <n v="35.210999999999999"/>
  </r>
  <r>
    <n v="20814"/>
    <x v="257"/>
    <n v="914"/>
    <n v="10"/>
    <s v="Electronics"/>
    <s v="Smartphone"/>
    <n v="4"/>
    <n v="291.29000000000002"/>
    <s v="Bank Transfer"/>
    <s v="South Melodystad"/>
    <n v="4"/>
    <s v="M"/>
    <n v="65"/>
    <n v="1165.1600000000001"/>
    <n v="349.548"/>
  </r>
  <r>
    <n v="85365"/>
    <x v="257"/>
    <n v="870"/>
    <n v="20"/>
    <s v="Fashion"/>
    <s v="Skirt"/>
    <n v="2"/>
    <n v="158.05000000000001"/>
    <s v="Cash on Delivery"/>
    <s v="Andersonshire"/>
    <n v="5"/>
    <s v="M"/>
    <n v="59"/>
    <n v="316.10000000000002"/>
    <n v="94.83"/>
  </r>
  <r>
    <n v="85771"/>
    <x v="257"/>
    <n v="299"/>
    <n v="10"/>
    <s v="Electronics"/>
    <s v="Smartwatch"/>
    <n v="2"/>
    <n v="336.34"/>
    <s v="Credit Card"/>
    <s v="Brownport"/>
    <n v="4"/>
    <s v="F"/>
    <n v="56"/>
    <n v="672.68"/>
    <n v="201.80399999999997"/>
  </r>
  <r>
    <n v="63100"/>
    <x v="257"/>
    <n v="974"/>
    <n v="10"/>
    <s v="Electronics"/>
    <s v="Tablet"/>
    <n v="5"/>
    <n v="410.6"/>
    <s v="Credit Card"/>
    <s v="South Lisaland"/>
    <n v="3"/>
    <s v="F"/>
    <n v="58"/>
    <n v="2053"/>
    <n v="615.9"/>
  </r>
  <r>
    <n v="99182"/>
    <x v="258"/>
    <n v="395"/>
    <n v="20"/>
    <s v="Fashion"/>
    <s v="Shirt"/>
    <n v="3"/>
    <n v="197.66"/>
    <s v="Bank Transfer"/>
    <s v="Garciahaven"/>
    <m/>
    <s v="F"/>
    <n v="23"/>
    <n v="592.98"/>
    <n v="177.89400000000001"/>
  </r>
  <r>
    <n v="64425"/>
    <x v="258"/>
    <n v="780"/>
    <n v="50"/>
    <s v="Sports &amp; Outdoors"/>
    <s v="Soccer Ball"/>
    <n v="5"/>
    <n v="203.93"/>
    <s v="Bank Transfer"/>
    <s v="New Ronniebury"/>
    <n v="5"/>
    <s v="M"/>
    <n v="22"/>
    <n v="1019.6500000000001"/>
    <n v="305.89500000000004"/>
  </r>
  <r>
    <n v="90540"/>
    <x v="258"/>
    <n v="259"/>
    <n v="20"/>
    <s v="Fashion"/>
    <s v="Dress"/>
    <n v="4"/>
    <n v="438.66"/>
    <s v="Credit Card"/>
    <s v="Port Dawn"/>
    <n v="4"/>
    <s v="M"/>
    <n v="49"/>
    <n v="1754.64"/>
    <n v="526.39200000000005"/>
  </r>
  <r>
    <n v="14046"/>
    <x v="258"/>
    <n v="689"/>
    <n v="20"/>
    <s v="Fashion"/>
    <s v="Pants"/>
    <n v="4"/>
    <n v="125.91"/>
    <s v="Bank Transfer"/>
    <s v="North Amandaland"/>
    <n v="5"/>
    <s v="F"/>
    <n v="24"/>
    <n v="503.64"/>
    <n v="151.09199999999998"/>
  </r>
  <r>
    <n v="60063"/>
    <x v="258"/>
    <n v="173"/>
    <n v="50"/>
    <s v="Sports &amp; Outdoors"/>
    <s v="Basketball"/>
    <n v="1"/>
    <n v="432.67"/>
    <s v="Bank Transfer"/>
    <s v="Jacobsside"/>
    <n v="5"/>
    <s v="F"/>
    <n v="68"/>
    <n v="432.67"/>
    <n v="129.80099999999999"/>
  </r>
  <r>
    <n v="61650"/>
    <x v="258"/>
    <n v="804"/>
    <n v="10"/>
    <s v="Electronics"/>
    <s v="Smartphone"/>
    <n v="2"/>
    <n v="197.96"/>
    <s v="Credit Card"/>
    <s v="Bradleyville"/>
    <n v="4"/>
    <s v="M"/>
    <n v="29"/>
    <n v="395.92"/>
    <n v="118.776"/>
  </r>
  <r>
    <n v="76076"/>
    <x v="259"/>
    <n v="184"/>
    <n v="10"/>
    <s v="Electronics"/>
    <s v="Laptop"/>
    <n v="4"/>
    <n v="457.54"/>
    <s v="Bank Transfer"/>
    <s v="Suttonfort"/>
    <n v="4"/>
    <s v="F"/>
    <n v="29"/>
    <n v="1830.16"/>
    <n v="549.048"/>
  </r>
  <r>
    <n v="20025"/>
    <x v="260"/>
    <n v="681"/>
    <n v="50"/>
    <s v="Sports &amp; Outdoors"/>
    <s v="Yoga Mat"/>
    <n v="2"/>
    <n v="68.510000000000005"/>
    <s v="Cash on Delivery"/>
    <s v="North Debraland"/>
    <n v="5"/>
    <s v="M"/>
    <n v="60"/>
    <n v="137.02000000000001"/>
    <n v="41.106000000000002"/>
  </r>
  <r>
    <n v="53649"/>
    <x v="261"/>
    <n v="742"/>
    <n v="50"/>
    <s v="Sports &amp; Outdoors"/>
    <s v="Yoga Mat"/>
    <n v="1"/>
    <n v="329.05"/>
    <s v="Cash on Delivery"/>
    <s v="Rebeccahaven"/>
    <n v="4"/>
    <s v="F"/>
    <n v="56"/>
    <n v="329.05"/>
    <n v="98.715000000000003"/>
  </r>
  <r>
    <n v="36989"/>
    <x v="261"/>
    <n v="639"/>
    <n v="10"/>
    <s v="Electronics"/>
    <s v="Smartwatch"/>
    <n v="3"/>
    <n v="185.56"/>
    <s v="Credit Card"/>
    <s v="Andersonfort"/>
    <n v="4"/>
    <s v="F"/>
    <n v="48"/>
    <n v="556.68000000000006"/>
    <n v="167.00400000000002"/>
  </r>
  <r>
    <n v="14520"/>
    <x v="261"/>
    <n v="222"/>
    <n v="30"/>
    <s v="Home &amp; Living"/>
    <s v="Blanket"/>
    <n v="3"/>
    <n v="372.61"/>
    <s v="Credit Card"/>
    <s v="Brookshaven"/>
    <n v="1"/>
    <s v="F"/>
    <n v="69"/>
    <n v="1117.83"/>
    <n v="335.34899999999999"/>
  </r>
  <r>
    <n v="44020"/>
    <x v="262"/>
    <n v="798"/>
    <n v="10"/>
    <s v="Electronics"/>
    <s v="Laptop"/>
    <n v="5"/>
    <n v="164.62"/>
    <s v="Cash on Delivery"/>
    <s v="New Michaeltown"/>
    <n v="4"/>
    <s v="F"/>
    <n v="62"/>
    <n v="823.1"/>
    <n v="246.93"/>
  </r>
  <r>
    <n v="81512"/>
    <x v="262"/>
    <n v="976"/>
    <n v="50"/>
    <s v="Sports &amp; Outdoors"/>
    <s v="Soccer Ball"/>
    <n v="3"/>
    <n v="76.44"/>
    <s v="Bank Transfer"/>
    <s v="East Joshua"/>
    <n v="5"/>
    <m/>
    <n v="49"/>
    <n v="229.32"/>
    <n v="68.795999999999992"/>
  </r>
  <r>
    <n v="21745"/>
    <x v="262"/>
    <n v="560"/>
    <n v="40"/>
    <s v="Books &amp; Stationery"/>
    <s v="Notebook"/>
    <n v="5"/>
    <n v="124.91"/>
    <s v="Credit Card"/>
    <s v="Schultzborough"/>
    <n v="5"/>
    <m/>
    <n v="54"/>
    <n v="624.54999999999995"/>
    <n v="187.36499999999998"/>
  </r>
  <r>
    <n v="11645"/>
    <x v="262"/>
    <n v="642"/>
    <n v="20"/>
    <s v="Fashion"/>
    <s v="T-shirt"/>
    <n v="5"/>
    <n v="367.65"/>
    <s v="Cash on Delivery"/>
    <s v="Kelseyton"/>
    <n v="5"/>
    <s v="F"/>
    <n v="65"/>
    <n v="1838.25"/>
    <n v="551.47500000000002"/>
  </r>
  <r>
    <n v="69719"/>
    <x v="263"/>
    <n v="941"/>
    <n v="10"/>
    <s v="Electronics"/>
    <s v="Smartphone"/>
    <n v="2"/>
    <n v="344.04"/>
    <s v="Cash on Delivery"/>
    <s v="North Whitneytown"/>
    <n v="5"/>
    <s v="F"/>
    <n v="29"/>
    <n v="688.08"/>
    <n v="206.42400000000001"/>
  </r>
  <r>
    <n v="33743"/>
    <x v="263"/>
    <n v="405"/>
    <n v="50"/>
    <s v="Sports &amp; Outdoors"/>
    <s v="Basketball"/>
    <n v="3"/>
    <n v="405.54"/>
    <s v="Cash on Delivery"/>
    <s v="New Jonathan"/>
    <n v="5"/>
    <s v="F"/>
    <n v="64"/>
    <n v="1216.6200000000001"/>
    <n v="364.98600000000005"/>
  </r>
  <r>
    <n v="63024"/>
    <x v="263"/>
    <n v="990"/>
    <n v="30"/>
    <s v="Home &amp; Living"/>
    <s v="Blanket"/>
    <n v="3"/>
    <n v="480.65"/>
    <s v="Credit Card"/>
    <s v="Kimberlymouth"/>
    <n v="5"/>
    <s v="F"/>
    <n v="73"/>
    <n v="1441.9499999999998"/>
    <n v="432.58499999999992"/>
  </r>
  <r>
    <n v="84629"/>
    <x v="263"/>
    <n v="246"/>
    <n v="30"/>
    <s v="Home &amp; Living"/>
    <s v="Pillow"/>
    <n v="4"/>
    <n v="320.72000000000003"/>
    <s v="Bank Transfer"/>
    <s v="Fritzchester"/>
    <n v="4"/>
    <s v="M"/>
    <n v="75"/>
    <n v="1282.8800000000001"/>
    <n v="384.86400000000003"/>
  </r>
  <r>
    <n v="30444"/>
    <x v="263"/>
    <n v="651"/>
    <n v="30"/>
    <s v="Home &amp; Living"/>
    <s v="Vase"/>
    <n v="4"/>
    <n v="61.91"/>
    <s v="Credit Card"/>
    <s v="Alexanderborough"/>
    <n v="2"/>
    <s v="F"/>
    <n v="38"/>
    <n v="247.64"/>
    <n v="74.291999999999987"/>
  </r>
  <r>
    <n v="62824"/>
    <x v="264"/>
    <n v="629"/>
    <n v="30"/>
    <s v="Home &amp; Living"/>
    <s v="Blanket"/>
    <n v="5"/>
    <n v="321.94"/>
    <s v="Cash on Delivery"/>
    <s v="Port Jo"/>
    <n v="2"/>
    <s v="F"/>
    <n v="63"/>
    <n v="1609.7"/>
    <n v="482.90999999999997"/>
  </r>
  <r>
    <n v="15824"/>
    <x v="264"/>
    <n v="119"/>
    <n v="10"/>
    <s v="Electronics"/>
    <s v="Laptop"/>
    <n v="2"/>
    <n v="256.91000000000003"/>
    <s v="Bank Transfer"/>
    <s v="Vincenttown"/>
    <n v="1"/>
    <m/>
    <n v="58"/>
    <n v="513.82000000000005"/>
    <n v="154.14600000000002"/>
  </r>
  <r>
    <n v="49580"/>
    <x v="264"/>
    <n v="828"/>
    <n v="40"/>
    <s v="Books &amp; Stationery"/>
    <s v="Eraser"/>
    <n v="1"/>
    <n v="373.83"/>
    <s v="Bank Transfer"/>
    <s v="Watsonchester"/>
    <n v="4"/>
    <s v="M"/>
    <n v="30"/>
    <n v="373.83"/>
    <n v="112.14899999999999"/>
  </r>
  <r>
    <n v="73507"/>
    <x v="264"/>
    <n v="133"/>
    <n v="20"/>
    <s v="Fashion"/>
    <s v="T-shirt"/>
    <n v="4"/>
    <n v="54.68"/>
    <s v="Cash on Delivery"/>
    <s v="Beckerview"/>
    <n v="4"/>
    <s v="M"/>
    <n v="74"/>
    <n v="218.72"/>
    <n v="65.616"/>
  </r>
  <r>
    <n v="39027"/>
    <x v="265"/>
    <n v="757"/>
    <n v="30"/>
    <s v="Home &amp; Living"/>
    <s v="Carpet"/>
    <n v="1"/>
    <n v="274.58999999999997"/>
    <s v="Bank Transfer"/>
    <s v="Russellton"/>
    <m/>
    <s v="M"/>
    <n v="23"/>
    <n v="274.58999999999997"/>
    <n v="82.376999999999995"/>
  </r>
  <r>
    <n v="80835"/>
    <x v="265"/>
    <n v="114"/>
    <n v="20"/>
    <s v="Fashion"/>
    <s v="T-shirt"/>
    <n v="3"/>
    <n v="240.05"/>
    <s v="Bank Transfer"/>
    <s v="Lake Carla"/>
    <n v="3"/>
    <s v="F"/>
    <n v="40"/>
    <n v="720.15000000000009"/>
    <n v="216.04500000000002"/>
  </r>
  <r>
    <n v="72727"/>
    <x v="265"/>
    <n v="773"/>
    <n v="20"/>
    <s v="Fashion"/>
    <s v="Shirt"/>
    <n v="3"/>
    <n v="153.94999999999999"/>
    <s v="Credit Card"/>
    <s v="Brownland"/>
    <m/>
    <s v="F"/>
    <n v="42"/>
    <n v="461.84999999999997"/>
    <n v="138.55499999999998"/>
  </r>
  <r>
    <n v="17305"/>
    <x v="265"/>
    <n v="914"/>
    <n v="20"/>
    <s v="Fashion"/>
    <s v="Pants"/>
    <n v="5"/>
    <n v="104.05"/>
    <s v="Cash on Delivery"/>
    <s v="Cabrerashire"/>
    <n v="2"/>
    <s v="M"/>
    <n v="28"/>
    <n v="520.25"/>
    <n v="156.07499999999999"/>
  </r>
  <r>
    <n v="54917"/>
    <x v="265"/>
    <n v="405"/>
    <n v="20"/>
    <s v="Fashion"/>
    <s v="Pants"/>
    <n v="4"/>
    <n v="157.24"/>
    <s v="Cash on Delivery"/>
    <s v="Christopherburgh"/>
    <n v="4"/>
    <s v="F"/>
    <n v="62"/>
    <n v="628.96"/>
    <n v="188.68800000000002"/>
  </r>
  <r>
    <n v="27123"/>
    <x v="266"/>
    <n v="144"/>
    <n v="20"/>
    <s v="Fashion"/>
    <s v="Dress"/>
    <n v="3"/>
    <n v="162.69999999999999"/>
    <s v="Bank Transfer"/>
    <s v="Saunderston"/>
    <n v="5"/>
    <s v="F"/>
    <n v="18"/>
    <n v="488.09999999999997"/>
    <n v="146.42999999999998"/>
  </r>
  <r>
    <n v="56589"/>
    <x v="266"/>
    <n v="969"/>
    <n v="20"/>
    <s v="Fashion"/>
    <s v="Shirt"/>
    <n v="1"/>
    <n v="275.82"/>
    <s v="Cash on Delivery"/>
    <s v="Priceburgh"/>
    <n v="3"/>
    <s v="M"/>
    <n v="18"/>
    <n v="275.82"/>
    <n v="82.745999999999995"/>
  </r>
  <r>
    <n v="13356"/>
    <x v="266"/>
    <n v="232"/>
    <n v="50"/>
    <s v="Sports &amp; Outdoors"/>
    <s v="Basketball"/>
    <n v="5"/>
    <n v="408.95"/>
    <s v="Cash on Delivery"/>
    <s v="East Joseph"/>
    <n v="2"/>
    <s v="M"/>
    <n v="38"/>
    <n v="2044.75"/>
    <n v="613.42499999999995"/>
  </r>
  <r>
    <n v="43115"/>
    <x v="267"/>
    <n v="144"/>
    <n v="50"/>
    <s v="Sports &amp; Outdoors"/>
    <s v="Soccer Ball"/>
    <n v="3"/>
    <n v="201.32"/>
    <s v="Bank Transfer"/>
    <s v="New Joshua"/>
    <m/>
    <s v="M"/>
    <n v="65"/>
    <n v="603.96"/>
    <n v="181.18800000000002"/>
  </r>
  <r>
    <n v="99923"/>
    <x v="267"/>
    <n v="145"/>
    <n v="20"/>
    <s v="Fashion"/>
    <s v="T-shirt"/>
    <n v="3"/>
    <n v="164.64"/>
    <s v="Bank Transfer"/>
    <s v="Port Thomasstad"/>
    <n v="4"/>
    <m/>
    <n v="66"/>
    <n v="493.91999999999996"/>
    <n v="148.17599999999999"/>
  </r>
  <r>
    <n v="94597"/>
    <x v="267"/>
    <n v="241"/>
    <n v="10"/>
    <s v="Electronics"/>
    <s v="Headphones"/>
    <n v="2"/>
    <n v="302.58999999999997"/>
    <s v="Credit Card"/>
    <s v="Griffintown"/>
    <n v="5"/>
    <s v="F"/>
    <n v="28"/>
    <n v="605.17999999999995"/>
    <n v="181.55399999999997"/>
  </r>
  <r>
    <n v="73165"/>
    <x v="268"/>
    <n v="237"/>
    <n v="40"/>
    <s v="Books &amp; Stationery"/>
    <s v="Eraser"/>
    <n v="2"/>
    <n v="240.26"/>
    <s v="Credit Card"/>
    <s v="Mariaborough"/>
    <n v="1"/>
    <s v="F"/>
    <n v="48"/>
    <n v="480.52"/>
    <n v="144.15599999999998"/>
  </r>
  <r>
    <n v="95874"/>
    <x v="269"/>
    <n v="424"/>
    <n v="50"/>
    <s v="Sports &amp; Outdoors"/>
    <s v="Soccer Ball"/>
    <n v="3"/>
    <n v="303.48"/>
    <s v="Bank Transfer"/>
    <s v="East Christopherborough"/>
    <m/>
    <m/>
    <n v="48"/>
    <n v="910.44"/>
    <n v="273.13200000000001"/>
  </r>
  <r>
    <n v="25952"/>
    <x v="269"/>
    <n v="448"/>
    <n v="20"/>
    <s v="Fashion"/>
    <s v="Pants"/>
    <n v="5"/>
    <n v="287.5"/>
    <s v="Bank Transfer"/>
    <s v="Amandafort"/>
    <m/>
    <s v="F"/>
    <n v="73"/>
    <n v="1437.5"/>
    <n v="431.25"/>
  </r>
  <r>
    <n v="71870"/>
    <x v="269"/>
    <n v="522"/>
    <n v="10"/>
    <s v="Electronics"/>
    <s v="Smartwatch"/>
    <n v="3"/>
    <n v="286.01"/>
    <s v="Cash on Delivery"/>
    <s v="West Justin"/>
    <n v="5"/>
    <s v="M"/>
    <n v="56"/>
    <n v="858.03"/>
    <n v="257.40899999999999"/>
  </r>
  <r>
    <n v="74218"/>
    <x v="269"/>
    <n v="631"/>
    <n v="40"/>
    <s v="Books &amp; Stationery"/>
    <s v="Story Book"/>
    <n v="1"/>
    <n v="309.55"/>
    <s v="Bank Transfer"/>
    <s v="New Natalie"/>
    <n v="5"/>
    <s v="F"/>
    <n v="52"/>
    <n v="309.55"/>
    <n v="92.864999999999995"/>
  </r>
  <r>
    <n v="15625"/>
    <x v="270"/>
    <n v="852"/>
    <n v="20"/>
    <s v="Fashion"/>
    <s v="T-shirt"/>
    <n v="4"/>
    <n v="380.53"/>
    <s v="Bank Transfer"/>
    <s v="Williamsfort"/>
    <n v="4"/>
    <s v="F"/>
    <n v="45"/>
    <n v="1522.12"/>
    <n v="456.63599999999997"/>
  </r>
  <r>
    <n v="40338"/>
    <x v="270"/>
    <n v="310"/>
    <n v="40"/>
    <s v="Books &amp; Stationery"/>
    <s v="Pen"/>
    <n v="5"/>
    <n v="79.66"/>
    <s v="Cash on Delivery"/>
    <s v="South Matthew"/>
    <n v="2"/>
    <s v="M"/>
    <n v="36"/>
    <n v="398.29999999999995"/>
    <n v="119.48999999999998"/>
  </r>
  <r>
    <n v="37729"/>
    <x v="270"/>
    <n v="180"/>
    <n v="30"/>
    <s v="Home &amp; Living"/>
    <s v="Carpet"/>
    <n v="2"/>
    <n v="127.95"/>
    <s v="Cash on Delivery"/>
    <s v="East Erikton"/>
    <n v="1"/>
    <s v="F"/>
    <n v="48"/>
    <n v="255.9"/>
    <n v="76.77"/>
  </r>
  <r>
    <n v="82793"/>
    <x v="271"/>
    <n v="261"/>
    <n v="30"/>
    <s v="Home &amp; Living"/>
    <s v="Blanket"/>
    <n v="4"/>
    <n v="321.18"/>
    <s v="Cash on Delivery"/>
    <s v="Ravenland"/>
    <n v="2"/>
    <s v="F"/>
    <n v="49"/>
    <n v="1284.72"/>
    <n v="385.416"/>
  </r>
  <r>
    <n v="73269"/>
    <x v="272"/>
    <n v="748"/>
    <n v="10"/>
    <s v="Electronics"/>
    <s v="Smartwatch"/>
    <n v="2"/>
    <n v="301.10000000000002"/>
    <s v="Bank Transfer"/>
    <s v="Conniebury"/>
    <n v="4"/>
    <s v="F"/>
    <n v="24"/>
    <n v="602.20000000000005"/>
    <n v="180.66"/>
  </r>
  <r>
    <n v="35219"/>
    <x v="272"/>
    <n v="739"/>
    <n v="40"/>
    <s v="Books &amp; Stationery"/>
    <s v="Notebook"/>
    <n v="4"/>
    <n v="410.06"/>
    <s v="Cash on Delivery"/>
    <s v="East Lucas"/>
    <n v="1"/>
    <s v="M"/>
    <n v="21"/>
    <n v="1640.24"/>
    <n v="492.072"/>
  </r>
  <r>
    <n v="59338"/>
    <x v="272"/>
    <n v="937"/>
    <n v="30"/>
    <s v="Home &amp; Living"/>
    <s v="Painting"/>
    <n v="4"/>
    <n v="478.94"/>
    <s v="Credit Card"/>
    <s v="Josephton"/>
    <n v="1"/>
    <s v="M"/>
    <n v="48"/>
    <n v="1915.76"/>
    <n v="574.72799999999995"/>
  </r>
  <r>
    <n v="40849"/>
    <x v="272"/>
    <n v="554"/>
    <n v="10"/>
    <s v="Electronics"/>
    <s v="Tablet"/>
    <n v="4"/>
    <n v="59.93"/>
    <s v="Credit Card"/>
    <s v="North Julie"/>
    <m/>
    <s v="M"/>
    <n v="23"/>
    <n v="239.72"/>
    <n v="71.915999999999997"/>
  </r>
  <r>
    <n v="13431"/>
    <x v="272"/>
    <n v="591"/>
    <n v="20"/>
    <s v="Fashion"/>
    <s v="T-shirt"/>
    <n v="3"/>
    <n v="206.38"/>
    <s v="Bank Transfer"/>
    <s v="Port Jason"/>
    <n v="2"/>
    <s v="M"/>
    <n v="63"/>
    <n v="619.14"/>
    <n v="185.74199999999999"/>
  </r>
  <r>
    <n v="88937"/>
    <x v="273"/>
    <n v="504"/>
    <n v="30"/>
    <s v="Home &amp; Living"/>
    <s v="Vase"/>
    <n v="2"/>
    <n v="240.14"/>
    <s v="Bank Transfer"/>
    <s v="East Veronicaville"/>
    <n v="5"/>
    <s v="M"/>
    <n v="34"/>
    <n v="480.28"/>
    <n v="144.08399999999997"/>
  </r>
  <r>
    <n v="99133"/>
    <x v="274"/>
    <n v="928"/>
    <n v="50"/>
    <s v="Sports &amp; Outdoors"/>
    <s v="Tent"/>
    <n v="1"/>
    <n v="63.44"/>
    <s v="Cash on Delivery"/>
    <s v="Brianfort"/>
    <n v="1"/>
    <s v="F"/>
    <n v="26"/>
    <n v="63.44"/>
    <n v="19.032"/>
  </r>
  <r>
    <n v="16865"/>
    <x v="275"/>
    <n v="991"/>
    <n v="30"/>
    <s v="Home &amp; Living"/>
    <s v="Pillow"/>
    <n v="3"/>
    <n v="208.47"/>
    <s v="Bank Transfer"/>
    <s v="Port Stephanie"/>
    <m/>
    <m/>
    <n v="39"/>
    <n v="625.41"/>
    <n v="187.62299999999999"/>
  </r>
  <r>
    <n v="24196"/>
    <x v="275"/>
    <n v="229"/>
    <n v="10"/>
    <s v="Electronics"/>
    <s v="Smartphone"/>
    <n v="1"/>
    <n v="231.51"/>
    <s v="Credit Card"/>
    <s v="Timothyland"/>
    <n v="5"/>
    <s v="M"/>
    <n v="41"/>
    <n v="231.51"/>
    <n v="69.452999999999989"/>
  </r>
  <r>
    <n v="93038"/>
    <x v="275"/>
    <n v="847"/>
    <n v="40"/>
    <s v="Books &amp; Stationery"/>
    <s v="Story Book"/>
    <n v="5"/>
    <n v="125.08"/>
    <s v="Credit Card"/>
    <s v="North Michelletown"/>
    <n v="5"/>
    <s v="M"/>
    <n v="36"/>
    <n v="625.4"/>
    <n v="187.61999999999998"/>
  </r>
  <r>
    <n v="89875"/>
    <x v="275"/>
    <n v="759"/>
    <n v="40"/>
    <s v="Books &amp; Stationery"/>
    <s v="Novel"/>
    <n v="1"/>
    <n v="233.24"/>
    <s v="Cash on Delivery"/>
    <s v="East Jennifershire"/>
    <n v="5"/>
    <s v="F"/>
    <n v="30"/>
    <n v="233.24"/>
    <n v="69.971999999999994"/>
  </r>
  <r>
    <n v="60807"/>
    <x v="276"/>
    <n v="798"/>
    <n v="20"/>
    <s v="Fashion"/>
    <s v="Skirt"/>
    <n v="1"/>
    <n v="280.12"/>
    <s v="Bank Transfer"/>
    <s v="East Andrea"/>
    <m/>
    <s v="F"/>
    <n v="39"/>
    <n v="280.12"/>
    <n v="84.036000000000001"/>
  </r>
  <r>
    <n v="57585"/>
    <x v="276"/>
    <n v="394"/>
    <n v="40"/>
    <s v="Books &amp; Stationery"/>
    <s v="Pen"/>
    <n v="4"/>
    <n v="494.32"/>
    <s v="Cash on Delivery"/>
    <s v="Lauraburgh"/>
    <n v="5"/>
    <s v="F"/>
    <n v="50"/>
    <n v="1977.28"/>
    <n v="593.18399999999997"/>
  </r>
  <r>
    <n v="51301"/>
    <x v="276"/>
    <n v="398"/>
    <n v="30"/>
    <s v="Home &amp; Living"/>
    <s v="Vase"/>
    <n v="5"/>
    <n v="73.19"/>
    <s v="Cash on Delivery"/>
    <s v="Henrystad"/>
    <n v="5"/>
    <s v="M"/>
    <n v="43"/>
    <n v="365.95"/>
    <n v="109.785"/>
  </r>
  <r>
    <n v="77157"/>
    <x v="276"/>
    <n v="635"/>
    <n v="30"/>
    <s v="Home &amp; Living"/>
    <s v="Painting"/>
    <n v="4"/>
    <n v="323.89"/>
    <s v="Bank Transfer"/>
    <s v="Port Pamelatown"/>
    <n v="2"/>
    <s v="F"/>
    <n v="61"/>
    <n v="1295.56"/>
    <n v="388.66799999999995"/>
  </r>
  <r>
    <n v="27148"/>
    <x v="276"/>
    <n v="635"/>
    <n v="30"/>
    <s v="Home &amp; Living"/>
    <s v="Carpet"/>
    <n v="1"/>
    <n v="235.88"/>
    <s v="Cash on Delivery"/>
    <s v="Kurtfurt"/>
    <n v="4"/>
    <s v="F"/>
    <n v="40"/>
    <n v="235.88"/>
    <n v="70.763999999999996"/>
  </r>
  <r>
    <n v="60808"/>
    <x v="277"/>
    <n v="424"/>
    <n v="50"/>
    <s v="Sports &amp; Outdoors"/>
    <s v="Soccer Ball"/>
    <n v="3"/>
    <n v="63.59"/>
    <s v="Credit Card"/>
    <s v="Crawfordport"/>
    <n v="5"/>
    <s v="M"/>
    <n v="19"/>
    <n v="190.77"/>
    <n v="57.231000000000002"/>
  </r>
  <r>
    <n v="32947"/>
    <x v="278"/>
    <n v="387"/>
    <n v="40"/>
    <s v="Books &amp; Stationery"/>
    <s v="Story Book"/>
    <n v="2"/>
    <n v="308.41000000000003"/>
    <s v="Bank Transfer"/>
    <s v="Morrisonmouth"/>
    <n v="5"/>
    <m/>
    <n v="41"/>
    <n v="616.82000000000005"/>
    <n v="185.04600000000002"/>
  </r>
  <r>
    <n v="27584"/>
    <x v="278"/>
    <n v="366"/>
    <n v="40"/>
    <s v="Books &amp; Stationery"/>
    <s v="Eraser"/>
    <n v="1"/>
    <n v="79.8"/>
    <s v="Credit Card"/>
    <s v="Port Diana"/>
    <n v="1"/>
    <s v="F"/>
    <n v="51"/>
    <n v="79.8"/>
    <n v="23.939999999999998"/>
  </r>
  <r>
    <n v="71289"/>
    <x v="279"/>
    <n v="815"/>
    <n v="30"/>
    <s v="Home &amp; Living"/>
    <s v="Vase"/>
    <n v="1"/>
    <n v="450.81"/>
    <s v="Bank Transfer"/>
    <s v="East Kylie"/>
    <m/>
    <s v="M"/>
    <n v="50"/>
    <n v="450.81"/>
    <n v="135.24299999999999"/>
  </r>
  <r>
    <n v="19238"/>
    <x v="279"/>
    <n v="517"/>
    <n v="10"/>
    <s v="Electronics"/>
    <s v="Headphones"/>
    <n v="2"/>
    <n v="108.34"/>
    <s v="Cash on Delivery"/>
    <s v="Donaldside"/>
    <n v="5"/>
    <s v="M"/>
    <n v="70"/>
    <n v="216.68"/>
    <n v="65.004000000000005"/>
  </r>
  <r>
    <n v="21391"/>
    <x v="279"/>
    <n v="143"/>
    <n v="10"/>
    <s v="Electronics"/>
    <s v="Smartwatch"/>
    <n v="1"/>
    <n v="63.56"/>
    <s v="Bank Transfer"/>
    <s v="Port Dana"/>
    <n v="5"/>
    <s v="M"/>
    <n v="28"/>
    <n v="63.56"/>
    <n v="19.068000000000001"/>
  </r>
  <r>
    <n v="36732"/>
    <x v="280"/>
    <n v="704"/>
    <n v="40"/>
    <s v="Books &amp; Stationery"/>
    <s v="Eraser"/>
    <n v="3"/>
    <n v="90.91"/>
    <s v="Cash on Delivery"/>
    <s v="North Carrie"/>
    <n v="5"/>
    <s v="M"/>
    <n v="42"/>
    <n v="272.73"/>
    <n v="81.819000000000003"/>
  </r>
  <r>
    <n v="76569"/>
    <x v="280"/>
    <n v="447"/>
    <n v="30"/>
    <s v="Home &amp; Living"/>
    <s v="Painting"/>
    <n v="1"/>
    <n v="428.62"/>
    <s v="Bank Transfer"/>
    <s v="New Christopherside"/>
    <n v="4"/>
    <s v="F"/>
    <n v="56"/>
    <n v="428.62"/>
    <n v="128.58599999999998"/>
  </r>
  <r>
    <n v="18860"/>
    <x v="281"/>
    <n v="860"/>
    <n v="20"/>
    <s v="Fashion"/>
    <s v="Skirt"/>
    <n v="1"/>
    <n v="145.57"/>
    <s v="Bank Transfer"/>
    <s v="West Austin"/>
    <m/>
    <s v="F"/>
    <n v="61"/>
    <n v="145.57"/>
    <n v="43.670999999999999"/>
  </r>
  <r>
    <n v="81507"/>
    <x v="281"/>
    <n v="611"/>
    <n v="20"/>
    <s v="Fashion"/>
    <s v="Skirt"/>
    <n v="1"/>
    <n v="124.01"/>
    <s v="Cash on Delivery"/>
    <s v="New Josephland"/>
    <n v="5"/>
    <s v="F"/>
    <n v="58"/>
    <n v="124.01"/>
    <n v="37.203000000000003"/>
  </r>
  <r>
    <n v="48551"/>
    <x v="282"/>
    <n v="374"/>
    <n v="40"/>
    <s v="Books &amp; Stationery"/>
    <s v="Story Book"/>
    <n v="3"/>
    <n v="215.43"/>
    <s v="Cash on Delivery"/>
    <s v="Deborahview"/>
    <n v="5"/>
    <s v="F"/>
    <n v="69"/>
    <n v="646.29"/>
    <n v="193.88699999999997"/>
  </r>
  <r>
    <n v="45242"/>
    <x v="282"/>
    <n v="471"/>
    <n v="20"/>
    <s v="Fashion"/>
    <s v="Pants"/>
    <n v="4"/>
    <n v="375.91"/>
    <s v="Cash on Delivery"/>
    <s v="Port Melissaborough"/>
    <n v="2"/>
    <s v="F"/>
    <n v="73"/>
    <n v="1503.64"/>
    <n v="451.09200000000004"/>
  </r>
  <r>
    <n v="45307"/>
    <x v="282"/>
    <n v="162"/>
    <n v="40"/>
    <s v="Books &amp; Stationery"/>
    <s v="Novel"/>
    <n v="1"/>
    <n v="69.760000000000005"/>
    <s v="Cash on Delivery"/>
    <s v="West Anne"/>
    <n v="1"/>
    <s v="F"/>
    <n v="68"/>
    <n v="69.760000000000005"/>
    <n v="20.928000000000001"/>
  </r>
  <r>
    <n v="54476"/>
    <x v="282"/>
    <n v="678"/>
    <n v="10"/>
    <s v="Electronics"/>
    <s v="Smartphone"/>
    <n v="2"/>
    <n v="184.2"/>
    <s v="Credit Card"/>
    <s v="Tiffanyshire"/>
    <n v="5"/>
    <s v="F"/>
    <n v="21"/>
    <n v="368.4"/>
    <n v="110.52"/>
  </r>
  <r>
    <n v="65284"/>
    <x v="282"/>
    <n v="290"/>
    <n v="20"/>
    <s v="Fashion"/>
    <s v="Skirt"/>
    <n v="3"/>
    <n v="127.78"/>
    <s v="Credit Card"/>
    <s v="Smithstad"/>
    <n v="4"/>
    <s v="M"/>
    <n v="75"/>
    <n v="383.34000000000003"/>
    <n v="115.00200000000001"/>
  </r>
  <r>
    <n v="62821"/>
    <x v="283"/>
    <n v="146"/>
    <n v="10"/>
    <s v="Electronics"/>
    <s v="Tablet"/>
    <n v="5"/>
    <n v="184.27"/>
    <s v="Credit Card"/>
    <s v="Larsonburgh"/>
    <n v="2"/>
    <s v="F"/>
    <n v="36"/>
    <n v="921.35"/>
    <n v="276.40499999999997"/>
  </r>
  <r>
    <n v="45059"/>
    <x v="283"/>
    <n v="856"/>
    <n v="50"/>
    <s v="Sports &amp; Outdoors"/>
    <s v="Yoga Mat"/>
    <n v="1"/>
    <n v="230.09"/>
    <s v="Credit Card"/>
    <s v="Lake Lorichester"/>
    <n v="1"/>
    <s v="M"/>
    <n v="49"/>
    <n v="230.09"/>
    <n v="69.027000000000001"/>
  </r>
  <r>
    <n v="34358"/>
    <x v="284"/>
    <n v="945"/>
    <n v="20"/>
    <s v="Fashion"/>
    <s v="Shirt"/>
    <n v="1"/>
    <n v="27.65"/>
    <s v="Bank Transfer"/>
    <s v="Gonzalezshire"/>
    <n v="4"/>
    <s v="M"/>
    <n v="50"/>
    <n v="27.65"/>
    <n v="8.2949999999999999"/>
  </r>
  <r>
    <n v="77934"/>
    <x v="284"/>
    <n v="695"/>
    <n v="20"/>
    <s v="Fashion"/>
    <s v="Skirt"/>
    <n v="1"/>
    <n v="66.239999999999995"/>
    <s v="Credit Card"/>
    <s v="Holmesland"/>
    <n v="5"/>
    <m/>
    <n v="27"/>
    <n v="66.239999999999995"/>
    <n v="19.871999999999996"/>
  </r>
  <r>
    <n v="47485"/>
    <x v="284"/>
    <n v="868"/>
    <n v="30"/>
    <s v="Home &amp; Living"/>
    <s v="Carpet"/>
    <n v="1"/>
    <n v="55.6"/>
    <s v="Cash on Delivery"/>
    <s v="Tatemouth"/>
    <n v="5"/>
    <s v="F"/>
    <n v="55"/>
    <n v="55.6"/>
    <n v="16.68"/>
  </r>
  <r>
    <n v="86737"/>
    <x v="284"/>
    <n v="352"/>
    <n v="20"/>
    <s v="Fashion"/>
    <s v="Shirt"/>
    <n v="1"/>
    <n v="424.55"/>
    <s v="Credit Card"/>
    <s v="Port Matthew"/>
    <n v="3"/>
    <s v="F"/>
    <n v="24"/>
    <n v="424.55"/>
    <n v="127.36499999999999"/>
  </r>
  <r>
    <n v="23094"/>
    <x v="285"/>
    <n v="658"/>
    <n v="10"/>
    <s v="Electronics"/>
    <s v="Laptop"/>
    <n v="2"/>
    <n v="43.03"/>
    <s v="Credit Card"/>
    <s v="Kristenland"/>
    <n v="5"/>
    <s v="M"/>
    <n v="56"/>
    <n v="86.06"/>
    <n v="25.818000000000001"/>
  </r>
  <r>
    <n v="49956"/>
    <x v="285"/>
    <n v="675"/>
    <n v="30"/>
    <s v="Home &amp; Living"/>
    <s v="Blanket"/>
    <n v="5"/>
    <n v="63.52"/>
    <s v="Cash on Delivery"/>
    <s v="Audreystad"/>
    <n v="4"/>
    <s v="M"/>
    <n v="24"/>
    <n v="317.60000000000002"/>
    <n v="95.28"/>
  </r>
  <r>
    <n v="79582"/>
    <x v="285"/>
    <n v="388"/>
    <n v="40"/>
    <s v="Books &amp; Stationery"/>
    <s v="Pen"/>
    <n v="1"/>
    <n v="78.2"/>
    <s v="Bank Transfer"/>
    <s v="Hughesfort"/>
    <n v="1"/>
    <s v="F"/>
    <n v="66"/>
    <n v="78.2"/>
    <n v="23.46"/>
  </r>
  <r>
    <n v="78277"/>
    <x v="285"/>
    <n v="157"/>
    <n v="30"/>
    <s v="Home &amp; Living"/>
    <s v="Pillow"/>
    <n v="4"/>
    <n v="406.99"/>
    <s v="Credit Card"/>
    <s v="Keithland"/>
    <m/>
    <s v="M"/>
    <n v="38"/>
    <n v="1627.96"/>
    <n v="488.38799999999998"/>
  </r>
  <r>
    <n v="21298"/>
    <x v="285"/>
    <n v="479"/>
    <n v="30"/>
    <s v="Home &amp; Living"/>
    <s v="Carpet"/>
    <n v="4"/>
    <n v="276.73"/>
    <s v="Credit Card"/>
    <s v="Wayneside"/>
    <n v="3"/>
    <s v="M"/>
    <n v="55"/>
    <n v="1106.92"/>
    <n v="332.07600000000002"/>
  </r>
  <r>
    <n v="92942"/>
    <x v="285"/>
    <n v="489"/>
    <n v="20"/>
    <s v="Fashion"/>
    <s v="Pants"/>
    <n v="3"/>
    <n v="171.95"/>
    <s v="Bank Transfer"/>
    <s v="Ashleyside"/>
    <n v="5"/>
    <s v="F"/>
    <n v="29"/>
    <n v="515.84999999999991"/>
    <n v="154.75499999999997"/>
  </r>
  <r>
    <n v="14911"/>
    <x v="286"/>
    <n v="589"/>
    <n v="30"/>
    <s v="Home &amp; Living"/>
    <s v="Painting"/>
    <n v="2"/>
    <n v="231.85"/>
    <s v="Credit Card"/>
    <s v="New Madeline"/>
    <m/>
    <s v="M"/>
    <n v="74"/>
    <n v="463.7"/>
    <n v="139.10999999999999"/>
  </r>
  <r>
    <n v="91976"/>
    <x v="287"/>
    <n v="321"/>
    <n v="10"/>
    <s v="Electronics"/>
    <s v="Headphones"/>
    <n v="2"/>
    <n v="143.88"/>
    <s v="Bank Transfer"/>
    <s v="Fernandezside"/>
    <n v="4"/>
    <s v="M"/>
    <n v="74"/>
    <n v="287.76"/>
    <n v="86.327999999999989"/>
  </r>
  <r>
    <n v="94108"/>
    <x v="288"/>
    <n v="837"/>
    <n v="30"/>
    <s v="Home &amp; Living"/>
    <s v="Painting"/>
    <n v="2"/>
    <n v="87.3"/>
    <s v="Cash on Delivery"/>
    <s v="Bowmanmouth"/>
    <n v="5"/>
    <s v="F"/>
    <n v="72"/>
    <n v="174.6"/>
    <n v="52.379999999999995"/>
  </r>
  <r>
    <n v="84063"/>
    <x v="288"/>
    <n v="744"/>
    <n v="50"/>
    <s v="Sports &amp; Outdoors"/>
    <s v="Running Shoes"/>
    <n v="5"/>
    <n v="321.04000000000002"/>
    <s v="Bank Transfer"/>
    <s v="Scottfort"/>
    <n v="5"/>
    <s v="F"/>
    <n v="43"/>
    <n v="1605.2"/>
    <n v="481.56"/>
  </r>
  <r>
    <n v="81896"/>
    <x v="288"/>
    <n v="105"/>
    <n v="40"/>
    <s v="Books &amp; Stationery"/>
    <s v="Story Book"/>
    <n v="2"/>
    <n v="307.58999999999997"/>
    <s v="Bank Transfer"/>
    <s v="New Matthew"/>
    <m/>
    <s v="M"/>
    <n v="21"/>
    <n v="615.17999999999995"/>
    <n v="184.55399999999997"/>
  </r>
  <r>
    <n v="54625"/>
    <x v="289"/>
    <n v="539"/>
    <n v="50"/>
    <s v="Sports &amp; Outdoors"/>
    <s v="Tent"/>
    <n v="3"/>
    <n v="99.16"/>
    <s v="Credit Card"/>
    <s v="West Tyler"/>
    <n v="4"/>
    <m/>
    <n v="70"/>
    <n v="297.48"/>
    <n v="89.244"/>
  </r>
  <r>
    <n v="12572"/>
    <x v="290"/>
    <n v="656"/>
    <n v="20"/>
    <s v="Fashion"/>
    <s v="T-shirt"/>
    <n v="4"/>
    <n v="226.45"/>
    <s v="Bank Transfer"/>
    <s v="North Zacharytown"/>
    <n v="5"/>
    <s v="M"/>
    <n v="46"/>
    <n v="905.8"/>
    <n v="271.73999999999995"/>
  </r>
  <r>
    <n v="71609"/>
    <x v="290"/>
    <n v="510"/>
    <n v="20"/>
    <s v="Fashion"/>
    <s v="Shirt"/>
    <n v="2"/>
    <n v="345.89"/>
    <s v="Bank Transfer"/>
    <s v="South Kristenbury"/>
    <m/>
    <s v="M"/>
    <n v="24"/>
    <n v="691.78"/>
    <n v="207.53399999999999"/>
  </r>
  <r>
    <n v="82168"/>
    <x v="291"/>
    <n v="653"/>
    <n v="40"/>
    <s v="Books &amp; Stationery"/>
    <s v="Eraser"/>
    <n v="2"/>
    <n v="473.57"/>
    <s v="Credit Card"/>
    <s v="West Matthewton"/>
    <n v="5"/>
    <s v="F"/>
    <n v="44"/>
    <n v="947.14"/>
    <n v="284.142"/>
  </r>
  <r>
    <n v="60144"/>
    <x v="291"/>
    <n v="287"/>
    <n v="10"/>
    <s v="Electronics"/>
    <s v="Smartphone"/>
    <n v="4"/>
    <n v="86.23"/>
    <s v="Cash on Delivery"/>
    <s v="Marshallside"/>
    <m/>
    <s v="M"/>
    <n v="65"/>
    <n v="344.92"/>
    <n v="103.476"/>
  </r>
  <r>
    <n v="32331"/>
    <x v="291"/>
    <n v="241"/>
    <n v="30"/>
    <s v="Home &amp; Living"/>
    <s v="Painting"/>
    <n v="2"/>
    <n v="487.93"/>
    <s v="Credit Card"/>
    <s v="Mitchellhaven"/>
    <n v="5"/>
    <s v="F"/>
    <n v="61"/>
    <n v="975.86"/>
    <n v="292.75799999999998"/>
  </r>
  <r>
    <n v="85009"/>
    <x v="291"/>
    <n v="260"/>
    <n v="50"/>
    <s v="Sports &amp; Outdoors"/>
    <s v="Tent"/>
    <n v="4"/>
    <n v="109.06"/>
    <s v="Cash on Delivery"/>
    <s v="Janetfort"/>
    <m/>
    <s v="M"/>
    <n v="21"/>
    <n v="436.24"/>
    <n v="130.87199999999999"/>
  </r>
  <r>
    <n v="21063"/>
    <x v="291"/>
    <n v="327"/>
    <n v="20"/>
    <s v="Fashion"/>
    <s v="Shirt"/>
    <n v="2"/>
    <n v="499.5"/>
    <s v="Bank Transfer"/>
    <s v="Dorseymouth"/>
    <m/>
    <s v="M"/>
    <n v="66"/>
    <n v="999"/>
    <n v="299.7"/>
  </r>
  <r>
    <n v="98627"/>
    <x v="292"/>
    <n v="886"/>
    <n v="30"/>
    <s v="Home &amp; Living"/>
    <s v="Blanket"/>
    <n v="4"/>
    <n v="346.54"/>
    <s v="Bank Transfer"/>
    <s v="Taylorport"/>
    <m/>
    <s v="F"/>
    <n v="25"/>
    <n v="1386.16"/>
    <n v="415.84800000000001"/>
  </r>
  <r>
    <n v="52566"/>
    <x v="292"/>
    <n v="799"/>
    <n v="30"/>
    <s v="Home &amp; Living"/>
    <s v="Vase"/>
    <n v="4"/>
    <n v="114.85"/>
    <s v="Cash on Delivery"/>
    <s v="West Jessica"/>
    <n v="2"/>
    <s v="F"/>
    <n v="31"/>
    <n v="459.4"/>
    <n v="137.82"/>
  </r>
  <r>
    <n v="51729"/>
    <x v="292"/>
    <n v="713"/>
    <n v="50"/>
    <s v="Sports &amp; Outdoors"/>
    <s v="Tent"/>
    <n v="3"/>
    <n v="318.44"/>
    <s v="Cash on Delivery"/>
    <s v="Port Darrylstad"/>
    <n v="5"/>
    <s v="F"/>
    <n v="23"/>
    <n v="955.31999999999994"/>
    <n v="286.59599999999995"/>
  </r>
  <r>
    <n v="58283"/>
    <x v="293"/>
    <n v="787"/>
    <n v="30"/>
    <s v="Home &amp; Living"/>
    <s v="Painting"/>
    <n v="3"/>
    <n v="138.16999999999999"/>
    <s v="Cash on Delivery"/>
    <s v="Colemanchester"/>
    <n v="5"/>
    <s v="F"/>
    <n v="22"/>
    <n v="414.51"/>
    <n v="124.35299999999999"/>
  </r>
  <r>
    <n v="99243"/>
    <x v="293"/>
    <n v="739"/>
    <n v="10"/>
    <s v="Electronics"/>
    <s v="Headphones"/>
    <n v="2"/>
    <n v="10.72"/>
    <s v="Cash on Delivery"/>
    <s v="North Diane"/>
    <n v="3"/>
    <s v="F"/>
    <n v="55"/>
    <n v="21.44"/>
    <n v="6.4320000000000004"/>
  </r>
  <r>
    <n v="41567"/>
    <x v="293"/>
    <n v="292"/>
    <n v="20"/>
    <s v="Fashion"/>
    <s v="Dress"/>
    <n v="4"/>
    <n v="256.18"/>
    <s v="Credit Card"/>
    <s v="New Jenniferberg"/>
    <m/>
    <s v="F"/>
    <n v="32"/>
    <n v="1024.72"/>
    <n v="307.416"/>
  </r>
  <r>
    <n v="47349"/>
    <x v="294"/>
    <n v="517"/>
    <n v="40"/>
    <s v="Books &amp; Stationery"/>
    <s v="Pen"/>
    <n v="2"/>
    <n v="382.15"/>
    <s v="Bank Transfer"/>
    <s v="Hernandezfort"/>
    <n v="5"/>
    <s v="F"/>
    <n v="47"/>
    <n v="764.3"/>
    <n v="229.29"/>
  </r>
  <r>
    <n v="46239"/>
    <x v="294"/>
    <n v="413"/>
    <n v="50"/>
    <s v="Sports &amp; Outdoors"/>
    <s v="Soccer Ball"/>
    <n v="2"/>
    <n v="433.67"/>
    <s v="Cash on Delivery"/>
    <s v="Landryburgh"/>
    <m/>
    <m/>
    <n v="52"/>
    <n v="867.34"/>
    <n v="260.202"/>
  </r>
  <r>
    <n v="94304"/>
    <x v="294"/>
    <n v="701"/>
    <n v="30"/>
    <s v="Home &amp; Living"/>
    <s v="Vase"/>
    <n v="5"/>
    <n v="248.88"/>
    <s v="Credit Card"/>
    <s v="Lewisfort"/>
    <n v="4"/>
    <s v="M"/>
    <n v="56"/>
    <n v="1244.4000000000001"/>
    <n v="373.32"/>
  </r>
  <r>
    <n v="33859"/>
    <x v="294"/>
    <n v="712"/>
    <n v="20"/>
    <s v="Fashion"/>
    <s v="Pants"/>
    <n v="4"/>
    <n v="334.68"/>
    <s v="Credit Card"/>
    <s v="Laurietown"/>
    <n v="5"/>
    <s v="F"/>
    <n v="25"/>
    <n v="1338.72"/>
    <n v="401.61599999999999"/>
  </r>
  <r>
    <n v="51458"/>
    <x v="295"/>
    <n v="400"/>
    <n v="40"/>
    <s v="Books &amp; Stationery"/>
    <s v="Pen"/>
    <n v="1"/>
    <n v="389.49"/>
    <s v="Cash on Delivery"/>
    <s v="Mcintyreburgh"/>
    <n v="4"/>
    <s v="F"/>
    <n v="19"/>
    <n v="389.49"/>
    <n v="116.84699999999999"/>
  </r>
  <r>
    <n v="96947"/>
    <x v="295"/>
    <n v="148"/>
    <n v="40"/>
    <s v="Books &amp; Stationery"/>
    <s v="Novel"/>
    <n v="5"/>
    <n v="291.22000000000003"/>
    <s v="Cash on Delivery"/>
    <s v="Jonesport"/>
    <n v="3"/>
    <s v="M"/>
    <n v="35"/>
    <n v="1456.1000000000001"/>
    <n v="436.83000000000004"/>
  </r>
  <r>
    <n v="46059"/>
    <x v="295"/>
    <n v="266"/>
    <n v="20"/>
    <s v="Fashion"/>
    <s v="Dress"/>
    <n v="4"/>
    <n v="474.27"/>
    <s v="Cash on Delivery"/>
    <s v="Lake Tracy"/>
    <n v="5"/>
    <s v="F"/>
    <n v="40"/>
    <n v="1897.08"/>
    <n v="569.12399999999991"/>
  </r>
  <r>
    <n v="34224"/>
    <x v="295"/>
    <n v="347"/>
    <n v="10"/>
    <s v="Electronics"/>
    <s v="Headphones"/>
    <n v="5"/>
    <n v="410.38"/>
    <s v="Bank Transfer"/>
    <s v="Lynnland"/>
    <n v="5"/>
    <s v="F"/>
    <n v="35"/>
    <n v="2051.9"/>
    <n v="615.57000000000005"/>
  </r>
  <r>
    <n v="77523"/>
    <x v="296"/>
    <n v="543"/>
    <n v="30"/>
    <s v="Home &amp; Living"/>
    <s v="Carpet"/>
    <n v="5"/>
    <n v="355.65"/>
    <s v="Bank Transfer"/>
    <s v="Danielfurt"/>
    <n v="5"/>
    <m/>
    <n v="21"/>
    <n v="1778.25"/>
    <n v="533.47500000000002"/>
  </r>
  <r>
    <n v="26392"/>
    <x v="296"/>
    <n v="282"/>
    <n v="20"/>
    <s v="Fashion"/>
    <s v="Dress"/>
    <n v="1"/>
    <n v="467.54"/>
    <s v="Cash on Delivery"/>
    <s v="Port Wandashire"/>
    <n v="3"/>
    <s v="F"/>
    <n v="73"/>
    <n v="467.54"/>
    <n v="140.262"/>
  </r>
  <r>
    <n v="22599"/>
    <x v="296"/>
    <n v="888"/>
    <n v="40"/>
    <s v="Books &amp; Stationery"/>
    <s v="Eraser"/>
    <n v="4"/>
    <n v="36.270000000000003"/>
    <s v="Bank Transfer"/>
    <s v="Port Sarahfort"/>
    <n v="5"/>
    <s v="F"/>
    <n v="18"/>
    <n v="145.08000000000001"/>
    <n v="43.524000000000001"/>
  </r>
  <r>
    <n v="56948"/>
    <x v="296"/>
    <n v="349"/>
    <n v="20"/>
    <s v="Fashion"/>
    <s v="Pants"/>
    <n v="3"/>
    <n v="350.64"/>
    <s v="Cash on Delivery"/>
    <s v="Port Christopher"/>
    <m/>
    <s v="M"/>
    <n v="55"/>
    <n v="1051.92"/>
    <n v="315.57600000000002"/>
  </r>
  <r>
    <n v="54453"/>
    <x v="296"/>
    <n v="246"/>
    <n v="30"/>
    <s v="Home &amp; Living"/>
    <s v="Carpet"/>
    <n v="2"/>
    <n v="117.78"/>
    <s v="Credit Card"/>
    <s v="West Samuelhaven"/>
    <n v="4"/>
    <s v="F"/>
    <n v="19"/>
    <n v="235.56"/>
    <n v="70.667999999999992"/>
  </r>
  <r>
    <n v="93036"/>
    <x v="296"/>
    <n v="964"/>
    <n v="50"/>
    <s v="Sports &amp; Outdoors"/>
    <s v="Yoga Mat"/>
    <n v="4"/>
    <n v="189.3"/>
    <s v="Bank Transfer"/>
    <s v="Smithburgh"/>
    <n v="4"/>
    <s v="M"/>
    <n v="30"/>
    <n v="757.2"/>
    <n v="227.16"/>
  </r>
  <r>
    <n v="43949"/>
    <x v="296"/>
    <n v="346"/>
    <n v="30"/>
    <s v="Home &amp; Living"/>
    <s v="Blanket"/>
    <n v="3"/>
    <n v="158.75"/>
    <s v="Credit Card"/>
    <s v="Graystad"/>
    <n v="4"/>
    <s v="F"/>
    <n v="27"/>
    <n v="476.25"/>
    <n v="142.875"/>
  </r>
  <r>
    <n v="11479"/>
    <x v="296"/>
    <n v="331"/>
    <n v="20"/>
    <s v="Fashion"/>
    <s v="Shirt"/>
    <n v="2"/>
    <n v="452.6"/>
    <s v="Cash on Delivery"/>
    <s v="Jamesview"/>
    <n v="5"/>
    <s v="F"/>
    <n v="48"/>
    <n v="905.2"/>
    <n v="271.56"/>
  </r>
  <r>
    <n v="58103"/>
    <x v="297"/>
    <n v="389"/>
    <n v="30"/>
    <s v="Home &amp; Living"/>
    <s v="Vase"/>
    <n v="3"/>
    <n v="435.37"/>
    <s v="Cash on Delivery"/>
    <s v="Nicholasfurt"/>
    <m/>
    <s v="M"/>
    <n v="18"/>
    <n v="1306.1100000000001"/>
    <n v="391.83300000000003"/>
  </r>
  <r>
    <n v="50813"/>
    <x v="297"/>
    <n v="481"/>
    <n v="50"/>
    <s v="Sports &amp; Outdoors"/>
    <s v="Basketball"/>
    <n v="4"/>
    <n v="173.35"/>
    <s v="Cash on Delivery"/>
    <s v="East Hannah"/>
    <n v="5"/>
    <m/>
    <n v="70"/>
    <n v="693.4"/>
    <n v="208.01999999999998"/>
  </r>
  <r>
    <n v="19925"/>
    <x v="297"/>
    <n v="747"/>
    <n v="20"/>
    <s v="Fashion"/>
    <s v="T-shirt"/>
    <n v="3"/>
    <n v="364.55"/>
    <s v="Bank Transfer"/>
    <s v="North Danielmouth"/>
    <m/>
    <s v="F"/>
    <n v="51"/>
    <n v="1093.6500000000001"/>
    <n v="328.09500000000003"/>
  </r>
  <r>
    <n v="91017"/>
    <x v="297"/>
    <n v="408"/>
    <n v="40"/>
    <s v="Books &amp; Stationery"/>
    <s v="Novel"/>
    <n v="2"/>
    <n v="436.2"/>
    <s v="Credit Card"/>
    <s v="Millermouth"/>
    <n v="5"/>
    <s v="F"/>
    <n v="26"/>
    <n v="872.4"/>
    <n v="261.71999999999997"/>
  </r>
  <r>
    <n v="66073"/>
    <x v="298"/>
    <n v="983"/>
    <n v="30"/>
    <s v="Home &amp; Living"/>
    <s v="Blanket"/>
    <n v="2"/>
    <n v="469.33"/>
    <s v="Cash on Delivery"/>
    <s v="Andersonview"/>
    <n v="5"/>
    <s v="M"/>
    <n v="40"/>
    <n v="938.66"/>
    <n v="281.59799999999996"/>
  </r>
  <r>
    <n v="25091"/>
    <x v="298"/>
    <n v="766"/>
    <n v="50"/>
    <s v="Sports &amp; Outdoors"/>
    <s v="Tent"/>
    <n v="5"/>
    <n v="119.75"/>
    <s v="Cash on Delivery"/>
    <s v="Port Laurenfort"/>
    <n v="5"/>
    <s v="F"/>
    <n v="20"/>
    <n v="598.75"/>
    <n v="179.625"/>
  </r>
  <r>
    <n v="98363"/>
    <x v="298"/>
    <n v="332"/>
    <n v="40"/>
    <s v="Books &amp; Stationery"/>
    <s v="Story Book"/>
    <n v="2"/>
    <n v="160.94"/>
    <s v="Bank Transfer"/>
    <s v="Hallbury"/>
    <m/>
    <s v="M"/>
    <n v="27"/>
    <n v="321.88"/>
    <n v="96.563999999999993"/>
  </r>
  <r>
    <n v="27389"/>
    <x v="299"/>
    <n v="549"/>
    <n v="10"/>
    <s v="Electronics"/>
    <s v="Smartwatch"/>
    <n v="2"/>
    <n v="321.14"/>
    <s v="Cash on Delivery"/>
    <s v="Elizabethmouth"/>
    <n v="5"/>
    <s v="M"/>
    <n v="26"/>
    <n v="642.28"/>
    <n v="192.684"/>
  </r>
  <r>
    <n v="47548"/>
    <x v="299"/>
    <n v="381"/>
    <n v="30"/>
    <s v="Home &amp; Living"/>
    <s v="Vase"/>
    <n v="2"/>
    <n v="226.48"/>
    <s v="Cash on Delivery"/>
    <s v="West Jacob"/>
    <n v="1"/>
    <s v="F"/>
    <n v="36"/>
    <n v="452.96"/>
    <n v="135.88799999999998"/>
  </r>
  <r>
    <n v="93644"/>
    <x v="299"/>
    <n v="734"/>
    <n v="20"/>
    <s v="Fashion"/>
    <s v="Shirt"/>
    <n v="2"/>
    <n v="361.74"/>
    <s v="Credit Card"/>
    <s v="West Denisemouth"/>
    <n v="5"/>
    <s v="M"/>
    <n v="33"/>
    <n v="723.48"/>
    <n v="217.04400000000001"/>
  </r>
  <r>
    <n v="67837"/>
    <x v="300"/>
    <n v="671"/>
    <n v="40"/>
    <s v="Books &amp; Stationery"/>
    <s v="Notebook"/>
    <n v="1"/>
    <n v="281.72000000000003"/>
    <s v="Credit Card"/>
    <s v="West Amyhaven"/>
    <n v="5"/>
    <s v="F"/>
    <n v="39"/>
    <n v="281.72000000000003"/>
    <n v="84.516000000000005"/>
  </r>
  <r>
    <n v="45699"/>
    <x v="301"/>
    <n v="200"/>
    <n v="20"/>
    <s v="Fashion"/>
    <s v="Pants"/>
    <n v="3"/>
    <n v="17.95"/>
    <s v="Cash on Delivery"/>
    <s v="Lake Victoriafort"/>
    <n v="5"/>
    <s v="F"/>
    <n v="26"/>
    <n v="53.849999999999994"/>
    <n v="16.154999999999998"/>
  </r>
  <r>
    <n v="55098"/>
    <x v="302"/>
    <n v="684"/>
    <n v="50"/>
    <s v="Sports &amp; Outdoors"/>
    <s v="Tent"/>
    <n v="5"/>
    <n v="23"/>
    <s v="Credit Card"/>
    <s v="West Sarah"/>
    <n v="5"/>
    <s v="F"/>
    <n v="64"/>
    <n v="115"/>
    <n v="34.5"/>
  </r>
  <r>
    <n v="66682"/>
    <x v="302"/>
    <n v="632"/>
    <n v="50"/>
    <s v="Sports &amp; Outdoors"/>
    <s v="Yoga Mat"/>
    <n v="1"/>
    <n v="315.08999999999997"/>
    <s v="Bank Transfer"/>
    <s v="Cartermouth"/>
    <n v="5"/>
    <s v="F"/>
    <n v="42"/>
    <n v="315.08999999999997"/>
    <n v="94.526999999999987"/>
  </r>
  <r>
    <n v="25852"/>
    <x v="302"/>
    <n v="544"/>
    <n v="20"/>
    <s v="Fashion"/>
    <s v="T-shirt"/>
    <n v="3"/>
    <n v="79.959999999999994"/>
    <s v="Cash on Delivery"/>
    <s v="Jamesside"/>
    <n v="5"/>
    <s v="M"/>
    <n v="21"/>
    <n v="239.88"/>
    <n v="71.963999999999999"/>
  </r>
  <r>
    <n v="88218"/>
    <x v="302"/>
    <n v="299"/>
    <n v="20"/>
    <s v="Fashion"/>
    <s v="Skirt"/>
    <n v="3"/>
    <n v="225.1"/>
    <s v="Credit Card"/>
    <s v="Martinezshire"/>
    <n v="5"/>
    <m/>
    <n v="40"/>
    <n v="675.3"/>
    <n v="202.58999999999997"/>
  </r>
  <r>
    <n v="45081"/>
    <x v="303"/>
    <n v="721"/>
    <n v="20"/>
    <s v="Fashion"/>
    <s v="Dress"/>
    <n v="4"/>
    <n v="31.75"/>
    <s v="Bank Transfer"/>
    <s v="East Charles"/>
    <m/>
    <m/>
    <n v="55"/>
    <n v="127"/>
    <n v="38.1"/>
  </r>
  <r>
    <n v="54630"/>
    <x v="303"/>
    <n v="967"/>
    <n v="30"/>
    <s v="Home &amp; Living"/>
    <s v="Blanket"/>
    <n v="4"/>
    <n v="416.89"/>
    <s v="Cash on Delivery"/>
    <s v="Port Steve"/>
    <n v="4"/>
    <s v="F"/>
    <n v="64"/>
    <n v="1667.56"/>
    <n v="500.26799999999997"/>
  </r>
  <r>
    <n v="98713"/>
    <x v="303"/>
    <n v="260"/>
    <n v="20"/>
    <s v="Fashion"/>
    <s v="Skirt"/>
    <n v="1"/>
    <n v="463.67"/>
    <s v="Bank Transfer"/>
    <s v="Catherinebury"/>
    <m/>
    <s v="M"/>
    <n v="37"/>
    <n v="463.67"/>
    <n v="139.101"/>
  </r>
  <r>
    <n v="54371"/>
    <x v="303"/>
    <n v="325"/>
    <n v="20"/>
    <s v="Fashion"/>
    <s v="Dress"/>
    <n v="4"/>
    <n v="156.87"/>
    <s v="Cash on Delivery"/>
    <s v="East Jamesborough"/>
    <n v="3"/>
    <m/>
    <n v="37"/>
    <n v="627.48"/>
    <n v="188.244"/>
  </r>
  <r>
    <n v="59944"/>
    <x v="304"/>
    <n v="293"/>
    <n v="50"/>
    <s v="Sports &amp; Outdoors"/>
    <s v="Basketball"/>
    <n v="2"/>
    <n v="361.99"/>
    <s v="Bank Transfer"/>
    <s v="Lake Charlestown"/>
    <n v="4"/>
    <s v="M"/>
    <n v="51"/>
    <n v="723.98"/>
    <n v="217.19399999999999"/>
  </r>
  <r>
    <n v="32569"/>
    <x v="304"/>
    <n v="336"/>
    <n v="40"/>
    <s v="Books &amp; Stationery"/>
    <s v="Eraser"/>
    <n v="2"/>
    <n v="336.89"/>
    <s v="Credit Card"/>
    <s v="Port Catherine"/>
    <n v="1"/>
    <m/>
    <n v="26"/>
    <n v="673.78"/>
    <n v="202.13399999999999"/>
  </r>
  <r>
    <n v="84328"/>
    <x v="304"/>
    <n v="122"/>
    <n v="10"/>
    <s v="Electronics"/>
    <s v="Smartwatch"/>
    <n v="1"/>
    <n v="420.63"/>
    <s v="Bank Transfer"/>
    <s v="Lake Kelly"/>
    <n v="3"/>
    <s v="M"/>
    <n v="54"/>
    <n v="420.63"/>
    <n v="126.18899999999999"/>
  </r>
  <r>
    <n v="24426"/>
    <x v="305"/>
    <n v="943"/>
    <n v="40"/>
    <s v="Books &amp; Stationery"/>
    <s v="Pen"/>
    <n v="2"/>
    <n v="443.49"/>
    <s v="Cash on Delivery"/>
    <s v="South Tonya"/>
    <n v="4"/>
    <s v="M"/>
    <n v="67"/>
    <n v="886.98"/>
    <n v="266.09399999999999"/>
  </r>
  <r>
    <n v="58706"/>
    <x v="305"/>
    <n v="613"/>
    <n v="20"/>
    <s v="Fashion"/>
    <s v="T-shirt"/>
    <n v="4"/>
    <n v="351.62"/>
    <s v="Bank Transfer"/>
    <s v="Lake Cody"/>
    <n v="5"/>
    <s v="F"/>
    <n v="65"/>
    <n v="1406.48"/>
    <n v="421.94400000000002"/>
  </r>
  <r>
    <n v="68850"/>
    <x v="305"/>
    <n v="484"/>
    <n v="40"/>
    <s v="Books &amp; Stationery"/>
    <s v="Notebook"/>
    <n v="1"/>
    <n v="53.18"/>
    <s v="Credit Card"/>
    <s v="North Elizabethbury"/>
    <n v="1"/>
    <s v="F"/>
    <n v="58"/>
    <n v="53.18"/>
    <n v="15.953999999999999"/>
  </r>
  <r>
    <n v="45831"/>
    <x v="305"/>
    <n v="685"/>
    <n v="40"/>
    <s v="Books &amp; Stationery"/>
    <s v="Eraser"/>
    <n v="1"/>
    <n v="151.94"/>
    <s v="Bank Transfer"/>
    <s v="Sanchezside"/>
    <n v="4"/>
    <s v="F"/>
    <n v="74"/>
    <n v="151.94"/>
    <n v="45.582000000000001"/>
  </r>
  <r>
    <n v="72286"/>
    <x v="305"/>
    <n v="702"/>
    <n v="10"/>
    <s v="Electronics"/>
    <s v="Headphones"/>
    <n v="5"/>
    <n v="128.44999999999999"/>
    <s v="Credit Card"/>
    <s v="Robinhaven"/>
    <n v="2"/>
    <s v="M"/>
    <n v="58"/>
    <n v="642.25"/>
    <n v="192.67499999999998"/>
  </r>
  <r>
    <n v="48904"/>
    <x v="305"/>
    <n v="931"/>
    <n v="10"/>
    <s v="Electronics"/>
    <s v="Tablet"/>
    <n v="3"/>
    <n v="439.51"/>
    <s v="Bank Transfer"/>
    <s v="Raymondland"/>
    <n v="5"/>
    <s v="F"/>
    <n v="63"/>
    <n v="1318.53"/>
    <n v="395.55899999999997"/>
  </r>
  <r>
    <n v="25985"/>
    <x v="305"/>
    <n v="480"/>
    <n v="40"/>
    <s v="Books &amp; Stationery"/>
    <s v="Notebook"/>
    <n v="2"/>
    <n v="353.23"/>
    <s v="Bank Transfer"/>
    <s v="Port Debbieborough"/>
    <m/>
    <s v="M"/>
    <n v="65"/>
    <n v="706.46"/>
    <n v="211.93800000000002"/>
  </r>
  <r>
    <n v="22604"/>
    <x v="306"/>
    <n v="351"/>
    <n v="30"/>
    <s v="Home &amp; Living"/>
    <s v="Carpet"/>
    <n v="1"/>
    <n v="247.45"/>
    <s v="Credit Card"/>
    <s v="East Russellville"/>
    <n v="2"/>
    <s v="M"/>
    <n v="47"/>
    <n v="247.45"/>
    <n v="74.234999999999999"/>
  </r>
  <r>
    <n v="22228"/>
    <x v="306"/>
    <n v="789"/>
    <n v="20"/>
    <s v="Fashion"/>
    <s v="Skirt"/>
    <n v="1"/>
    <n v="54.94"/>
    <s v="Credit Card"/>
    <s v="Barryton"/>
    <n v="5"/>
    <s v="F"/>
    <n v="62"/>
    <n v="54.94"/>
    <n v="16.481999999999999"/>
  </r>
  <r>
    <n v="45679"/>
    <x v="306"/>
    <n v="470"/>
    <n v="10"/>
    <s v="Electronics"/>
    <s v="Smartwatch"/>
    <n v="4"/>
    <n v="431.73"/>
    <s v="Credit Card"/>
    <s v="Gutierrezville"/>
    <n v="3"/>
    <m/>
    <n v="75"/>
    <n v="1726.92"/>
    <n v="518.07600000000002"/>
  </r>
  <r>
    <n v="60712"/>
    <x v="307"/>
    <n v="775"/>
    <n v="50"/>
    <s v="Sports &amp; Outdoors"/>
    <s v="Tent"/>
    <n v="5"/>
    <n v="24.18"/>
    <s v="Credit Card"/>
    <s v="Georgestad"/>
    <n v="5"/>
    <s v="M"/>
    <n v="57"/>
    <n v="120.9"/>
    <n v="36.270000000000003"/>
  </r>
  <r>
    <n v="72072"/>
    <x v="307"/>
    <n v="349"/>
    <n v="20"/>
    <s v="Fashion"/>
    <s v="Skirt"/>
    <n v="3"/>
    <n v="475.67"/>
    <s v="Bank Transfer"/>
    <s v="East Annettemouth"/>
    <n v="5"/>
    <s v="F"/>
    <n v="51"/>
    <n v="1427.01"/>
    <n v="428.10300000000001"/>
  </r>
  <r>
    <n v="92246"/>
    <x v="308"/>
    <n v="988"/>
    <n v="20"/>
    <s v="Fashion"/>
    <s v="Dress"/>
    <n v="3"/>
    <n v="345.18"/>
    <s v="Credit Card"/>
    <s v="Lewisburgh"/>
    <n v="5"/>
    <s v="F"/>
    <n v="21"/>
    <n v="1035.54"/>
    <n v="310.66199999999998"/>
  </r>
  <r>
    <n v="49769"/>
    <x v="308"/>
    <n v="295"/>
    <n v="50"/>
    <s v="Sports &amp; Outdoors"/>
    <s v="Yoga Mat"/>
    <n v="5"/>
    <n v="405.77"/>
    <s v="Bank Transfer"/>
    <s v="Garciafurt"/>
    <m/>
    <s v="M"/>
    <n v="26"/>
    <n v="2028.85"/>
    <n v="608.65499999999997"/>
  </r>
  <r>
    <n v="87200"/>
    <x v="308"/>
    <n v="937"/>
    <n v="10"/>
    <s v="Electronics"/>
    <s v="Laptop"/>
    <n v="1"/>
    <n v="391.58"/>
    <s v="Cash on Delivery"/>
    <s v="Jefferyborough"/>
    <n v="4"/>
    <s v="M"/>
    <n v="68"/>
    <n v="391.58"/>
    <n v="117.47399999999999"/>
  </r>
  <r>
    <n v="25974"/>
    <x v="309"/>
    <n v="123"/>
    <n v="40"/>
    <s v="Books &amp; Stationery"/>
    <s v="Eraser"/>
    <n v="1"/>
    <n v="65.69"/>
    <s v="Credit Card"/>
    <s v="East Marymouth"/>
    <n v="4"/>
    <s v="F"/>
    <n v="71"/>
    <n v="65.69"/>
    <n v="19.706999999999997"/>
  </r>
  <r>
    <n v="39828"/>
    <x v="309"/>
    <n v="953"/>
    <n v="40"/>
    <s v="Books &amp; Stationery"/>
    <s v="Novel"/>
    <n v="3"/>
    <n v="58.91"/>
    <s v="Credit Card"/>
    <s v="Markchester"/>
    <n v="5"/>
    <s v="F"/>
    <n v="75"/>
    <n v="176.73"/>
    <n v="53.018999999999998"/>
  </r>
  <r>
    <n v="38645"/>
    <x v="309"/>
    <n v="851"/>
    <n v="20"/>
    <s v="Fashion"/>
    <s v="Shirt"/>
    <n v="2"/>
    <n v="325.23"/>
    <s v="Bank Transfer"/>
    <s v="Raymondchester"/>
    <n v="5"/>
    <s v="M"/>
    <n v="27"/>
    <n v="650.46"/>
    <n v="195.13800000000001"/>
  </r>
  <r>
    <n v="51408"/>
    <x v="310"/>
    <n v="511"/>
    <n v="40"/>
    <s v="Books &amp; Stationery"/>
    <s v="Story Book"/>
    <n v="2"/>
    <n v="212.48"/>
    <s v="Cash on Delivery"/>
    <s v="Kiddmouth"/>
    <n v="4"/>
    <s v="M"/>
    <n v="59"/>
    <n v="424.96"/>
    <n v="127.48799999999999"/>
  </r>
  <r>
    <n v="96221"/>
    <x v="310"/>
    <n v="136"/>
    <n v="50"/>
    <s v="Sports &amp; Outdoors"/>
    <s v="Soccer Ball"/>
    <n v="1"/>
    <n v="88.76"/>
    <s v="Cash on Delivery"/>
    <s v="East Tanyafurt"/>
    <m/>
    <s v="M"/>
    <n v="31"/>
    <n v="88.76"/>
    <n v="26.628"/>
  </r>
  <r>
    <n v="67596"/>
    <x v="311"/>
    <n v="348"/>
    <n v="50"/>
    <s v="Sports &amp; Outdoors"/>
    <s v="Running Shoes"/>
    <n v="2"/>
    <n v="276.39"/>
    <s v="Bank Transfer"/>
    <s v="Melanieton"/>
    <n v="5"/>
    <s v="F"/>
    <n v="41"/>
    <n v="552.78"/>
    <n v="165.83399999999997"/>
  </r>
  <r>
    <n v="99677"/>
    <x v="311"/>
    <n v="622"/>
    <n v="10"/>
    <s v="Electronics"/>
    <s v="Headphones"/>
    <n v="4"/>
    <n v="325.73"/>
    <s v="Bank Transfer"/>
    <s v="Kennethstad"/>
    <n v="5"/>
    <s v="M"/>
    <n v="70"/>
    <n v="1302.92"/>
    <n v="390.87600000000003"/>
  </r>
  <r>
    <n v="14376"/>
    <x v="311"/>
    <n v="840"/>
    <n v="40"/>
    <s v="Books &amp; Stationery"/>
    <s v="Story Book"/>
    <n v="5"/>
    <n v="20.46"/>
    <s v="Bank Transfer"/>
    <s v="Ericside"/>
    <n v="3"/>
    <s v="M"/>
    <n v="34"/>
    <n v="102.30000000000001"/>
    <n v="30.69"/>
  </r>
  <r>
    <n v="51391"/>
    <x v="311"/>
    <n v="418"/>
    <n v="30"/>
    <s v="Home &amp; Living"/>
    <s v="Carpet"/>
    <n v="5"/>
    <n v="246.68"/>
    <s v="Cash on Delivery"/>
    <s v="Port Derek"/>
    <n v="5"/>
    <s v="F"/>
    <n v="31"/>
    <n v="1233.4000000000001"/>
    <n v="370.02000000000004"/>
  </r>
  <r>
    <n v="31593"/>
    <x v="312"/>
    <n v="343"/>
    <n v="50"/>
    <s v="Sports &amp; Outdoors"/>
    <s v="Tent"/>
    <n v="1"/>
    <n v="415.49"/>
    <s v="Cash on Delivery"/>
    <s v="Washingtonmouth"/>
    <n v="5"/>
    <s v="F"/>
    <n v="44"/>
    <n v="415.49"/>
    <n v="124.64699999999999"/>
  </r>
  <r>
    <n v="17937"/>
    <x v="313"/>
    <n v="787"/>
    <n v="10"/>
    <s v="Electronics"/>
    <s v="Smartphone"/>
    <n v="4"/>
    <n v="260.64"/>
    <s v="Cash on Delivery"/>
    <s v="Joetown"/>
    <n v="5"/>
    <s v="F"/>
    <n v="53"/>
    <n v="1042.56"/>
    <n v="312.76799999999997"/>
  </r>
  <r>
    <n v="77318"/>
    <x v="314"/>
    <n v="305"/>
    <n v="40"/>
    <s v="Books &amp; Stationery"/>
    <s v="Novel"/>
    <n v="2"/>
    <n v="203.94"/>
    <s v="Bank Transfer"/>
    <s v="Brownchester"/>
    <n v="5"/>
    <s v="M"/>
    <n v="23"/>
    <n v="407.88"/>
    <n v="122.36399999999999"/>
  </r>
  <r>
    <n v="31600"/>
    <x v="315"/>
    <n v="775"/>
    <n v="50"/>
    <s v="Sports &amp; Outdoors"/>
    <s v="Basketball"/>
    <n v="2"/>
    <n v="367.94"/>
    <s v="Credit Card"/>
    <s v="Lake Maryborough"/>
    <m/>
    <s v="F"/>
    <n v="32"/>
    <n v="735.88"/>
    <n v="220.76399999999998"/>
  </r>
  <r>
    <n v="30282"/>
    <x v="315"/>
    <n v="411"/>
    <n v="10"/>
    <s v="Electronics"/>
    <s v="Laptop"/>
    <n v="3"/>
    <n v="91.79"/>
    <s v="Credit Card"/>
    <s v="Webbton"/>
    <m/>
    <m/>
    <n v="68"/>
    <n v="275.37"/>
    <n v="82.611000000000004"/>
  </r>
  <r>
    <n v="65011"/>
    <x v="316"/>
    <n v="938"/>
    <n v="30"/>
    <s v="Home &amp; Living"/>
    <s v="Carpet"/>
    <n v="4"/>
    <n v="383.36"/>
    <s v="Cash on Delivery"/>
    <s v="East Christopher"/>
    <n v="5"/>
    <s v="F"/>
    <n v="42"/>
    <n v="1533.44"/>
    <n v="460.03199999999998"/>
  </r>
  <r>
    <n v="97353"/>
    <x v="316"/>
    <n v="626"/>
    <n v="40"/>
    <s v="Books &amp; Stationery"/>
    <s v="Eraser"/>
    <n v="2"/>
    <n v="117.09"/>
    <s v="Bank Transfer"/>
    <s v="North Jacobland"/>
    <m/>
    <s v="F"/>
    <n v="31"/>
    <n v="234.18"/>
    <n v="70.254000000000005"/>
  </r>
  <r>
    <n v="14029"/>
    <x v="316"/>
    <n v="436"/>
    <n v="50"/>
    <s v="Sports &amp; Outdoors"/>
    <s v="Yoga Mat"/>
    <n v="4"/>
    <n v="113.64"/>
    <s v="Credit Card"/>
    <s v="Lake Hayley"/>
    <m/>
    <s v="F"/>
    <n v="57"/>
    <n v="454.56"/>
    <n v="136.36799999999999"/>
  </r>
  <r>
    <n v="66492"/>
    <x v="317"/>
    <n v="112"/>
    <n v="10"/>
    <s v="Electronics"/>
    <s v="Smartwatch"/>
    <n v="4"/>
    <n v="375.13"/>
    <s v="Bank Transfer"/>
    <s v="Port Thomas"/>
    <n v="5"/>
    <s v="M"/>
    <n v="30"/>
    <n v="1500.52"/>
    <n v="450.15600000000001"/>
  </r>
  <r>
    <n v="52213"/>
    <x v="317"/>
    <n v="648"/>
    <n v="30"/>
    <s v="Home &amp; Living"/>
    <s v="Blanket"/>
    <n v="1"/>
    <n v="202.55"/>
    <s v="Cash on Delivery"/>
    <s v="Lake Joseph"/>
    <n v="5"/>
    <s v="M"/>
    <n v="57"/>
    <n v="202.55"/>
    <n v="60.765000000000001"/>
  </r>
  <r>
    <n v="11911"/>
    <x v="317"/>
    <n v="572"/>
    <n v="30"/>
    <s v="Home &amp; Living"/>
    <s v="Vase"/>
    <n v="3"/>
    <n v="395.04"/>
    <s v="Bank Transfer"/>
    <s v="Lake Tiffanyfurt"/>
    <n v="5"/>
    <s v="M"/>
    <n v="44"/>
    <n v="1185.1200000000001"/>
    <n v="355.536"/>
  </r>
  <r>
    <n v="41613"/>
    <x v="317"/>
    <n v="159"/>
    <n v="30"/>
    <s v="Home &amp; Living"/>
    <s v="Vase"/>
    <n v="5"/>
    <n v="487.53"/>
    <s v="Credit Card"/>
    <s v="Port Melissaborough"/>
    <n v="4"/>
    <s v="F"/>
    <n v="19"/>
    <n v="2437.6499999999996"/>
    <n v="731.29499999999985"/>
  </r>
  <r>
    <n v="62189"/>
    <x v="317"/>
    <n v="650"/>
    <n v="10"/>
    <s v="Electronics"/>
    <s v="Smartphone"/>
    <n v="3"/>
    <n v="87.23"/>
    <s v="Cash on Delivery"/>
    <s v="Smithfort"/>
    <n v="3"/>
    <s v="F"/>
    <n v="54"/>
    <n v="261.69"/>
    <n v="78.506999999999991"/>
  </r>
  <r>
    <n v="36683"/>
    <x v="317"/>
    <n v="125"/>
    <n v="10"/>
    <s v="Electronics"/>
    <s v="Headphones"/>
    <n v="2"/>
    <n v="95.77"/>
    <s v="Cash on Delivery"/>
    <s v="Ellisland"/>
    <m/>
    <s v="M"/>
    <n v="68"/>
    <n v="191.54"/>
    <n v="57.461999999999996"/>
  </r>
  <r>
    <n v="46965"/>
    <x v="317"/>
    <n v="329"/>
    <n v="30"/>
    <s v="Home &amp; Living"/>
    <s v="Vase"/>
    <n v="3"/>
    <n v="343.98"/>
    <s v="Cash on Delivery"/>
    <s v="West Bradleymouth"/>
    <n v="5"/>
    <s v="F"/>
    <n v="47"/>
    <n v="1031.94"/>
    <n v="309.58199999999999"/>
  </r>
  <r>
    <n v="86183"/>
    <x v="317"/>
    <n v="263"/>
    <n v="50"/>
    <s v="Sports &amp; Outdoors"/>
    <s v="Yoga Mat"/>
    <n v="3"/>
    <n v="204.96"/>
    <s v="Cash on Delivery"/>
    <s v="Port Victoriashire"/>
    <m/>
    <s v="F"/>
    <n v="72"/>
    <n v="614.88"/>
    <n v="184.464"/>
  </r>
  <r>
    <n v="66861"/>
    <x v="318"/>
    <n v="360"/>
    <n v="20"/>
    <s v="Fashion"/>
    <s v="T-shirt"/>
    <n v="3"/>
    <n v="146.66999999999999"/>
    <s v="Bank Transfer"/>
    <s v="Reynoldsborough"/>
    <n v="1"/>
    <s v="F"/>
    <n v="20"/>
    <n v="440.01"/>
    <n v="132.00299999999999"/>
  </r>
  <r>
    <n v="35117"/>
    <x v="319"/>
    <n v="391"/>
    <n v="40"/>
    <s v="Books &amp; Stationery"/>
    <s v="Story Book"/>
    <n v="5"/>
    <n v="224.84"/>
    <s v="Bank Transfer"/>
    <s v="Davidbury"/>
    <n v="5"/>
    <s v="M"/>
    <n v="60"/>
    <n v="1124.2"/>
    <n v="337.26"/>
  </r>
  <r>
    <n v="97274"/>
    <x v="319"/>
    <n v="560"/>
    <n v="10"/>
    <s v="Electronics"/>
    <s v="Smartphone"/>
    <n v="3"/>
    <n v="78.61"/>
    <s v="Credit Card"/>
    <s v="East Donna"/>
    <n v="4"/>
    <s v="M"/>
    <n v="55"/>
    <n v="235.82999999999998"/>
    <n v="70.748999999999995"/>
  </r>
  <r>
    <n v="91509"/>
    <x v="319"/>
    <n v="113"/>
    <n v="50"/>
    <s v="Sports &amp; Outdoors"/>
    <s v="Running Shoes"/>
    <n v="3"/>
    <n v="459.41"/>
    <s v="Credit Card"/>
    <s v="Robertfort"/>
    <n v="5"/>
    <s v="F"/>
    <n v="43"/>
    <n v="1378.23"/>
    <n v="413.46899999999999"/>
  </r>
  <r>
    <n v="40188"/>
    <x v="319"/>
    <n v="533"/>
    <n v="10"/>
    <s v="Electronics"/>
    <s v="Smartwatch"/>
    <n v="1"/>
    <n v="475.07"/>
    <s v="Credit Card"/>
    <s v="Gilmoreberg"/>
    <m/>
    <s v="F"/>
    <n v="75"/>
    <n v="475.07"/>
    <n v="142.52099999999999"/>
  </r>
  <r>
    <n v="44704"/>
    <x v="320"/>
    <n v="911"/>
    <n v="30"/>
    <s v="Home &amp; Living"/>
    <s v="Carpet"/>
    <n v="4"/>
    <n v="37.520000000000003"/>
    <s v="Cash on Delivery"/>
    <s v="Mccannfurt"/>
    <m/>
    <s v="F"/>
    <n v="62"/>
    <n v="150.08000000000001"/>
    <n v="45.024000000000001"/>
  </r>
  <r>
    <n v="93539"/>
    <x v="320"/>
    <n v="907"/>
    <n v="10"/>
    <s v="Electronics"/>
    <s v="Tablet"/>
    <n v="2"/>
    <n v="77.37"/>
    <s v="Cash on Delivery"/>
    <s v="Gregoryville"/>
    <n v="1"/>
    <s v="F"/>
    <n v="43"/>
    <n v="154.74"/>
    <n v="46.422000000000004"/>
  </r>
  <r>
    <n v="61358"/>
    <x v="321"/>
    <n v="439"/>
    <n v="20"/>
    <s v="Fashion"/>
    <s v="T-shirt"/>
    <n v="5"/>
    <n v="476.53"/>
    <s v="Bank Transfer"/>
    <s v="Port Paul"/>
    <n v="4"/>
    <s v="F"/>
    <n v="51"/>
    <n v="2382.6499999999996"/>
    <n v="714.79499999999985"/>
  </r>
  <r>
    <n v="39659"/>
    <x v="321"/>
    <n v="881"/>
    <n v="20"/>
    <s v="Fashion"/>
    <s v="Shirt"/>
    <n v="2"/>
    <n v="311.83999999999997"/>
    <s v="Cash on Delivery"/>
    <s v="New Kurtmouth"/>
    <n v="4"/>
    <s v="M"/>
    <n v="75"/>
    <n v="623.67999999999995"/>
    <n v="187.10399999999998"/>
  </r>
  <r>
    <n v="43043"/>
    <x v="322"/>
    <n v="203"/>
    <n v="10"/>
    <s v="Electronics"/>
    <s v="Headphones"/>
    <n v="5"/>
    <n v="185.65"/>
    <s v="Bank Transfer"/>
    <s v="East Justintown"/>
    <m/>
    <s v="F"/>
    <n v="24"/>
    <n v="928.25"/>
    <n v="278.47499999999997"/>
  </r>
  <r>
    <n v="80882"/>
    <x v="322"/>
    <n v="511"/>
    <n v="10"/>
    <s v="Electronics"/>
    <s v="Smartphone"/>
    <n v="3"/>
    <n v="375.59"/>
    <s v="Credit Card"/>
    <s v="Mitchellfort"/>
    <n v="3"/>
    <s v="F"/>
    <n v="32"/>
    <n v="1126.77"/>
    <n v="338.03100000000001"/>
  </r>
  <r>
    <n v="76603"/>
    <x v="322"/>
    <n v="511"/>
    <n v="10"/>
    <s v="Electronics"/>
    <s v="Smartwatch"/>
    <n v="2"/>
    <n v="289.89999999999998"/>
    <s v="Cash on Delivery"/>
    <s v="Lake Toddside"/>
    <n v="5"/>
    <s v="F"/>
    <n v="36"/>
    <n v="579.79999999999995"/>
    <n v="173.93999999999997"/>
  </r>
  <r>
    <n v="99850"/>
    <x v="322"/>
    <n v="453"/>
    <n v="40"/>
    <s v="Books &amp; Stationery"/>
    <s v="Novel"/>
    <n v="3"/>
    <n v="392.26"/>
    <s v="Bank Transfer"/>
    <s v="Bakerside"/>
    <n v="3"/>
    <s v="F"/>
    <n v="50"/>
    <n v="1176.78"/>
    <n v="353.03399999999999"/>
  </r>
  <r>
    <n v="20393"/>
    <x v="323"/>
    <n v="133"/>
    <n v="40"/>
    <s v="Books &amp; Stationery"/>
    <s v="Notebook"/>
    <n v="5"/>
    <n v="468.55"/>
    <s v="Credit Card"/>
    <s v="South Elizabethport"/>
    <n v="2"/>
    <s v="M"/>
    <n v="68"/>
    <n v="2342.75"/>
    <n v="702.82499999999993"/>
  </r>
  <r>
    <n v="35152"/>
    <x v="324"/>
    <n v="106"/>
    <n v="20"/>
    <s v="Fashion"/>
    <s v="Dress"/>
    <n v="1"/>
    <n v="87.9"/>
    <s v="Bank Transfer"/>
    <s v="Christopherville"/>
    <m/>
    <s v="M"/>
    <n v="64"/>
    <n v="87.9"/>
    <n v="26.37"/>
  </r>
  <r>
    <n v="89618"/>
    <x v="324"/>
    <n v="567"/>
    <n v="20"/>
    <s v="Fashion"/>
    <s v="T-shirt"/>
    <n v="1"/>
    <n v="98.87"/>
    <s v="Cash on Delivery"/>
    <s v="New Michealtown"/>
    <n v="5"/>
    <s v="F"/>
    <n v="42"/>
    <n v="98.87"/>
    <n v="29.661000000000001"/>
  </r>
  <r>
    <n v="55905"/>
    <x v="325"/>
    <n v="550"/>
    <n v="30"/>
    <s v="Home &amp; Living"/>
    <s v="Vase"/>
    <n v="1"/>
    <n v="99.84"/>
    <s v="Cash on Delivery"/>
    <s v="Port Darren"/>
    <n v="3"/>
    <s v="F"/>
    <n v="73"/>
    <n v="99.84"/>
    <n v="29.951999999999998"/>
  </r>
  <r>
    <n v="51106"/>
    <x v="326"/>
    <n v="222"/>
    <n v="50"/>
    <s v="Sports &amp; Outdoors"/>
    <s v="Tent"/>
    <n v="2"/>
    <n v="148.66999999999999"/>
    <s v="Credit Card"/>
    <s v="New Carol"/>
    <n v="5"/>
    <s v="M"/>
    <n v="38"/>
    <n v="297.33999999999997"/>
    <n v="89.201999999999984"/>
  </r>
  <r>
    <n v="23687"/>
    <x v="326"/>
    <n v="371"/>
    <n v="10"/>
    <s v="Electronics"/>
    <s v="Headphones"/>
    <n v="2"/>
    <n v="308.07"/>
    <s v="Credit Card"/>
    <s v="New Peterport"/>
    <m/>
    <s v="F"/>
    <n v="68"/>
    <n v="616.14"/>
    <n v="184.84199999999998"/>
  </r>
  <r>
    <n v="75278"/>
    <x v="326"/>
    <n v="538"/>
    <n v="40"/>
    <s v="Books &amp; Stationery"/>
    <s v="Eraser"/>
    <n v="3"/>
    <n v="266.14999999999998"/>
    <s v="Credit Card"/>
    <s v="Javierview"/>
    <n v="3"/>
    <m/>
    <n v="59"/>
    <n v="798.44999999999993"/>
    <n v="239.53499999999997"/>
  </r>
  <r>
    <n v="26160"/>
    <x v="327"/>
    <n v="374"/>
    <n v="20"/>
    <s v="Fashion"/>
    <s v="Skirt"/>
    <n v="2"/>
    <n v="452.2"/>
    <s v="Credit Card"/>
    <s v="North Terrancehaven"/>
    <n v="3"/>
    <m/>
    <n v="25"/>
    <n v="904.4"/>
    <n v="271.32"/>
  </r>
  <r>
    <n v="20019"/>
    <x v="327"/>
    <n v="886"/>
    <n v="40"/>
    <s v="Books &amp; Stationery"/>
    <s v="Novel"/>
    <n v="4"/>
    <n v="300.02999999999997"/>
    <s v="Credit Card"/>
    <s v="Jeremyview"/>
    <n v="4"/>
    <m/>
    <n v="34"/>
    <n v="1200.1199999999999"/>
    <n v="360.03599999999994"/>
  </r>
  <r>
    <n v="24734"/>
    <x v="328"/>
    <n v="674"/>
    <n v="50"/>
    <s v="Sports &amp; Outdoors"/>
    <s v="Basketball"/>
    <n v="2"/>
    <n v="95.99"/>
    <s v="Cash on Delivery"/>
    <s v="Monicaland"/>
    <n v="5"/>
    <s v="F"/>
    <n v="39"/>
    <n v="191.98"/>
    <n v="57.593999999999994"/>
  </r>
  <r>
    <n v="62120"/>
    <x v="328"/>
    <n v="501"/>
    <n v="50"/>
    <s v="Sports &amp; Outdoors"/>
    <s v="Basketball"/>
    <n v="3"/>
    <n v="456.38"/>
    <s v="Bank Transfer"/>
    <s v="East Bryanport"/>
    <n v="3"/>
    <s v="F"/>
    <n v="50"/>
    <n v="1369.1399999999999"/>
    <n v="410.74199999999996"/>
  </r>
  <r>
    <n v="11655"/>
    <x v="328"/>
    <n v="961"/>
    <n v="10"/>
    <s v="Electronics"/>
    <s v="Laptop"/>
    <n v="4"/>
    <n v="365.54"/>
    <s v="Bank Transfer"/>
    <s v="Navarrostad"/>
    <n v="5"/>
    <s v="M"/>
    <n v="61"/>
    <n v="1462.16"/>
    <n v="438.64800000000002"/>
  </r>
  <r>
    <n v="97350"/>
    <x v="329"/>
    <n v="770"/>
    <n v="40"/>
    <s v="Books &amp; Stationery"/>
    <s v="Story Book"/>
    <n v="4"/>
    <n v="143.74"/>
    <s v="Bank Transfer"/>
    <s v="West Kathleen"/>
    <m/>
    <s v="M"/>
    <n v="70"/>
    <n v="574.96"/>
    <n v="172.488"/>
  </r>
  <r>
    <n v="18555"/>
    <x v="329"/>
    <n v="287"/>
    <n v="50"/>
    <s v="Sports &amp; Outdoors"/>
    <s v="Tent"/>
    <n v="2"/>
    <n v="332.47"/>
    <s v="Credit Card"/>
    <s v="Gutierreztown"/>
    <n v="5"/>
    <s v="M"/>
    <n v="68"/>
    <n v="664.94"/>
    <n v="199.482"/>
  </r>
  <r>
    <n v="53993"/>
    <x v="329"/>
    <n v="268"/>
    <n v="20"/>
    <s v="Fashion"/>
    <s v="T-shirt"/>
    <n v="3"/>
    <n v="280.89999999999998"/>
    <s v="Cash on Delivery"/>
    <s v="Whiteborough"/>
    <n v="5"/>
    <s v="M"/>
    <n v="47"/>
    <n v="842.69999999999993"/>
    <n v="252.80999999999997"/>
  </r>
  <r>
    <n v="37762"/>
    <x v="330"/>
    <n v="442"/>
    <n v="10"/>
    <s v="Electronics"/>
    <s v="Tablet"/>
    <n v="1"/>
    <n v="94.6"/>
    <s v="Cash on Delivery"/>
    <s v="New Steven"/>
    <n v="4"/>
    <s v="M"/>
    <n v="32"/>
    <n v="94.6"/>
    <n v="28.38"/>
  </r>
  <r>
    <n v="37624"/>
    <x v="331"/>
    <n v="681"/>
    <n v="20"/>
    <s v="Fashion"/>
    <s v="Skirt"/>
    <n v="1"/>
    <n v="461"/>
    <s v="Credit Card"/>
    <s v="Dennisburgh"/>
    <n v="5"/>
    <s v="M"/>
    <n v="20"/>
    <n v="461"/>
    <n v="138.29999999999998"/>
  </r>
  <r>
    <n v="38512"/>
    <x v="332"/>
    <n v="976"/>
    <n v="20"/>
    <s v="Fashion"/>
    <s v="Skirt"/>
    <n v="5"/>
    <n v="229.81"/>
    <s v="Credit Card"/>
    <s v="Huntershire"/>
    <n v="5"/>
    <s v="M"/>
    <n v="34"/>
    <n v="1149.05"/>
    <n v="344.71499999999997"/>
  </r>
  <r>
    <n v="56081"/>
    <x v="332"/>
    <n v="502"/>
    <n v="10"/>
    <s v="Electronics"/>
    <s v="Smartwatch"/>
    <n v="5"/>
    <n v="370.24"/>
    <s v="Bank Transfer"/>
    <s v="Kennethton"/>
    <m/>
    <s v="M"/>
    <n v="38"/>
    <n v="1851.2"/>
    <n v="555.36"/>
  </r>
  <r>
    <n v="33770"/>
    <x v="333"/>
    <n v="716"/>
    <n v="10"/>
    <s v="Electronics"/>
    <s v="Tablet"/>
    <n v="1"/>
    <n v="433.99"/>
    <s v="Credit Card"/>
    <s v="East Frankhaven"/>
    <n v="5"/>
    <s v="M"/>
    <n v="42"/>
    <n v="433.99"/>
    <n v="130.197"/>
  </r>
  <r>
    <n v="86727"/>
    <x v="333"/>
    <n v="102"/>
    <n v="50"/>
    <s v="Sports &amp; Outdoors"/>
    <s v="Soccer Ball"/>
    <n v="4"/>
    <n v="380.42"/>
    <s v="Cash on Delivery"/>
    <s v="Patriciafort"/>
    <m/>
    <s v="F"/>
    <n v="46"/>
    <n v="1521.68"/>
    <n v="456.50400000000002"/>
  </r>
  <r>
    <n v="35717"/>
    <x v="333"/>
    <n v="374"/>
    <n v="40"/>
    <s v="Books &amp; Stationery"/>
    <s v="Novel"/>
    <n v="1"/>
    <n v="239.35"/>
    <s v="Cash on Delivery"/>
    <s v="Danielmouth"/>
    <m/>
    <s v="F"/>
    <n v="34"/>
    <n v="239.35"/>
    <n v="71.804999999999993"/>
  </r>
  <r>
    <n v="39860"/>
    <x v="334"/>
    <n v="967"/>
    <n v="30"/>
    <s v="Home &amp; Living"/>
    <s v="Blanket"/>
    <n v="1"/>
    <n v="77.42"/>
    <s v="Bank Transfer"/>
    <s v="Port Josephview"/>
    <n v="5"/>
    <s v="F"/>
    <n v="53"/>
    <n v="77.42"/>
    <n v="23.225999999999999"/>
  </r>
  <r>
    <n v="85518"/>
    <x v="334"/>
    <n v="519"/>
    <n v="50"/>
    <s v="Sports &amp; Outdoors"/>
    <s v="Basketball"/>
    <n v="1"/>
    <n v="292.66000000000003"/>
    <s v="Cash on Delivery"/>
    <s v="East Martin"/>
    <n v="5"/>
    <s v="M"/>
    <n v="75"/>
    <n v="292.66000000000003"/>
    <n v="87.798000000000002"/>
  </r>
  <r>
    <n v="25702"/>
    <x v="335"/>
    <n v="423"/>
    <n v="40"/>
    <s v="Books &amp; Stationery"/>
    <s v="Eraser"/>
    <n v="4"/>
    <n v="306.66000000000003"/>
    <s v="Credit Card"/>
    <s v="New Brian"/>
    <n v="5"/>
    <s v="M"/>
    <n v="40"/>
    <n v="1226.6400000000001"/>
    <n v="367.99200000000002"/>
  </r>
  <r>
    <n v="79470"/>
    <x v="335"/>
    <n v="247"/>
    <n v="40"/>
    <s v="Books &amp; Stationery"/>
    <s v="Novel"/>
    <n v="2"/>
    <n v="190.5"/>
    <s v="Cash on Delivery"/>
    <s v="Paulborough"/>
    <m/>
    <s v="M"/>
    <n v="41"/>
    <n v="381"/>
    <n v="114.3"/>
  </r>
  <r>
    <n v="92393"/>
    <x v="335"/>
    <n v="344"/>
    <n v="50"/>
    <s v="Sports &amp; Outdoors"/>
    <s v="Yoga Mat"/>
    <n v="5"/>
    <n v="372.39"/>
    <s v="Credit Card"/>
    <s v="South Christineberg"/>
    <n v="4"/>
    <s v="F"/>
    <n v="63"/>
    <n v="1861.9499999999998"/>
    <n v="558.58499999999992"/>
  </r>
  <r>
    <n v="63014"/>
    <x v="335"/>
    <n v="323"/>
    <n v="20"/>
    <s v="Fashion"/>
    <s v="Dress"/>
    <n v="3"/>
    <n v="62.81"/>
    <s v="Bank Transfer"/>
    <s v="East David"/>
    <m/>
    <s v="F"/>
    <n v="39"/>
    <n v="188.43"/>
    <n v="56.529000000000003"/>
  </r>
  <r>
    <n v="85614"/>
    <x v="336"/>
    <n v="189"/>
    <n v="20"/>
    <s v="Fashion"/>
    <s v="T-shirt"/>
    <n v="5"/>
    <n v="452.67"/>
    <s v="Cash on Delivery"/>
    <s v="Harrisberg"/>
    <m/>
    <s v="F"/>
    <n v="70"/>
    <n v="2263.35"/>
    <n v="679.005"/>
  </r>
  <r>
    <n v="82817"/>
    <x v="336"/>
    <n v="486"/>
    <n v="50"/>
    <s v="Sports &amp; Outdoors"/>
    <s v="Yoga Mat"/>
    <n v="4"/>
    <n v="431.91"/>
    <s v="Cash on Delivery"/>
    <s v="South Michael"/>
    <n v="5"/>
    <s v="M"/>
    <n v="29"/>
    <n v="1727.64"/>
    <n v="518.29200000000003"/>
  </r>
  <r>
    <n v="81959"/>
    <x v="336"/>
    <n v="433"/>
    <n v="20"/>
    <s v="Fashion"/>
    <s v="Pants"/>
    <n v="2"/>
    <n v="369.7"/>
    <s v="Cash on Delivery"/>
    <s v="Martinbury"/>
    <n v="4"/>
    <s v="M"/>
    <n v="19"/>
    <n v="739.4"/>
    <n v="221.82"/>
  </r>
  <r>
    <n v="95322"/>
    <x v="337"/>
    <n v="621"/>
    <n v="50"/>
    <s v="Sports &amp; Outdoors"/>
    <s v="Running Shoes"/>
    <n v="2"/>
    <n v="34.61"/>
    <s v="Credit Card"/>
    <s v="Marcusville"/>
    <n v="5"/>
    <s v="M"/>
    <n v="43"/>
    <n v="69.22"/>
    <n v="20.765999999999998"/>
  </r>
  <r>
    <n v="48813"/>
    <x v="337"/>
    <n v="395"/>
    <n v="10"/>
    <s v="Electronics"/>
    <s v="Headphones"/>
    <n v="1"/>
    <n v="191.02"/>
    <s v="Credit Card"/>
    <s v="West James"/>
    <n v="5"/>
    <s v="F"/>
    <n v="75"/>
    <n v="191.02"/>
    <n v="57.306000000000004"/>
  </r>
  <r>
    <n v="15872"/>
    <x v="337"/>
    <n v="733"/>
    <n v="10"/>
    <s v="Electronics"/>
    <s v="Smartwatch"/>
    <n v="2"/>
    <n v="185.4"/>
    <s v="Bank Transfer"/>
    <s v="Reidchester"/>
    <n v="5"/>
    <s v="M"/>
    <n v="39"/>
    <n v="370.8"/>
    <n v="111.24"/>
  </r>
  <r>
    <n v="55698"/>
    <x v="338"/>
    <n v="776"/>
    <n v="40"/>
    <s v="Books &amp; Stationery"/>
    <s v="Pen"/>
    <n v="4"/>
    <n v="101.01"/>
    <s v="Cash on Delivery"/>
    <s v="Lake Cynthiastad"/>
    <n v="5"/>
    <s v="M"/>
    <n v="48"/>
    <n v="404.04"/>
    <n v="121.212"/>
  </r>
  <r>
    <n v="33156"/>
    <x v="338"/>
    <n v="855"/>
    <n v="10"/>
    <s v="Electronics"/>
    <s v="Headphones"/>
    <n v="3"/>
    <n v="301.07"/>
    <s v="Cash on Delivery"/>
    <s v="New Danielberg"/>
    <n v="5"/>
    <s v="F"/>
    <n v="60"/>
    <n v="903.21"/>
    <n v="270.96300000000002"/>
  </r>
  <r>
    <n v="55421"/>
    <x v="338"/>
    <n v="315"/>
    <n v="30"/>
    <s v="Home &amp; Living"/>
    <s v="Blanket"/>
    <n v="2"/>
    <n v="307.12"/>
    <s v="Credit Card"/>
    <s v="New Shawn"/>
    <n v="4"/>
    <s v="M"/>
    <n v="26"/>
    <n v="614.24"/>
    <n v="184.27199999999999"/>
  </r>
  <r>
    <n v="10539"/>
    <x v="339"/>
    <n v="142"/>
    <n v="40"/>
    <s v="Books &amp; Stationery"/>
    <s v="Story Book"/>
    <n v="1"/>
    <n v="34.64"/>
    <s v="Bank Transfer"/>
    <s v="Anthonyport"/>
    <n v="3"/>
    <s v="F"/>
    <n v="44"/>
    <n v="34.64"/>
    <n v="10.391999999999999"/>
  </r>
  <r>
    <n v="68238"/>
    <x v="339"/>
    <n v="261"/>
    <n v="50"/>
    <s v="Sports &amp; Outdoors"/>
    <s v="Soccer Ball"/>
    <n v="3"/>
    <n v="332.25"/>
    <s v="Cash on Delivery"/>
    <s v="New Brandon"/>
    <n v="4"/>
    <s v="M"/>
    <n v="68"/>
    <n v="996.75"/>
    <n v="299.02499999999998"/>
  </r>
  <r>
    <n v="25747"/>
    <x v="340"/>
    <n v="874"/>
    <n v="30"/>
    <s v="Home &amp; Living"/>
    <s v="Painting"/>
    <n v="4"/>
    <n v="60.76"/>
    <s v="Cash on Delivery"/>
    <s v="Amandaborough"/>
    <n v="1"/>
    <s v="F"/>
    <n v="64"/>
    <n v="243.04"/>
    <n v="72.911999999999992"/>
  </r>
  <r>
    <n v="66977"/>
    <x v="340"/>
    <n v="568"/>
    <n v="20"/>
    <s v="Fashion"/>
    <s v="Dress"/>
    <n v="1"/>
    <n v="354.32"/>
    <s v="Bank Transfer"/>
    <s v="Henryborough"/>
    <n v="5"/>
    <s v="M"/>
    <n v="67"/>
    <n v="354.32"/>
    <n v="106.29599999999999"/>
  </r>
  <r>
    <n v="24175"/>
    <x v="341"/>
    <n v="122"/>
    <n v="40"/>
    <s v="Books &amp; Stationery"/>
    <s v="Pen"/>
    <n v="5"/>
    <n v="470.43"/>
    <s v="Credit Card"/>
    <s v="Frazierbury"/>
    <n v="4"/>
    <s v="M"/>
    <n v="25"/>
    <n v="2352.15"/>
    <n v="705.64499999999998"/>
  </r>
  <r>
    <n v="27730"/>
    <x v="341"/>
    <n v="385"/>
    <n v="30"/>
    <s v="Home &amp; Living"/>
    <s v="Blanket"/>
    <n v="1"/>
    <n v="366.27"/>
    <s v="Bank Transfer"/>
    <s v="Tiffanystad"/>
    <n v="5"/>
    <s v="M"/>
    <n v="44"/>
    <n v="366.27"/>
    <n v="109.88099999999999"/>
  </r>
  <r>
    <n v="75395"/>
    <x v="341"/>
    <n v="175"/>
    <n v="40"/>
    <s v="Books &amp; Stationery"/>
    <s v="Novel"/>
    <n v="2"/>
    <n v="300.16000000000003"/>
    <s v="Bank Transfer"/>
    <s v="Jesseburgh"/>
    <n v="3"/>
    <s v="M"/>
    <n v="64"/>
    <n v="600.32000000000005"/>
    <n v="180.096"/>
  </r>
  <r>
    <m/>
    <x v="342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79898"/>
    <d v="2024-03-19T00:00:00"/>
    <n v="871"/>
    <n v="10"/>
    <s v="Electronics"/>
    <s v="Smartphone"/>
    <n v="5"/>
    <n v="84.89"/>
    <s v="Credit Card"/>
    <x v="0"/>
    <n v="5"/>
    <x v="0"/>
    <n v="68"/>
    <x v="0"/>
    <n v="424.45"/>
    <n v="127.33499999999999"/>
  </r>
  <r>
    <n v="94899"/>
    <d v="2024-03-19T00:00:00"/>
    <n v="853"/>
    <n v="30"/>
    <s v="Home &amp; Living"/>
    <s v="Vase"/>
    <n v="5"/>
    <n v="309.64"/>
    <s v="Cash on Delivery"/>
    <x v="1"/>
    <n v="4"/>
    <x v="1"/>
    <n v="47"/>
    <x v="1"/>
    <n v="1548.1999999999998"/>
    <n v="464.45999999999992"/>
  </r>
  <r>
    <n v="44470"/>
    <d v="2024-03-20T00:00:00"/>
    <n v="188"/>
    <n v="50"/>
    <s v="Sports &amp; Outdoors"/>
    <s v="Tent"/>
    <n v="5"/>
    <n v="28.5"/>
    <s v="Bank Transfer"/>
    <x v="2"/>
    <n v="5"/>
    <x v="1"/>
    <n v="61"/>
    <x v="0"/>
    <n v="142.5"/>
    <n v="42.75"/>
  </r>
  <r>
    <n v="14447"/>
    <d v="2024-03-20T00:00:00"/>
    <n v="761"/>
    <n v="40"/>
    <s v="Books &amp; Stationery"/>
    <s v="Pen"/>
    <n v="2"/>
    <n v="109.97"/>
    <s v="Cash on Delivery"/>
    <x v="3"/>
    <m/>
    <x v="1"/>
    <n v="69"/>
    <x v="0"/>
    <n v="219.94"/>
    <n v="65.981999999999999"/>
  </r>
  <r>
    <n v="91781"/>
    <d v="2024-03-20T00:00:00"/>
    <n v="497"/>
    <n v="10"/>
    <s v="Electronics"/>
    <s v="Smartwatch"/>
    <n v="3"/>
    <n v="481.95"/>
    <s v="Cash on Delivery"/>
    <x v="4"/>
    <n v="3"/>
    <x v="1"/>
    <n v="42"/>
    <x v="2"/>
    <n v="1445.85"/>
    <n v="433.75499999999994"/>
  </r>
  <r>
    <n v="52849"/>
    <d v="2024-03-20T00:00:00"/>
    <n v="829"/>
    <n v="20"/>
    <s v="Fashion"/>
    <s v="T-shirt"/>
    <n v="3"/>
    <n v="99.38"/>
    <s v="Bank Transfer"/>
    <x v="5"/>
    <m/>
    <x v="1"/>
    <n v="19"/>
    <x v="3"/>
    <n v="298.14"/>
    <n v="89.441999999999993"/>
  </r>
  <r>
    <n v="98156"/>
    <d v="2024-03-20T00:00:00"/>
    <n v="759"/>
    <n v="40"/>
    <s v="Books &amp; Stationery"/>
    <s v="Story Book"/>
    <n v="3"/>
    <n v="371.43"/>
    <s v="Credit Card"/>
    <x v="6"/>
    <m/>
    <x v="1"/>
    <n v="48"/>
    <x v="1"/>
    <n v="1114.29"/>
    <n v="334.28699999999998"/>
  </r>
  <r>
    <n v="65571"/>
    <d v="2024-03-20T00:00:00"/>
    <n v="646"/>
    <n v="20"/>
    <s v="Fashion"/>
    <s v="Pants"/>
    <n v="1"/>
    <n v="135.56"/>
    <s v="Bank Transfer"/>
    <x v="7"/>
    <m/>
    <x v="0"/>
    <n v="20"/>
    <x v="3"/>
    <n v="135.56"/>
    <n v="40.667999999999999"/>
  </r>
  <r>
    <n v="96568"/>
    <d v="2024-03-21T00:00:00"/>
    <n v="842"/>
    <n v="20"/>
    <s v="Fashion"/>
    <s v="Dress"/>
    <n v="1"/>
    <n v="284.33"/>
    <s v="Bank Transfer"/>
    <x v="8"/>
    <n v="1"/>
    <x v="0"/>
    <n v="62"/>
    <x v="0"/>
    <n v="284.33"/>
    <n v="85.298999999999992"/>
  </r>
  <r>
    <n v="91997"/>
    <d v="2024-03-21T00:00:00"/>
    <n v="118"/>
    <n v="30"/>
    <s v="Home &amp; Living"/>
    <s v="Vase"/>
    <n v="4"/>
    <n v="445.11"/>
    <s v="Credit Card"/>
    <x v="9"/>
    <n v="3"/>
    <x v="2"/>
    <n v="47"/>
    <x v="1"/>
    <n v="1780.44"/>
    <n v="534.13199999999995"/>
  </r>
  <r>
    <n v="20636"/>
    <d v="2024-03-22T00:00:00"/>
    <n v="707"/>
    <n v="10"/>
    <s v="Electronics"/>
    <s v="Laptop"/>
    <n v="2"/>
    <n v="257.81"/>
    <s v="Bank Transfer"/>
    <x v="10"/>
    <m/>
    <x v="1"/>
    <n v="31"/>
    <x v="2"/>
    <n v="515.62"/>
    <n v="154.68600000000001"/>
  </r>
  <r>
    <n v="72701"/>
    <d v="2024-03-22T00:00:00"/>
    <n v="828"/>
    <n v="50"/>
    <s v="Sports &amp; Outdoors"/>
    <s v="Tent"/>
    <n v="5"/>
    <n v="395.78"/>
    <s v="Credit Card"/>
    <x v="11"/>
    <n v="5"/>
    <x v="1"/>
    <n v="56"/>
    <x v="1"/>
    <n v="1978.8999999999999"/>
    <n v="593.66999999999996"/>
  </r>
  <r>
    <n v="77729"/>
    <d v="2024-03-23T00:00:00"/>
    <n v="744"/>
    <n v="50"/>
    <s v="Sports &amp; Outdoors"/>
    <s v="Basketball"/>
    <n v="3"/>
    <n v="243.37"/>
    <s v="Credit Card"/>
    <x v="12"/>
    <n v="3"/>
    <x v="1"/>
    <n v="64"/>
    <x v="0"/>
    <n v="730.11"/>
    <n v="219.03299999999999"/>
  </r>
  <r>
    <n v="85934"/>
    <d v="2024-03-23T00:00:00"/>
    <n v="141"/>
    <n v="10"/>
    <s v="Electronics"/>
    <s v="Smartphone"/>
    <n v="2"/>
    <n v="200.17"/>
    <s v="Bank Transfer"/>
    <x v="13"/>
    <n v="4"/>
    <x v="1"/>
    <n v="60"/>
    <x v="1"/>
    <n v="400.34"/>
    <n v="120.10199999999999"/>
  </r>
  <r>
    <n v="49993"/>
    <d v="2024-03-23T00:00:00"/>
    <n v="880"/>
    <n v="10"/>
    <s v="Electronics"/>
    <s v="Smartphone"/>
    <n v="1"/>
    <n v="162.38"/>
    <s v="Credit Card"/>
    <x v="14"/>
    <n v="5"/>
    <x v="1"/>
    <n v="73"/>
    <x v="0"/>
    <n v="162.38"/>
    <n v="48.713999999999999"/>
  </r>
  <r>
    <n v="86746"/>
    <d v="2024-03-24T00:00:00"/>
    <n v="768"/>
    <n v="30"/>
    <s v="Home &amp; Living"/>
    <s v="Pillow"/>
    <n v="3"/>
    <n v="298.27"/>
    <s v="Credit Card"/>
    <x v="15"/>
    <n v="4"/>
    <x v="0"/>
    <n v="62"/>
    <x v="0"/>
    <n v="894.81"/>
    <n v="268.44299999999998"/>
  </r>
  <r>
    <n v="80803"/>
    <d v="2024-03-24T00:00:00"/>
    <n v="882"/>
    <n v="30"/>
    <s v="Home &amp; Living"/>
    <s v="Pillow"/>
    <n v="1"/>
    <n v="293"/>
    <s v="Bank Transfer"/>
    <x v="16"/>
    <n v="5"/>
    <x v="0"/>
    <n v="26"/>
    <x v="3"/>
    <n v="293"/>
    <n v="87.899999999999991"/>
  </r>
  <r>
    <n v="21588"/>
    <d v="2024-03-25T00:00:00"/>
    <n v="112"/>
    <n v="40"/>
    <s v="Books &amp; Stationery"/>
    <s v="Notebook"/>
    <n v="2"/>
    <n v="298.63"/>
    <s v="Cash on Delivery"/>
    <x v="17"/>
    <n v="5"/>
    <x v="1"/>
    <n v="33"/>
    <x v="2"/>
    <n v="597.26"/>
    <n v="179.178"/>
  </r>
  <r>
    <n v="65624"/>
    <d v="2024-03-26T00:00:00"/>
    <n v="732"/>
    <n v="50"/>
    <s v="Sports &amp; Outdoors"/>
    <s v="Basketball"/>
    <n v="2"/>
    <n v="188.47"/>
    <s v="Credit Card"/>
    <x v="18"/>
    <n v="5"/>
    <x v="2"/>
    <n v="63"/>
    <x v="0"/>
    <n v="376.94"/>
    <n v="113.08199999999999"/>
  </r>
  <r>
    <n v="55865"/>
    <d v="2024-03-26T00:00:00"/>
    <n v="915"/>
    <n v="40"/>
    <s v="Books &amp; Stationery"/>
    <s v="Pen"/>
    <n v="1"/>
    <n v="341.89"/>
    <s v="Credit Card"/>
    <x v="19"/>
    <n v="5"/>
    <x v="0"/>
    <n v="64"/>
    <x v="0"/>
    <n v="341.89"/>
    <n v="102.56699999999999"/>
  </r>
  <r>
    <n v="30090"/>
    <d v="2024-03-26T00:00:00"/>
    <n v="493"/>
    <n v="30"/>
    <s v="Home &amp; Living"/>
    <s v="Blanket"/>
    <n v="3"/>
    <n v="29.52"/>
    <s v="Credit Card"/>
    <x v="20"/>
    <n v="5"/>
    <x v="0"/>
    <n v="20"/>
    <x v="3"/>
    <n v="88.56"/>
    <n v="26.568000000000001"/>
  </r>
  <r>
    <n v="22264"/>
    <d v="2024-03-26T00:00:00"/>
    <n v="870"/>
    <n v="50"/>
    <s v="Sports &amp; Outdoors"/>
    <s v="Soccer Ball"/>
    <n v="1"/>
    <n v="138.85"/>
    <s v="Cash on Delivery"/>
    <x v="21"/>
    <n v="5"/>
    <x v="1"/>
    <n v="63"/>
    <x v="0"/>
    <n v="138.85"/>
    <n v="41.654999999999994"/>
  </r>
  <r>
    <n v="92087"/>
    <d v="2024-03-26T00:00:00"/>
    <n v="888"/>
    <n v="10"/>
    <s v="Electronics"/>
    <s v="Laptop"/>
    <n v="4"/>
    <n v="26.2"/>
    <s v="Credit Card"/>
    <x v="22"/>
    <n v="5"/>
    <x v="1"/>
    <n v="21"/>
    <x v="3"/>
    <n v="104.8"/>
    <n v="31.439999999999998"/>
  </r>
  <r>
    <n v="73009"/>
    <d v="2024-03-27T00:00:00"/>
    <n v="569"/>
    <n v="30"/>
    <s v="Home &amp; Living"/>
    <s v="Vase"/>
    <n v="4"/>
    <n v="169.83"/>
    <s v="Cash on Delivery"/>
    <x v="23"/>
    <n v="2"/>
    <x v="0"/>
    <n v="29"/>
    <x v="3"/>
    <n v="679.32"/>
    <n v="203.79600000000002"/>
  </r>
  <r>
    <n v="92950"/>
    <d v="2024-03-27T00:00:00"/>
    <n v="265"/>
    <n v="30"/>
    <s v="Home &amp; Living"/>
    <s v="Painting"/>
    <n v="2"/>
    <n v="217.67"/>
    <s v="Bank Transfer"/>
    <x v="24"/>
    <n v="5"/>
    <x v="1"/>
    <n v="37"/>
    <x v="2"/>
    <n v="435.34"/>
    <n v="130.60199999999998"/>
  </r>
  <r>
    <n v="96700"/>
    <d v="2024-03-27T00:00:00"/>
    <n v="598"/>
    <n v="30"/>
    <s v="Home &amp; Living"/>
    <s v="Painting"/>
    <n v="4"/>
    <n v="474.04"/>
    <s v="Cash on Delivery"/>
    <x v="25"/>
    <n v="5"/>
    <x v="1"/>
    <n v="64"/>
    <x v="0"/>
    <n v="1896.16"/>
    <n v="568.84799999999996"/>
  </r>
  <r>
    <n v="37330"/>
    <d v="2024-03-27T00:00:00"/>
    <n v="881"/>
    <n v="50"/>
    <s v="Sports &amp; Outdoors"/>
    <s v="Yoga Mat"/>
    <n v="5"/>
    <n v="219.26"/>
    <s v="Bank Transfer"/>
    <x v="26"/>
    <n v="2"/>
    <x v="1"/>
    <n v="49"/>
    <x v="1"/>
    <n v="1096.3"/>
    <n v="328.89"/>
  </r>
  <r>
    <n v="92232"/>
    <d v="2024-03-28T00:00:00"/>
    <n v="961"/>
    <n v="40"/>
    <s v="Books &amp; Stationery"/>
    <s v="Story Book"/>
    <n v="4"/>
    <n v="410.28"/>
    <s v="Cash on Delivery"/>
    <x v="27"/>
    <m/>
    <x v="0"/>
    <n v="33"/>
    <x v="2"/>
    <n v="1641.12"/>
    <n v="492.33599999999996"/>
  </r>
  <r>
    <n v="17044"/>
    <d v="2024-03-28T00:00:00"/>
    <n v="502"/>
    <n v="50"/>
    <s v="Sports &amp; Outdoors"/>
    <s v="Soccer Ball"/>
    <n v="1"/>
    <n v="306.5"/>
    <s v="Cash on Delivery"/>
    <x v="28"/>
    <n v="4"/>
    <x v="0"/>
    <n v="47"/>
    <x v="1"/>
    <n v="306.5"/>
    <n v="91.95"/>
  </r>
  <r>
    <n v="39825"/>
    <d v="2024-03-28T00:00:00"/>
    <n v="301"/>
    <n v="40"/>
    <s v="Books &amp; Stationery"/>
    <s v="Notebook"/>
    <n v="5"/>
    <n v="353.19"/>
    <s v="Cash on Delivery"/>
    <x v="29"/>
    <n v="5"/>
    <x v="2"/>
    <n v="50"/>
    <x v="1"/>
    <n v="1765.95"/>
    <n v="529.78499999999997"/>
  </r>
  <r>
    <n v="47212"/>
    <d v="2024-03-28T00:00:00"/>
    <n v="856"/>
    <n v="20"/>
    <s v="Fashion"/>
    <s v="Skirt"/>
    <n v="4"/>
    <n v="477.68"/>
    <s v="Credit Card"/>
    <x v="30"/>
    <m/>
    <x v="0"/>
    <n v="29"/>
    <x v="3"/>
    <n v="1910.72"/>
    <n v="573.21600000000001"/>
  </r>
  <r>
    <n v="72238"/>
    <d v="2024-03-28T00:00:00"/>
    <n v="435"/>
    <n v="20"/>
    <s v="Fashion"/>
    <s v="T-shirt"/>
    <n v="2"/>
    <n v="74.459999999999994"/>
    <s v="Credit Card"/>
    <x v="31"/>
    <n v="5"/>
    <x v="1"/>
    <n v="74"/>
    <x v="0"/>
    <n v="148.91999999999999"/>
    <n v="44.675999999999995"/>
  </r>
  <r>
    <n v="97102"/>
    <d v="2024-03-28T00:00:00"/>
    <n v="663"/>
    <n v="50"/>
    <s v="Sports &amp; Outdoors"/>
    <s v="Yoga Mat"/>
    <n v="4"/>
    <n v="286.82"/>
    <s v="Cash on Delivery"/>
    <x v="32"/>
    <n v="3"/>
    <x v="1"/>
    <n v="55"/>
    <x v="1"/>
    <n v="1147.28"/>
    <n v="344.18399999999997"/>
  </r>
  <r>
    <n v="54869"/>
    <d v="2024-03-29T00:00:00"/>
    <n v="369"/>
    <n v="10"/>
    <s v="Electronics"/>
    <s v="Smartphone"/>
    <n v="4"/>
    <n v="486.84"/>
    <s v="Cash on Delivery"/>
    <x v="33"/>
    <n v="5"/>
    <x v="1"/>
    <n v="42"/>
    <x v="2"/>
    <n v="1947.36"/>
    <n v="584.20799999999997"/>
  </r>
  <r>
    <n v="51679"/>
    <d v="2024-03-29T00:00:00"/>
    <n v="861"/>
    <n v="40"/>
    <s v="Books &amp; Stationery"/>
    <s v="Pen"/>
    <n v="4"/>
    <n v="101.29"/>
    <s v="Cash on Delivery"/>
    <x v="34"/>
    <n v="5"/>
    <x v="2"/>
    <n v="32"/>
    <x v="2"/>
    <n v="405.16"/>
    <n v="121.548"/>
  </r>
  <r>
    <n v="36926"/>
    <d v="2024-03-29T00:00:00"/>
    <n v="350"/>
    <n v="40"/>
    <s v="Books &amp; Stationery"/>
    <s v="Notebook"/>
    <n v="2"/>
    <n v="137.12"/>
    <s v="Bank Transfer"/>
    <x v="35"/>
    <n v="4"/>
    <x v="1"/>
    <n v="68"/>
    <x v="0"/>
    <n v="274.24"/>
    <n v="82.272000000000006"/>
  </r>
  <r>
    <n v="48604"/>
    <d v="2024-03-30T00:00:00"/>
    <n v="899"/>
    <n v="30"/>
    <s v="Home &amp; Living"/>
    <s v="Pillow"/>
    <n v="5"/>
    <n v="230.49"/>
    <s v="Cash on Delivery"/>
    <x v="36"/>
    <n v="4"/>
    <x v="0"/>
    <n v="36"/>
    <x v="2"/>
    <n v="1152.45"/>
    <n v="345.73500000000001"/>
  </r>
  <r>
    <n v="43279"/>
    <d v="2024-03-30T00:00:00"/>
    <n v="403"/>
    <n v="30"/>
    <s v="Home &amp; Living"/>
    <s v="Carpet"/>
    <n v="4"/>
    <n v="247.25"/>
    <s v="Credit Card"/>
    <x v="37"/>
    <n v="2"/>
    <x v="0"/>
    <n v="26"/>
    <x v="3"/>
    <n v="989"/>
    <n v="296.7"/>
  </r>
  <r>
    <n v="14872"/>
    <d v="2024-03-31T00:00:00"/>
    <n v="353"/>
    <n v="20"/>
    <s v="Fashion"/>
    <s v="Pants"/>
    <n v="2"/>
    <n v="272.77999999999997"/>
    <s v="Credit Card"/>
    <x v="38"/>
    <n v="4"/>
    <x v="0"/>
    <n v="32"/>
    <x v="2"/>
    <n v="545.55999999999995"/>
    <n v="163.66799999999998"/>
  </r>
  <r>
    <n v="22729"/>
    <d v="2024-03-31T00:00:00"/>
    <n v="649"/>
    <n v="30"/>
    <s v="Home &amp; Living"/>
    <s v="Blanket"/>
    <n v="2"/>
    <n v="131.22"/>
    <s v="Bank Transfer"/>
    <x v="39"/>
    <n v="4"/>
    <x v="0"/>
    <n v="32"/>
    <x v="2"/>
    <n v="262.44"/>
    <n v="78.731999999999999"/>
  </r>
  <r>
    <n v="33678"/>
    <d v="2024-04-01T00:00:00"/>
    <n v="732"/>
    <n v="20"/>
    <s v="Fashion"/>
    <s v="Shirt"/>
    <n v="1"/>
    <n v="380.08"/>
    <s v="Cash on Delivery"/>
    <x v="40"/>
    <n v="1"/>
    <x v="0"/>
    <n v="29"/>
    <x v="3"/>
    <n v="380.08"/>
    <n v="114.02399999999999"/>
  </r>
  <r>
    <n v="65546"/>
    <d v="2024-04-01T00:00:00"/>
    <n v="575"/>
    <n v="20"/>
    <s v="Fashion"/>
    <s v="Dress"/>
    <n v="4"/>
    <n v="400.94"/>
    <s v="Bank Transfer"/>
    <x v="41"/>
    <n v="2"/>
    <x v="1"/>
    <n v="65"/>
    <x v="0"/>
    <n v="1603.76"/>
    <n v="481.12799999999999"/>
  </r>
  <r>
    <n v="31977"/>
    <d v="2024-04-01T00:00:00"/>
    <n v="490"/>
    <n v="50"/>
    <s v="Sports &amp; Outdoors"/>
    <s v="Tent"/>
    <n v="5"/>
    <n v="371.84"/>
    <s v="Credit Card"/>
    <x v="42"/>
    <n v="5"/>
    <x v="2"/>
    <n v="52"/>
    <x v="1"/>
    <n v="1859.1999999999998"/>
    <n v="557.75999999999988"/>
  </r>
  <r>
    <n v="55371"/>
    <d v="2024-04-02T00:00:00"/>
    <n v="753"/>
    <n v="50"/>
    <s v="Sports &amp; Outdoors"/>
    <s v="Basketball"/>
    <n v="4"/>
    <n v="263.69"/>
    <s v="Cash on Delivery"/>
    <x v="43"/>
    <n v="5"/>
    <x v="2"/>
    <n v="73"/>
    <x v="0"/>
    <n v="1054.76"/>
    <n v="316.428"/>
  </r>
  <r>
    <n v="54503"/>
    <d v="2024-04-03T00:00:00"/>
    <n v="416"/>
    <n v="50"/>
    <s v="Sports &amp; Outdoors"/>
    <s v="Soccer Ball"/>
    <n v="2"/>
    <n v="337.25"/>
    <s v="Cash on Delivery"/>
    <x v="44"/>
    <n v="2"/>
    <x v="1"/>
    <n v="42"/>
    <x v="2"/>
    <n v="674.5"/>
    <n v="202.35"/>
  </r>
  <r>
    <n v="76203"/>
    <d v="2024-04-03T00:00:00"/>
    <n v="307"/>
    <n v="20"/>
    <s v="Fashion"/>
    <s v="Dress"/>
    <n v="5"/>
    <n v="39.18"/>
    <s v="Credit Card"/>
    <x v="45"/>
    <n v="4"/>
    <x v="2"/>
    <n v="61"/>
    <x v="0"/>
    <n v="195.9"/>
    <n v="58.769999999999996"/>
  </r>
  <r>
    <n v="58032"/>
    <d v="2024-04-04T00:00:00"/>
    <n v="133"/>
    <n v="30"/>
    <s v="Home &amp; Living"/>
    <s v="Carpet"/>
    <n v="4"/>
    <n v="14.97"/>
    <s v="Credit Card"/>
    <x v="46"/>
    <m/>
    <x v="1"/>
    <n v="22"/>
    <x v="3"/>
    <n v="59.88"/>
    <n v="17.963999999999999"/>
  </r>
  <r>
    <n v="84661"/>
    <d v="2024-04-04T00:00:00"/>
    <n v="129"/>
    <n v="20"/>
    <s v="Fashion"/>
    <s v="Pants"/>
    <n v="2"/>
    <n v="272.83"/>
    <s v="Bank Transfer"/>
    <x v="47"/>
    <n v="4"/>
    <x v="1"/>
    <n v="38"/>
    <x v="2"/>
    <n v="545.66"/>
    <n v="163.69799999999998"/>
  </r>
  <r>
    <n v="62183"/>
    <d v="2024-04-04T00:00:00"/>
    <n v="568"/>
    <n v="50"/>
    <s v="Sports &amp; Outdoors"/>
    <s v="Soccer Ball"/>
    <n v="2"/>
    <n v="494.81"/>
    <s v="Cash on Delivery"/>
    <x v="48"/>
    <n v="3"/>
    <x v="1"/>
    <n v="52"/>
    <x v="1"/>
    <n v="989.62"/>
    <n v="296.88599999999997"/>
  </r>
  <r>
    <n v="62833"/>
    <d v="2024-04-05T00:00:00"/>
    <n v="955"/>
    <n v="20"/>
    <s v="Fashion"/>
    <s v="Skirt"/>
    <n v="1"/>
    <n v="457.29"/>
    <s v="Credit Card"/>
    <x v="49"/>
    <n v="1"/>
    <x v="1"/>
    <n v="71"/>
    <x v="0"/>
    <n v="457.29"/>
    <n v="137.18700000000001"/>
  </r>
  <r>
    <n v="61930"/>
    <d v="2024-04-05T00:00:00"/>
    <n v="660"/>
    <n v="10"/>
    <s v="Electronics"/>
    <s v="Smartwatch"/>
    <n v="3"/>
    <n v="362.2"/>
    <s v="Credit Card"/>
    <x v="50"/>
    <n v="2"/>
    <x v="1"/>
    <n v="44"/>
    <x v="2"/>
    <n v="1086.5999999999999"/>
    <n v="325.97999999999996"/>
  </r>
  <r>
    <n v="47971"/>
    <d v="2024-04-06T00:00:00"/>
    <n v="363"/>
    <n v="20"/>
    <s v="Fashion"/>
    <s v="Dress"/>
    <n v="5"/>
    <n v="279.12"/>
    <s v="Bank Transfer"/>
    <x v="51"/>
    <n v="4"/>
    <x v="1"/>
    <n v="47"/>
    <x v="1"/>
    <n v="1395.6"/>
    <n v="418.67999999999995"/>
  </r>
  <r>
    <n v="79864"/>
    <d v="2024-04-07T00:00:00"/>
    <n v="825"/>
    <n v="20"/>
    <s v="Fashion"/>
    <s v="T-shirt"/>
    <n v="5"/>
    <n v="125.64"/>
    <s v="Cash on Delivery"/>
    <x v="52"/>
    <n v="3"/>
    <x v="0"/>
    <n v="36"/>
    <x v="2"/>
    <n v="628.20000000000005"/>
    <n v="188.46"/>
  </r>
  <r>
    <n v="68604"/>
    <d v="2024-04-07T00:00:00"/>
    <n v="117"/>
    <n v="50"/>
    <s v="Sports &amp; Outdoors"/>
    <s v="Running Shoes"/>
    <n v="2"/>
    <n v="333.05"/>
    <s v="Credit Card"/>
    <x v="53"/>
    <m/>
    <x v="1"/>
    <n v="45"/>
    <x v="2"/>
    <n v="666.1"/>
    <n v="199.83"/>
  </r>
  <r>
    <n v="13120"/>
    <d v="2024-04-07T00:00:00"/>
    <n v="893"/>
    <n v="30"/>
    <s v="Home &amp; Living"/>
    <s v="Carpet"/>
    <n v="1"/>
    <n v="40.200000000000003"/>
    <s v="Cash on Delivery"/>
    <x v="54"/>
    <n v="5"/>
    <x v="0"/>
    <n v="59"/>
    <x v="1"/>
    <n v="40.200000000000003"/>
    <n v="12.06"/>
  </r>
  <r>
    <n v="18511"/>
    <d v="2024-04-07T00:00:00"/>
    <n v="877"/>
    <n v="30"/>
    <s v="Home &amp; Living"/>
    <s v="Vase"/>
    <n v="4"/>
    <n v="96.94"/>
    <s v="Cash on Delivery"/>
    <x v="55"/>
    <m/>
    <x v="2"/>
    <n v="56"/>
    <x v="1"/>
    <n v="387.76"/>
    <n v="116.32799999999999"/>
  </r>
  <r>
    <n v="78752"/>
    <d v="2024-04-07T00:00:00"/>
    <n v="158"/>
    <n v="30"/>
    <s v="Home &amp; Living"/>
    <s v="Pillow"/>
    <n v="5"/>
    <n v="178.2"/>
    <s v="Credit Card"/>
    <x v="56"/>
    <n v="3"/>
    <x v="1"/>
    <n v="49"/>
    <x v="1"/>
    <n v="891"/>
    <n v="267.3"/>
  </r>
  <r>
    <n v="49651"/>
    <d v="2024-04-08T00:00:00"/>
    <n v="937"/>
    <n v="40"/>
    <s v="Books &amp; Stationery"/>
    <s v="Novel"/>
    <n v="4"/>
    <n v="267.72000000000003"/>
    <s v="Bank Transfer"/>
    <x v="57"/>
    <m/>
    <x v="0"/>
    <n v="19"/>
    <x v="3"/>
    <n v="1070.8800000000001"/>
    <n v="321.26400000000001"/>
  </r>
  <r>
    <n v="98322"/>
    <d v="2024-04-08T00:00:00"/>
    <n v="157"/>
    <n v="50"/>
    <s v="Sports &amp; Outdoors"/>
    <s v="Basketball"/>
    <n v="1"/>
    <n v="200.44"/>
    <s v="Bank Transfer"/>
    <x v="58"/>
    <n v="5"/>
    <x v="1"/>
    <n v="60"/>
    <x v="1"/>
    <n v="200.44"/>
    <n v="60.131999999999998"/>
  </r>
  <r>
    <n v="28608"/>
    <d v="2024-04-08T00:00:00"/>
    <n v="436"/>
    <n v="10"/>
    <s v="Electronics"/>
    <s v="Smartwatch"/>
    <n v="1"/>
    <n v="478.75"/>
    <s v="Cash on Delivery"/>
    <x v="59"/>
    <n v="3"/>
    <x v="0"/>
    <n v="51"/>
    <x v="1"/>
    <n v="478.75"/>
    <n v="143.625"/>
  </r>
  <r>
    <n v="87690"/>
    <d v="2024-04-08T00:00:00"/>
    <n v="775"/>
    <n v="50"/>
    <s v="Sports &amp; Outdoors"/>
    <s v="Running Shoes"/>
    <n v="5"/>
    <n v="82.98"/>
    <s v="Cash on Delivery"/>
    <x v="60"/>
    <m/>
    <x v="2"/>
    <n v="41"/>
    <x v="2"/>
    <n v="414.90000000000003"/>
    <n v="124.47"/>
  </r>
  <r>
    <n v="11145"/>
    <d v="2024-04-09T00:00:00"/>
    <n v="461"/>
    <n v="30"/>
    <s v="Home &amp; Living"/>
    <s v="Blanket"/>
    <n v="1"/>
    <n v="38.380000000000003"/>
    <s v="Cash on Delivery"/>
    <x v="61"/>
    <n v="5"/>
    <x v="0"/>
    <n v="34"/>
    <x v="2"/>
    <n v="38.380000000000003"/>
    <n v="11.514000000000001"/>
  </r>
  <r>
    <n v="51971"/>
    <d v="2024-04-09T00:00:00"/>
    <n v="990"/>
    <n v="50"/>
    <s v="Sports &amp; Outdoors"/>
    <s v="Soccer Ball"/>
    <n v="4"/>
    <n v="115.36"/>
    <s v="Bank Transfer"/>
    <x v="62"/>
    <m/>
    <x v="1"/>
    <n v="41"/>
    <x v="2"/>
    <n v="461.44"/>
    <n v="138.43199999999999"/>
  </r>
  <r>
    <n v="57960"/>
    <d v="2024-04-09T00:00:00"/>
    <n v="951"/>
    <n v="40"/>
    <s v="Books &amp; Stationery"/>
    <s v="Pen"/>
    <n v="1"/>
    <n v="220.22"/>
    <s v="Bank Transfer"/>
    <x v="63"/>
    <n v="3"/>
    <x v="0"/>
    <n v="29"/>
    <x v="3"/>
    <n v="220.22"/>
    <n v="66.066000000000003"/>
  </r>
  <r>
    <n v="16539"/>
    <d v="2024-04-10T00:00:00"/>
    <n v="334"/>
    <n v="50"/>
    <s v="Sports &amp; Outdoors"/>
    <s v="Soccer Ball"/>
    <n v="3"/>
    <n v="474.32"/>
    <s v="Credit Card"/>
    <x v="64"/>
    <n v="5"/>
    <x v="0"/>
    <n v="21"/>
    <x v="3"/>
    <n v="1422.96"/>
    <n v="426.88799999999998"/>
  </r>
  <r>
    <n v="26583"/>
    <d v="2024-04-10T00:00:00"/>
    <n v="217"/>
    <n v="20"/>
    <s v="Fashion"/>
    <s v="Dress"/>
    <n v="4"/>
    <n v="43.23"/>
    <s v="Cash on Delivery"/>
    <x v="65"/>
    <n v="5"/>
    <x v="0"/>
    <n v="60"/>
    <x v="1"/>
    <n v="172.92"/>
    <n v="51.875999999999998"/>
  </r>
  <r>
    <n v="48690"/>
    <d v="2024-04-11T00:00:00"/>
    <n v="161"/>
    <n v="20"/>
    <s v="Fashion"/>
    <s v="Shirt"/>
    <n v="3"/>
    <n v="139.94999999999999"/>
    <s v="Bank Transfer"/>
    <x v="66"/>
    <n v="5"/>
    <x v="1"/>
    <n v="18"/>
    <x v="3"/>
    <n v="419.84999999999997"/>
    <n v="125.95499999999998"/>
  </r>
  <r>
    <n v="52835"/>
    <d v="2024-04-11T00:00:00"/>
    <n v="159"/>
    <n v="40"/>
    <s v="Books &amp; Stationery"/>
    <s v="Eraser"/>
    <n v="2"/>
    <n v="381.5"/>
    <s v="Cash on Delivery"/>
    <x v="67"/>
    <n v="4"/>
    <x v="1"/>
    <n v="31"/>
    <x v="2"/>
    <n v="763"/>
    <n v="228.9"/>
  </r>
  <r>
    <n v="62699"/>
    <d v="2024-04-11T00:00:00"/>
    <n v="722"/>
    <n v="10"/>
    <s v="Electronics"/>
    <s v="Laptop"/>
    <n v="4"/>
    <n v="19.28"/>
    <s v="Bank Transfer"/>
    <x v="68"/>
    <n v="4"/>
    <x v="0"/>
    <n v="36"/>
    <x v="2"/>
    <n v="77.12"/>
    <n v="23.135999999999999"/>
  </r>
  <r>
    <n v="52134"/>
    <d v="2024-04-11T00:00:00"/>
    <n v="592"/>
    <n v="50"/>
    <s v="Sports &amp; Outdoors"/>
    <s v="Basketball"/>
    <n v="1"/>
    <n v="340.27"/>
    <s v="Bank Transfer"/>
    <x v="69"/>
    <n v="1"/>
    <x v="0"/>
    <n v="65"/>
    <x v="0"/>
    <n v="340.27"/>
    <n v="102.08099999999999"/>
  </r>
  <r>
    <n v="54710"/>
    <d v="2024-04-11T00:00:00"/>
    <n v="343"/>
    <n v="10"/>
    <s v="Electronics"/>
    <s v="Smartwatch"/>
    <n v="5"/>
    <n v="240.37"/>
    <s v="Credit Card"/>
    <x v="70"/>
    <n v="5"/>
    <x v="0"/>
    <n v="27"/>
    <x v="3"/>
    <n v="1201.8499999999999"/>
    <n v="360.55499999999995"/>
  </r>
  <r>
    <n v="48695"/>
    <d v="2024-04-12T00:00:00"/>
    <n v="545"/>
    <n v="30"/>
    <s v="Home &amp; Living"/>
    <s v="Blanket"/>
    <n v="4"/>
    <n v="191.39"/>
    <s v="Credit Card"/>
    <x v="71"/>
    <n v="5"/>
    <x v="1"/>
    <n v="34"/>
    <x v="2"/>
    <n v="765.56"/>
    <n v="229.66799999999998"/>
  </r>
  <r>
    <n v="67405"/>
    <d v="2024-04-13T00:00:00"/>
    <n v="183"/>
    <n v="20"/>
    <s v="Fashion"/>
    <s v="T-shirt"/>
    <n v="2"/>
    <n v="85.31"/>
    <s v="Bank Transfer"/>
    <x v="72"/>
    <n v="4"/>
    <x v="1"/>
    <n v="43"/>
    <x v="2"/>
    <n v="170.62"/>
    <n v="51.186"/>
  </r>
  <r>
    <n v="23743"/>
    <d v="2024-04-14T00:00:00"/>
    <n v="388"/>
    <n v="40"/>
    <s v="Books &amp; Stationery"/>
    <s v="Pen"/>
    <n v="4"/>
    <n v="235.81"/>
    <s v="Cash on Delivery"/>
    <x v="73"/>
    <n v="5"/>
    <x v="0"/>
    <n v="43"/>
    <x v="2"/>
    <n v="943.24"/>
    <n v="282.97199999999998"/>
  </r>
  <r>
    <n v="61935"/>
    <d v="2024-04-14T00:00:00"/>
    <n v="484"/>
    <n v="30"/>
    <s v="Home &amp; Living"/>
    <s v="Vase"/>
    <n v="3"/>
    <n v="393.51"/>
    <s v="Bank Transfer"/>
    <x v="74"/>
    <n v="2"/>
    <x v="0"/>
    <n v="68"/>
    <x v="0"/>
    <n v="1180.53"/>
    <n v="354.15899999999999"/>
  </r>
  <r>
    <n v="11455"/>
    <d v="2024-04-14T00:00:00"/>
    <n v="374"/>
    <n v="50"/>
    <s v="Sports &amp; Outdoors"/>
    <s v="Yoga Mat"/>
    <n v="2"/>
    <n v="101.7"/>
    <s v="Bank Transfer"/>
    <x v="75"/>
    <n v="1"/>
    <x v="1"/>
    <n v="48"/>
    <x v="1"/>
    <n v="203.4"/>
    <n v="61.019999999999996"/>
  </r>
  <r>
    <n v="52736"/>
    <d v="2024-04-15T00:00:00"/>
    <n v="175"/>
    <n v="20"/>
    <s v="Fashion"/>
    <s v="Shirt"/>
    <n v="2"/>
    <n v="167.59"/>
    <s v="Bank Transfer"/>
    <x v="76"/>
    <n v="3"/>
    <x v="1"/>
    <n v="49"/>
    <x v="1"/>
    <n v="335.18"/>
    <n v="100.554"/>
  </r>
  <r>
    <n v="81790"/>
    <d v="2024-04-15T00:00:00"/>
    <n v="854"/>
    <n v="10"/>
    <s v="Electronics"/>
    <s v="Smartphone"/>
    <n v="5"/>
    <n v="372.39"/>
    <s v="Credit Card"/>
    <x v="77"/>
    <n v="5"/>
    <x v="2"/>
    <n v="74"/>
    <x v="0"/>
    <n v="1861.9499999999998"/>
    <n v="558.58499999999992"/>
  </r>
  <r>
    <n v="36759"/>
    <d v="2024-04-16T00:00:00"/>
    <n v="952"/>
    <n v="40"/>
    <s v="Books &amp; Stationery"/>
    <s v="Novel"/>
    <n v="5"/>
    <n v="155.25"/>
    <s v="Cash on Delivery"/>
    <x v="78"/>
    <m/>
    <x v="1"/>
    <n v="43"/>
    <x v="2"/>
    <n v="776.25"/>
    <n v="232.875"/>
  </r>
  <r>
    <n v="41166"/>
    <d v="2024-04-17T00:00:00"/>
    <n v="783"/>
    <n v="50"/>
    <s v="Sports &amp; Outdoors"/>
    <s v="Yoga Mat"/>
    <n v="5"/>
    <n v="51.74"/>
    <s v="Credit Card"/>
    <x v="79"/>
    <m/>
    <x v="1"/>
    <n v="61"/>
    <x v="0"/>
    <n v="258.7"/>
    <n v="77.61"/>
  </r>
  <r>
    <n v="21004"/>
    <d v="2024-04-17T00:00:00"/>
    <n v="843"/>
    <n v="30"/>
    <s v="Home &amp; Living"/>
    <s v="Pillow"/>
    <n v="5"/>
    <n v="171.55"/>
    <s v="Cash on Delivery"/>
    <x v="80"/>
    <n v="5"/>
    <x v="0"/>
    <n v="30"/>
    <x v="3"/>
    <n v="857.75"/>
    <n v="257.32499999999999"/>
  </r>
  <r>
    <n v="29895"/>
    <d v="2024-04-17T00:00:00"/>
    <n v="150"/>
    <n v="40"/>
    <s v="Books &amp; Stationery"/>
    <s v="Eraser"/>
    <n v="3"/>
    <n v="211.29"/>
    <s v="Bank Transfer"/>
    <x v="81"/>
    <n v="5"/>
    <x v="0"/>
    <n v="47"/>
    <x v="1"/>
    <n v="633.87"/>
    <n v="190.161"/>
  </r>
  <r>
    <n v="90910"/>
    <d v="2024-04-17T00:00:00"/>
    <n v="280"/>
    <n v="20"/>
    <s v="Fashion"/>
    <s v="Skirt"/>
    <n v="3"/>
    <n v="300.18"/>
    <s v="Bank Transfer"/>
    <x v="82"/>
    <m/>
    <x v="0"/>
    <n v="24"/>
    <x v="3"/>
    <n v="900.54"/>
    <n v="270.16199999999998"/>
  </r>
  <r>
    <n v="58481"/>
    <d v="2024-04-18T00:00:00"/>
    <n v="128"/>
    <n v="50"/>
    <s v="Sports &amp; Outdoors"/>
    <s v="Yoga Mat"/>
    <n v="4"/>
    <n v="99.56"/>
    <s v="Cash on Delivery"/>
    <x v="83"/>
    <n v="5"/>
    <x v="2"/>
    <n v="57"/>
    <x v="1"/>
    <n v="398.24"/>
    <n v="119.47199999999999"/>
  </r>
  <r>
    <n v="22360"/>
    <d v="2024-04-19T00:00:00"/>
    <n v="766"/>
    <n v="10"/>
    <s v="Electronics"/>
    <s v="Laptop"/>
    <n v="3"/>
    <n v="192.92"/>
    <s v="Credit Card"/>
    <x v="84"/>
    <n v="4"/>
    <x v="0"/>
    <n v="68"/>
    <x v="0"/>
    <n v="578.76"/>
    <n v="173.62799999999999"/>
  </r>
  <r>
    <n v="60294"/>
    <d v="2024-04-19T00:00:00"/>
    <n v="486"/>
    <n v="30"/>
    <s v="Home &amp; Living"/>
    <s v="Blanket"/>
    <n v="4"/>
    <n v="150.77000000000001"/>
    <s v="Bank Transfer"/>
    <x v="85"/>
    <n v="5"/>
    <x v="1"/>
    <n v="26"/>
    <x v="3"/>
    <n v="603.08000000000004"/>
    <n v="180.92400000000001"/>
  </r>
  <r>
    <n v="72324"/>
    <d v="2024-04-19T00:00:00"/>
    <n v="735"/>
    <n v="40"/>
    <s v="Books &amp; Stationery"/>
    <s v="Pen"/>
    <n v="1"/>
    <n v="267.64999999999998"/>
    <s v="Cash on Delivery"/>
    <x v="86"/>
    <n v="4"/>
    <x v="0"/>
    <n v="64"/>
    <x v="0"/>
    <n v="267.64999999999998"/>
    <n v="80.294999999999987"/>
  </r>
  <r>
    <n v="87478"/>
    <d v="2024-04-19T00:00:00"/>
    <n v="788"/>
    <n v="30"/>
    <s v="Home &amp; Living"/>
    <s v="Vase"/>
    <n v="1"/>
    <n v="22.21"/>
    <s v="Bank Transfer"/>
    <x v="87"/>
    <n v="4"/>
    <x v="1"/>
    <n v="50"/>
    <x v="1"/>
    <n v="22.21"/>
    <n v="6.6630000000000003"/>
  </r>
  <r>
    <n v="89789"/>
    <d v="2024-04-19T00:00:00"/>
    <n v="953"/>
    <n v="30"/>
    <s v="Home &amp; Living"/>
    <s v="Painting"/>
    <n v="4"/>
    <n v="204.06"/>
    <s v="Cash on Delivery"/>
    <x v="88"/>
    <n v="5"/>
    <x v="0"/>
    <n v="71"/>
    <x v="0"/>
    <n v="816.24"/>
    <n v="244.87199999999999"/>
  </r>
  <r>
    <n v="32363"/>
    <d v="2024-04-19T00:00:00"/>
    <n v="157"/>
    <n v="50"/>
    <s v="Sports &amp; Outdoors"/>
    <s v="Tent"/>
    <n v="1"/>
    <n v="60.16"/>
    <s v="Cash on Delivery"/>
    <x v="89"/>
    <n v="3"/>
    <x v="0"/>
    <n v="61"/>
    <x v="0"/>
    <n v="60.16"/>
    <n v="18.047999999999998"/>
  </r>
  <r>
    <n v="61065"/>
    <d v="2024-04-20T00:00:00"/>
    <n v="988"/>
    <n v="10"/>
    <s v="Electronics"/>
    <s v="Laptop"/>
    <n v="1"/>
    <n v="465.66"/>
    <s v="Cash on Delivery"/>
    <x v="90"/>
    <n v="1"/>
    <x v="0"/>
    <n v="25"/>
    <x v="3"/>
    <n v="465.66"/>
    <n v="139.69800000000001"/>
  </r>
  <r>
    <n v="49701"/>
    <d v="2024-04-21T00:00:00"/>
    <n v="684"/>
    <n v="40"/>
    <s v="Books &amp; Stationery"/>
    <s v="Story Book"/>
    <n v="1"/>
    <n v="107.79"/>
    <s v="Bank Transfer"/>
    <x v="91"/>
    <n v="3"/>
    <x v="1"/>
    <n v="63"/>
    <x v="0"/>
    <n v="107.79"/>
    <n v="32.337000000000003"/>
  </r>
  <r>
    <n v="49765"/>
    <d v="2024-04-21T00:00:00"/>
    <n v="389"/>
    <n v="40"/>
    <s v="Books &amp; Stationery"/>
    <s v="Eraser"/>
    <n v="3"/>
    <n v="385.37"/>
    <s v="Credit Card"/>
    <x v="92"/>
    <n v="1"/>
    <x v="0"/>
    <n v="35"/>
    <x v="2"/>
    <n v="1156.1100000000001"/>
    <n v="346.83300000000003"/>
  </r>
  <r>
    <n v="13591"/>
    <d v="2024-04-21T00:00:00"/>
    <n v="884"/>
    <n v="30"/>
    <s v="Home &amp; Living"/>
    <s v="Pillow"/>
    <n v="1"/>
    <n v="394.06"/>
    <s v="Credit Card"/>
    <x v="93"/>
    <n v="4"/>
    <x v="0"/>
    <n v="18"/>
    <x v="3"/>
    <n v="394.06"/>
    <n v="118.21799999999999"/>
  </r>
  <r>
    <n v="70242"/>
    <d v="2024-04-21T00:00:00"/>
    <n v="732"/>
    <n v="50"/>
    <s v="Sports &amp; Outdoors"/>
    <s v="Running Shoes"/>
    <n v="2"/>
    <n v="325.89"/>
    <s v="Credit Card"/>
    <x v="94"/>
    <n v="2"/>
    <x v="0"/>
    <n v="27"/>
    <x v="3"/>
    <n v="651.78"/>
    <n v="195.53399999999999"/>
  </r>
  <r>
    <n v="38808"/>
    <d v="2024-04-21T00:00:00"/>
    <n v="928"/>
    <n v="20"/>
    <s v="Fashion"/>
    <s v="T-shirt"/>
    <n v="2"/>
    <n v="313.67"/>
    <s v="Bank Transfer"/>
    <x v="95"/>
    <n v="5"/>
    <x v="0"/>
    <n v="73"/>
    <x v="0"/>
    <n v="627.34"/>
    <n v="188.202"/>
  </r>
  <r>
    <n v="10792"/>
    <d v="2024-04-21T00:00:00"/>
    <n v="898"/>
    <n v="50"/>
    <s v="Sports &amp; Outdoors"/>
    <s v="Running Shoes"/>
    <n v="2"/>
    <n v="31.51"/>
    <s v="Credit Card"/>
    <x v="96"/>
    <n v="5"/>
    <x v="1"/>
    <n v="49"/>
    <x v="1"/>
    <n v="63.02"/>
    <n v="18.905999999999999"/>
  </r>
  <r>
    <n v="15676"/>
    <d v="2024-04-22T00:00:00"/>
    <n v="649"/>
    <n v="40"/>
    <s v="Books &amp; Stationery"/>
    <s v="Eraser"/>
    <n v="3"/>
    <n v="355.78"/>
    <s v="Cash on Delivery"/>
    <x v="97"/>
    <m/>
    <x v="0"/>
    <n v="72"/>
    <x v="0"/>
    <n v="1067.3399999999999"/>
    <n v="320.20199999999994"/>
  </r>
  <r>
    <n v="69990"/>
    <d v="2024-04-22T00:00:00"/>
    <n v="839"/>
    <n v="20"/>
    <s v="Fashion"/>
    <s v="Shirt"/>
    <n v="2"/>
    <n v="265.33999999999997"/>
    <s v="Cash on Delivery"/>
    <x v="98"/>
    <n v="3"/>
    <x v="0"/>
    <n v="49"/>
    <x v="1"/>
    <n v="530.67999999999995"/>
    <n v="159.20399999999998"/>
  </r>
  <r>
    <n v="35822"/>
    <d v="2024-04-22T00:00:00"/>
    <n v="748"/>
    <n v="50"/>
    <s v="Sports &amp; Outdoors"/>
    <s v="Basketball"/>
    <n v="1"/>
    <n v="473.99"/>
    <s v="Bank Transfer"/>
    <x v="99"/>
    <n v="5"/>
    <x v="0"/>
    <n v="57"/>
    <x v="1"/>
    <n v="473.99"/>
    <n v="142.197"/>
  </r>
  <r>
    <n v="63919"/>
    <d v="2024-04-23T00:00:00"/>
    <n v="209"/>
    <n v="40"/>
    <s v="Books &amp; Stationery"/>
    <s v="Pen"/>
    <n v="3"/>
    <n v="12.89"/>
    <s v="Bank Transfer"/>
    <x v="100"/>
    <n v="2"/>
    <x v="0"/>
    <n v="54"/>
    <x v="1"/>
    <n v="38.67"/>
    <n v="11.601000000000001"/>
  </r>
  <r>
    <n v="71490"/>
    <d v="2024-04-23T00:00:00"/>
    <n v="364"/>
    <n v="40"/>
    <s v="Books &amp; Stationery"/>
    <s v="Eraser"/>
    <n v="1"/>
    <n v="195.85"/>
    <s v="Credit Card"/>
    <x v="101"/>
    <n v="1"/>
    <x v="0"/>
    <n v="45"/>
    <x v="2"/>
    <n v="195.85"/>
    <n v="58.754999999999995"/>
  </r>
  <r>
    <n v="10679"/>
    <d v="2024-04-23T00:00:00"/>
    <n v="819"/>
    <n v="10"/>
    <s v="Electronics"/>
    <s v="Laptop"/>
    <n v="4"/>
    <n v="192.51"/>
    <s v="Cash on Delivery"/>
    <x v="102"/>
    <n v="4"/>
    <x v="2"/>
    <n v="53"/>
    <x v="1"/>
    <n v="770.04"/>
    <n v="231.01199999999997"/>
  </r>
  <r>
    <n v="82764"/>
    <d v="2024-04-23T00:00:00"/>
    <n v="763"/>
    <n v="10"/>
    <s v="Electronics"/>
    <s v="Smartphone"/>
    <n v="1"/>
    <n v="317.08"/>
    <s v="Credit Card"/>
    <x v="103"/>
    <n v="1"/>
    <x v="1"/>
    <n v="37"/>
    <x v="2"/>
    <n v="317.08"/>
    <n v="95.123999999999995"/>
  </r>
  <r>
    <n v="93989"/>
    <d v="2024-04-25T00:00:00"/>
    <n v="573"/>
    <n v="50"/>
    <s v="Sports &amp; Outdoors"/>
    <s v="Running Shoes"/>
    <n v="5"/>
    <n v="85.85"/>
    <s v="Bank Transfer"/>
    <x v="104"/>
    <n v="1"/>
    <x v="0"/>
    <n v="70"/>
    <x v="0"/>
    <n v="429.25"/>
    <n v="128.77500000000001"/>
  </r>
  <r>
    <n v="93663"/>
    <d v="2024-04-25T00:00:00"/>
    <n v="482"/>
    <n v="10"/>
    <s v="Electronics"/>
    <s v="Smartwatch"/>
    <n v="1"/>
    <n v="297.2"/>
    <s v="Credit Card"/>
    <x v="105"/>
    <m/>
    <x v="0"/>
    <n v="53"/>
    <x v="1"/>
    <n v="297.2"/>
    <n v="89.16"/>
  </r>
  <r>
    <n v="99272"/>
    <d v="2024-04-26T00:00:00"/>
    <n v="847"/>
    <n v="20"/>
    <s v="Fashion"/>
    <s v="Pants"/>
    <n v="3"/>
    <n v="40.92"/>
    <s v="Bank Transfer"/>
    <x v="106"/>
    <m/>
    <x v="0"/>
    <n v="66"/>
    <x v="0"/>
    <n v="122.76"/>
    <n v="36.828000000000003"/>
  </r>
  <r>
    <n v="28381"/>
    <d v="2024-04-26T00:00:00"/>
    <n v="973"/>
    <n v="30"/>
    <s v="Home &amp; Living"/>
    <s v="Pillow"/>
    <n v="1"/>
    <n v="324.51"/>
    <s v="Bank Transfer"/>
    <x v="107"/>
    <m/>
    <x v="1"/>
    <n v="35"/>
    <x v="2"/>
    <n v="324.51"/>
    <n v="97.352999999999994"/>
  </r>
  <r>
    <n v="43995"/>
    <d v="2024-04-26T00:00:00"/>
    <n v="537"/>
    <n v="40"/>
    <s v="Books &amp; Stationery"/>
    <s v="Novel"/>
    <n v="4"/>
    <n v="375.98"/>
    <s v="Credit Card"/>
    <x v="108"/>
    <m/>
    <x v="1"/>
    <n v="62"/>
    <x v="0"/>
    <n v="1503.92"/>
    <n v="451.17599999999999"/>
  </r>
  <r>
    <n v="19327"/>
    <d v="2024-04-26T00:00:00"/>
    <n v="454"/>
    <n v="50"/>
    <s v="Sports &amp; Outdoors"/>
    <s v="Soccer Ball"/>
    <n v="3"/>
    <n v="334.71"/>
    <s v="Cash on Delivery"/>
    <x v="109"/>
    <n v="5"/>
    <x v="1"/>
    <n v="26"/>
    <x v="3"/>
    <n v="1004.1299999999999"/>
    <n v="301.23899999999998"/>
  </r>
  <r>
    <n v="45270"/>
    <d v="2024-04-26T00:00:00"/>
    <n v="685"/>
    <n v="40"/>
    <s v="Books &amp; Stationery"/>
    <s v="Notebook"/>
    <n v="1"/>
    <n v="410.45"/>
    <s v="Bank Transfer"/>
    <x v="110"/>
    <n v="4"/>
    <x v="1"/>
    <n v="71"/>
    <x v="0"/>
    <n v="410.45"/>
    <n v="123.13499999999999"/>
  </r>
  <r>
    <n v="46034"/>
    <d v="2024-04-26T00:00:00"/>
    <n v="995"/>
    <n v="40"/>
    <s v="Books &amp; Stationery"/>
    <s v="Notebook"/>
    <n v="5"/>
    <n v="115.91"/>
    <s v="Bank Transfer"/>
    <x v="111"/>
    <m/>
    <x v="0"/>
    <n v="54"/>
    <x v="1"/>
    <n v="579.54999999999995"/>
    <n v="173.86499999999998"/>
  </r>
  <r>
    <n v="85558"/>
    <d v="2024-04-27T00:00:00"/>
    <n v="619"/>
    <n v="40"/>
    <s v="Books &amp; Stationery"/>
    <s v="Pen"/>
    <n v="3"/>
    <n v="367.51"/>
    <s v="Bank Transfer"/>
    <x v="112"/>
    <n v="4"/>
    <x v="1"/>
    <n v="60"/>
    <x v="1"/>
    <n v="1102.53"/>
    <n v="330.75899999999996"/>
  </r>
  <r>
    <n v="69895"/>
    <d v="2024-04-27T00:00:00"/>
    <n v="848"/>
    <n v="20"/>
    <s v="Fashion"/>
    <s v="Pants"/>
    <n v="3"/>
    <n v="435.72"/>
    <s v="Credit Card"/>
    <x v="113"/>
    <n v="5"/>
    <x v="0"/>
    <n v="50"/>
    <x v="1"/>
    <n v="1307.1600000000001"/>
    <n v="392.14800000000002"/>
  </r>
  <r>
    <n v="37431"/>
    <d v="2024-04-28T00:00:00"/>
    <n v="736"/>
    <n v="40"/>
    <s v="Books &amp; Stationery"/>
    <s v="Notebook"/>
    <n v="5"/>
    <n v="422.39"/>
    <s v="Bank Transfer"/>
    <x v="114"/>
    <n v="5"/>
    <x v="0"/>
    <n v="26"/>
    <x v="3"/>
    <n v="2111.9499999999998"/>
    <n v="633.58499999999992"/>
  </r>
  <r>
    <n v="73293"/>
    <d v="2024-04-30T00:00:00"/>
    <n v="799"/>
    <n v="50"/>
    <s v="Sports &amp; Outdoors"/>
    <s v="Basketball"/>
    <n v="1"/>
    <n v="463.62"/>
    <s v="Credit Card"/>
    <x v="115"/>
    <n v="5"/>
    <x v="2"/>
    <n v="72"/>
    <x v="0"/>
    <n v="463.62"/>
    <n v="139.08599999999998"/>
  </r>
  <r>
    <n v="96674"/>
    <d v="2024-04-30T00:00:00"/>
    <n v="674"/>
    <n v="40"/>
    <s v="Books &amp; Stationery"/>
    <s v="Eraser"/>
    <n v="3"/>
    <n v="312.17"/>
    <s v="Bank Transfer"/>
    <x v="116"/>
    <m/>
    <x v="0"/>
    <n v="21"/>
    <x v="3"/>
    <n v="936.51"/>
    <n v="280.95299999999997"/>
  </r>
  <r>
    <n v="26759"/>
    <d v="2024-04-30T00:00:00"/>
    <n v="762"/>
    <n v="30"/>
    <s v="Home &amp; Living"/>
    <s v="Pillow"/>
    <n v="3"/>
    <n v="110.55"/>
    <s v="Credit Card"/>
    <x v="117"/>
    <n v="4"/>
    <x v="2"/>
    <n v="44"/>
    <x v="2"/>
    <n v="331.65"/>
    <n v="99.49499999999999"/>
  </r>
  <r>
    <n v="28844"/>
    <d v="2024-04-30T00:00:00"/>
    <n v="580"/>
    <n v="40"/>
    <s v="Books &amp; Stationery"/>
    <s v="Pen"/>
    <n v="2"/>
    <n v="378.89"/>
    <s v="Cash on Delivery"/>
    <x v="118"/>
    <n v="4"/>
    <x v="0"/>
    <n v="51"/>
    <x v="1"/>
    <n v="757.78"/>
    <n v="227.33399999999997"/>
  </r>
  <r>
    <n v="61272"/>
    <d v="2024-05-01T00:00:00"/>
    <n v="192"/>
    <n v="40"/>
    <s v="Books &amp; Stationery"/>
    <s v="Pen"/>
    <n v="3"/>
    <n v="46.24"/>
    <s v="Cash on Delivery"/>
    <x v="119"/>
    <n v="4"/>
    <x v="0"/>
    <n v="18"/>
    <x v="3"/>
    <n v="138.72"/>
    <n v="41.616"/>
  </r>
  <r>
    <n v="37265"/>
    <d v="2024-05-01T00:00:00"/>
    <n v="162"/>
    <n v="20"/>
    <s v="Fashion"/>
    <s v="Shirt"/>
    <n v="3"/>
    <n v="198.02"/>
    <s v="Credit Card"/>
    <x v="120"/>
    <n v="4"/>
    <x v="1"/>
    <n v="37"/>
    <x v="2"/>
    <n v="594.06000000000006"/>
    <n v="178.21800000000002"/>
  </r>
  <r>
    <n v="70446"/>
    <d v="2024-05-02T00:00:00"/>
    <n v="918"/>
    <n v="50"/>
    <s v="Sports &amp; Outdoors"/>
    <s v="Running Shoes"/>
    <n v="5"/>
    <n v="237.79"/>
    <s v="Cash on Delivery"/>
    <x v="121"/>
    <n v="4"/>
    <x v="0"/>
    <n v="56"/>
    <x v="1"/>
    <n v="1188.95"/>
    <n v="356.685"/>
  </r>
  <r>
    <n v="56073"/>
    <d v="2024-05-02T00:00:00"/>
    <n v="440"/>
    <n v="50"/>
    <s v="Sports &amp; Outdoors"/>
    <s v="Tent"/>
    <n v="4"/>
    <n v="121.5"/>
    <s v="Credit Card"/>
    <x v="122"/>
    <n v="4"/>
    <x v="0"/>
    <n v="57"/>
    <x v="1"/>
    <n v="486"/>
    <n v="145.79999999999998"/>
  </r>
  <r>
    <n v="84937"/>
    <d v="2024-05-02T00:00:00"/>
    <n v="186"/>
    <n v="50"/>
    <s v="Sports &amp; Outdoors"/>
    <s v="Yoga Mat"/>
    <n v="4"/>
    <n v="37.17"/>
    <s v="Cash on Delivery"/>
    <x v="123"/>
    <m/>
    <x v="0"/>
    <n v="45"/>
    <x v="2"/>
    <n v="148.68"/>
    <n v="44.603999999999999"/>
  </r>
  <r>
    <n v="28063"/>
    <d v="2024-05-03T00:00:00"/>
    <n v="398"/>
    <n v="30"/>
    <s v="Home &amp; Living"/>
    <s v="Carpet"/>
    <n v="5"/>
    <n v="16.7"/>
    <s v="Bank Transfer"/>
    <x v="124"/>
    <m/>
    <x v="2"/>
    <n v="26"/>
    <x v="3"/>
    <n v="83.5"/>
    <n v="25.05"/>
  </r>
  <r>
    <n v="10403"/>
    <d v="2024-05-03T00:00:00"/>
    <n v="643"/>
    <n v="10"/>
    <s v="Electronics"/>
    <s v="Smartphone"/>
    <n v="5"/>
    <n v="263.87"/>
    <s v="Bank Transfer"/>
    <x v="125"/>
    <m/>
    <x v="0"/>
    <n v="65"/>
    <x v="0"/>
    <n v="1319.35"/>
    <n v="395.80499999999995"/>
  </r>
  <r>
    <n v="50200"/>
    <d v="2024-05-03T00:00:00"/>
    <n v="841"/>
    <n v="50"/>
    <s v="Sports &amp; Outdoors"/>
    <s v="Yoga Mat"/>
    <n v="2"/>
    <n v="257.01"/>
    <s v="Bank Transfer"/>
    <x v="99"/>
    <n v="4"/>
    <x v="1"/>
    <n v="39"/>
    <x v="2"/>
    <n v="514.02"/>
    <n v="154.20599999999999"/>
  </r>
  <r>
    <n v="77187"/>
    <d v="2024-05-03T00:00:00"/>
    <n v="500"/>
    <n v="20"/>
    <s v="Fashion"/>
    <s v="T-shirt"/>
    <n v="1"/>
    <n v="149.72"/>
    <s v="Credit Card"/>
    <x v="126"/>
    <n v="5"/>
    <x v="0"/>
    <n v="40"/>
    <x v="2"/>
    <n v="149.72"/>
    <n v="44.915999999999997"/>
  </r>
  <r>
    <n v="87513"/>
    <d v="2024-05-04T00:00:00"/>
    <n v="782"/>
    <n v="50"/>
    <s v="Sports &amp; Outdoors"/>
    <s v="Soccer Ball"/>
    <n v="2"/>
    <n v="285.98"/>
    <s v="Cash on Delivery"/>
    <x v="127"/>
    <n v="5"/>
    <x v="0"/>
    <n v="44"/>
    <x v="2"/>
    <n v="571.96"/>
    <n v="171.58799999999999"/>
  </r>
  <r>
    <n v="53575"/>
    <d v="2024-05-04T00:00:00"/>
    <n v="622"/>
    <n v="40"/>
    <s v="Books &amp; Stationery"/>
    <s v="Novel"/>
    <n v="3"/>
    <n v="75.02"/>
    <s v="Credit Card"/>
    <x v="128"/>
    <n v="4"/>
    <x v="0"/>
    <n v="33"/>
    <x v="2"/>
    <n v="225.06"/>
    <n v="67.518000000000001"/>
  </r>
  <r>
    <n v="81927"/>
    <d v="2024-05-04T00:00:00"/>
    <n v="669"/>
    <n v="50"/>
    <s v="Sports &amp; Outdoors"/>
    <s v="Basketball"/>
    <n v="1"/>
    <n v="482.29"/>
    <s v="Credit Card"/>
    <x v="129"/>
    <n v="4"/>
    <x v="0"/>
    <n v="61"/>
    <x v="0"/>
    <n v="482.29"/>
    <n v="144.68700000000001"/>
  </r>
  <r>
    <n v="41333"/>
    <d v="2024-05-04T00:00:00"/>
    <n v="459"/>
    <n v="10"/>
    <s v="Electronics"/>
    <s v="Laptop"/>
    <n v="3"/>
    <n v="398.31"/>
    <s v="Cash on Delivery"/>
    <x v="130"/>
    <n v="4"/>
    <x v="0"/>
    <n v="43"/>
    <x v="2"/>
    <n v="1194.93"/>
    <n v="358.47899999999998"/>
  </r>
  <r>
    <n v="67967"/>
    <d v="2024-05-04T00:00:00"/>
    <n v="965"/>
    <n v="40"/>
    <s v="Books &amp; Stationery"/>
    <s v="Notebook"/>
    <n v="3"/>
    <n v="495.24"/>
    <s v="Cash on Delivery"/>
    <x v="131"/>
    <m/>
    <x v="2"/>
    <n v="30"/>
    <x v="3"/>
    <n v="1485.72"/>
    <n v="445.71600000000001"/>
  </r>
  <r>
    <n v="87219"/>
    <d v="2024-05-06T00:00:00"/>
    <n v="234"/>
    <n v="50"/>
    <s v="Sports &amp; Outdoors"/>
    <s v="Yoga Mat"/>
    <n v="1"/>
    <n v="52.5"/>
    <s v="Cash on Delivery"/>
    <x v="132"/>
    <m/>
    <x v="2"/>
    <n v="25"/>
    <x v="3"/>
    <n v="52.5"/>
    <n v="15.75"/>
  </r>
  <r>
    <n v="49017"/>
    <d v="2024-05-07T00:00:00"/>
    <n v="128"/>
    <n v="20"/>
    <s v="Fashion"/>
    <s v="Pants"/>
    <n v="1"/>
    <n v="255.32"/>
    <s v="Bank Transfer"/>
    <x v="133"/>
    <n v="4"/>
    <x v="1"/>
    <n v="70"/>
    <x v="0"/>
    <n v="255.32"/>
    <n v="76.595999999999989"/>
  </r>
  <r>
    <n v="26545"/>
    <d v="2024-05-08T00:00:00"/>
    <n v="985"/>
    <n v="30"/>
    <s v="Home &amp; Living"/>
    <s v="Carpet"/>
    <n v="2"/>
    <n v="470.08"/>
    <s v="Credit Card"/>
    <x v="134"/>
    <m/>
    <x v="1"/>
    <n v="54"/>
    <x v="1"/>
    <n v="940.16"/>
    <n v="282.048"/>
  </r>
  <r>
    <n v="42097"/>
    <d v="2024-05-08T00:00:00"/>
    <n v="317"/>
    <n v="10"/>
    <s v="Electronics"/>
    <s v="Laptop"/>
    <n v="3"/>
    <n v="213.16"/>
    <s v="Bank Transfer"/>
    <x v="135"/>
    <n v="5"/>
    <x v="1"/>
    <n v="63"/>
    <x v="0"/>
    <n v="639.48"/>
    <n v="191.84399999999999"/>
  </r>
  <r>
    <n v="62506"/>
    <d v="2024-05-09T00:00:00"/>
    <n v="560"/>
    <n v="50"/>
    <s v="Sports &amp; Outdoors"/>
    <s v="Tent"/>
    <n v="1"/>
    <n v="294.45"/>
    <s v="Cash on Delivery"/>
    <x v="136"/>
    <n v="1"/>
    <x v="0"/>
    <n v="65"/>
    <x v="0"/>
    <n v="294.45"/>
    <n v="88.334999999999994"/>
  </r>
  <r>
    <n v="57366"/>
    <d v="2024-05-09T00:00:00"/>
    <n v="267"/>
    <n v="10"/>
    <s v="Electronics"/>
    <s v="Laptop"/>
    <n v="2"/>
    <n v="331.86"/>
    <s v="Bank Transfer"/>
    <x v="137"/>
    <n v="4"/>
    <x v="1"/>
    <n v="32"/>
    <x v="2"/>
    <n v="663.72"/>
    <n v="199.11600000000001"/>
  </r>
  <r>
    <n v="24024"/>
    <d v="2024-05-09T00:00:00"/>
    <n v="869"/>
    <n v="50"/>
    <s v="Sports &amp; Outdoors"/>
    <s v="Basketball"/>
    <n v="5"/>
    <n v="419.98"/>
    <s v="Bank Transfer"/>
    <x v="138"/>
    <n v="4"/>
    <x v="0"/>
    <n v="55"/>
    <x v="1"/>
    <n v="2099.9"/>
    <n v="629.97"/>
  </r>
  <r>
    <n v="38114"/>
    <d v="2024-05-09T00:00:00"/>
    <n v="817"/>
    <n v="30"/>
    <s v="Home &amp; Living"/>
    <s v="Carpet"/>
    <n v="2"/>
    <n v="287.85000000000002"/>
    <s v="Credit Card"/>
    <x v="139"/>
    <n v="4"/>
    <x v="0"/>
    <n v="20"/>
    <x v="3"/>
    <n v="575.70000000000005"/>
    <n v="172.71"/>
  </r>
  <r>
    <n v="63872"/>
    <d v="2024-05-10T00:00:00"/>
    <n v="202"/>
    <n v="20"/>
    <s v="Fashion"/>
    <s v="Skirt"/>
    <n v="4"/>
    <n v="176.72"/>
    <s v="Credit Card"/>
    <x v="140"/>
    <n v="1"/>
    <x v="1"/>
    <n v="33"/>
    <x v="2"/>
    <n v="706.88"/>
    <n v="212.06399999999999"/>
  </r>
  <r>
    <n v="11829"/>
    <d v="2024-05-10T00:00:00"/>
    <n v="651"/>
    <n v="20"/>
    <s v="Fashion"/>
    <s v="Pants"/>
    <n v="5"/>
    <n v="85.92"/>
    <s v="Bank Transfer"/>
    <x v="141"/>
    <n v="5"/>
    <x v="0"/>
    <n v="41"/>
    <x v="2"/>
    <n v="429.6"/>
    <n v="128.88"/>
  </r>
  <r>
    <n v="47189"/>
    <d v="2024-05-10T00:00:00"/>
    <n v="700"/>
    <n v="30"/>
    <s v="Home &amp; Living"/>
    <s v="Carpet"/>
    <n v="1"/>
    <n v="385.88"/>
    <s v="Bank Transfer"/>
    <x v="142"/>
    <n v="5"/>
    <x v="0"/>
    <n v="57"/>
    <x v="1"/>
    <n v="385.88"/>
    <n v="115.764"/>
  </r>
  <r>
    <n v="57457"/>
    <d v="2024-05-11T00:00:00"/>
    <n v="284"/>
    <n v="20"/>
    <s v="Fashion"/>
    <s v="Shirt"/>
    <n v="1"/>
    <n v="80.650000000000006"/>
    <s v="Cash on Delivery"/>
    <x v="143"/>
    <n v="5"/>
    <x v="2"/>
    <n v="37"/>
    <x v="2"/>
    <n v="80.650000000000006"/>
    <n v="24.195"/>
  </r>
  <r>
    <n v="25761"/>
    <d v="2024-05-11T00:00:00"/>
    <n v="657"/>
    <n v="40"/>
    <s v="Books &amp; Stationery"/>
    <s v="Notebook"/>
    <n v="4"/>
    <n v="449.55"/>
    <s v="Credit Card"/>
    <x v="144"/>
    <n v="3"/>
    <x v="1"/>
    <n v="29"/>
    <x v="3"/>
    <n v="1798.2"/>
    <n v="539.46"/>
  </r>
  <r>
    <n v="42068"/>
    <d v="2024-05-12T00:00:00"/>
    <n v="529"/>
    <n v="40"/>
    <s v="Books &amp; Stationery"/>
    <s v="Notebook"/>
    <n v="5"/>
    <n v="152.81"/>
    <s v="Cash on Delivery"/>
    <x v="145"/>
    <n v="5"/>
    <x v="2"/>
    <n v="19"/>
    <x v="3"/>
    <n v="764.05"/>
    <n v="229.21499999999997"/>
  </r>
  <r>
    <n v="48362"/>
    <d v="2024-05-12T00:00:00"/>
    <n v="186"/>
    <n v="10"/>
    <s v="Electronics"/>
    <s v="Tablet"/>
    <n v="1"/>
    <n v="81.209999999999994"/>
    <s v="Cash on Delivery"/>
    <x v="146"/>
    <m/>
    <x v="0"/>
    <n v="45"/>
    <x v="2"/>
    <n v="81.209999999999994"/>
    <n v="24.362999999999996"/>
  </r>
  <r>
    <n v="72159"/>
    <d v="2024-05-12T00:00:00"/>
    <n v="329"/>
    <n v="40"/>
    <s v="Books &amp; Stationery"/>
    <s v="Notebook"/>
    <n v="3"/>
    <n v="227.07"/>
    <s v="Cash on Delivery"/>
    <x v="147"/>
    <n v="5"/>
    <x v="0"/>
    <n v="64"/>
    <x v="0"/>
    <n v="681.21"/>
    <n v="204.363"/>
  </r>
  <r>
    <n v="46992"/>
    <d v="2024-05-13T00:00:00"/>
    <n v="824"/>
    <n v="20"/>
    <s v="Fashion"/>
    <s v="T-shirt"/>
    <n v="2"/>
    <n v="227.13"/>
    <s v="Cash on Delivery"/>
    <x v="148"/>
    <m/>
    <x v="1"/>
    <n v="30"/>
    <x v="3"/>
    <n v="454.26"/>
    <n v="136.27799999999999"/>
  </r>
  <r>
    <n v="32080"/>
    <d v="2024-05-13T00:00:00"/>
    <n v="354"/>
    <n v="20"/>
    <s v="Fashion"/>
    <s v="Pants"/>
    <n v="4"/>
    <n v="21.6"/>
    <s v="Credit Card"/>
    <x v="149"/>
    <n v="3"/>
    <x v="0"/>
    <n v="18"/>
    <x v="3"/>
    <n v="86.4"/>
    <n v="25.92"/>
  </r>
  <r>
    <n v="87787"/>
    <d v="2024-05-13T00:00:00"/>
    <n v="836"/>
    <n v="40"/>
    <s v="Books &amp; Stationery"/>
    <s v="Notebook"/>
    <n v="2"/>
    <n v="233.85"/>
    <s v="Bank Transfer"/>
    <x v="150"/>
    <m/>
    <x v="0"/>
    <n v="67"/>
    <x v="0"/>
    <n v="467.7"/>
    <n v="140.31"/>
  </r>
  <r>
    <n v="89887"/>
    <d v="2024-05-13T00:00:00"/>
    <n v="576"/>
    <n v="30"/>
    <s v="Home &amp; Living"/>
    <s v="Blanket"/>
    <n v="3"/>
    <n v="197.53"/>
    <s v="Credit Card"/>
    <x v="151"/>
    <n v="5"/>
    <x v="1"/>
    <n v="32"/>
    <x v="2"/>
    <n v="592.59"/>
    <n v="177.77700000000002"/>
  </r>
  <r>
    <n v="48665"/>
    <d v="2024-05-14T00:00:00"/>
    <n v="620"/>
    <n v="10"/>
    <s v="Electronics"/>
    <s v="Tablet"/>
    <n v="2"/>
    <n v="455.6"/>
    <s v="Bank Transfer"/>
    <x v="152"/>
    <n v="5"/>
    <x v="0"/>
    <n v="65"/>
    <x v="0"/>
    <n v="911.2"/>
    <n v="273.36"/>
  </r>
  <r>
    <n v="53860"/>
    <d v="2024-05-14T00:00:00"/>
    <n v="490"/>
    <n v="50"/>
    <s v="Sports &amp; Outdoors"/>
    <s v="Soccer Ball"/>
    <n v="2"/>
    <n v="179.13"/>
    <s v="Credit Card"/>
    <x v="153"/>
    <n v="2"/>
    <x v="1"/>
    <n v="62"/>
    <x v="0"/>
    <n v="358.26"/>
    <n v="107.47799999999999"/>
  </r>
  <r>
    <n v="79004"/>
    <d v="2024-05-14T00:00:00"/>
    <n v="190"/>
    <n v="30"/>
    <s v="Home &amp; Living"/>
    <s v="Painting"/>
    <n v="4"/>
    <n v="68.790000000000006"/>
    <s v="Bank Transfer"/>
    <x v="154"/>
    <n v="5"/>
    <x v="0"/>
    <n v="50"/>
    <x v="1"/>
    <n v="275.16000000000003"/>
    <n v="82.548000000000002"/>
  </r>
  <r>
    <n v="98151"/>
    <d v="2024-05-14T00:00:00"/>
    <n v="707"/>
    <n v="50"/>
    <s v="Sports &amp; Outdoors"/>
    <s v="Yoga Mat"/>
    <n v="2"/>
    <n v="75.599999999999994"/>
    <s v="Cash on Delivery"/>
    <x v="155"/>
    <n v="4"/>
    <x v="0"/>
    <n v="45"/>
    <x v="2"/>
    <n v="151.19999999999999"/>
    <n v="45.359999999999992"/>
  </r>
  <r>
    <n v="19863"/>
    <d v="2024-05-14T00:00:00"/>
    <n v="315"/>
    <n v="40"/>
    <s v="Books &amp; Stationery"/>
    <s v="Notebook"/>
    <n v="2"/>
    <n v="180.67"/>
    <s v="Bank Transfer"/>
    <x v="156"/>
    <n v="3"/>
    <x v="1"/>
    <n v="24"/>
    <x v="3"/>
    <n v="361.34"/>
    <n v="108.40199999999999"/>
  </r>
  <r>
    <n v="84845"/>
    <d v="2024-05-15T00:00:00"/>
    <n v="614"/>
    <n v="40"/>
    <s v="Books &amp; Stationery"/>
    <s v="Eraser"/>
    <n v="4"/>
    <n v="73.59"/>
    <s v="Credit Card"/>
    <x v="157"/>
    <m/>
    <x v="0"/>
    <n v="71"/>
    <x v="0"/>
    <n v="294.36"/>
    <n v="88.308000000000007"/>
  </r>
  <r>
    <n v="13042"/>
    <d v="2024-05-15T00:00:00"/>
    <n v="464"/>
    <n v="20"/>
    <s v="Fashion"/>
    <s v="Skirt"/>
    <n v="5"/>
    <n v="254.8"/>
    <s v="Cash on Delivery"/>
    <x v="158"/>
    <n v="4"/>
    <x v="1"/>
    <n v="54"/>
    <x v="1"/>
    <n v="1274"/>
    <n v="382.2"/>
  </r>
  <r>
    <n v="95274"/>
    <d v="2024-05-15T00:00:00"/>
    <n v="126"/>
    <n v="20"/>
    <s v="Fashion"/>
    <s v="T-shirt"/>
    <n v="5"/>
    <n v="323.89999999999998"/>
    <s v="Cash on Delivery"/>
    <x v="159"/>
    <n v="2"/>
    <x v="1"/>
    <n v="45"/>
    <x v="2"/>
    <n v="1619.5"/>
    <n v="485.84999999999997"/>
  </r>
  <r>
    <n v="50771"/>
    <d v="2024-05-16T00:00:00"/>
    <n v="472"/>
    <n v="50"/>
    <s v="Sports &amp; Outdoors"/>
    <s v="Yoga Mat"/>
    <n v="4"/>
    <n v="213.76"/>
    <s v="Cash on Delivery"/>
    <x v="160"/>
    <n v="5"/>
    <x v="1"/>
    <n v="24"/>
    <x v="3"/>
    <n v="855.04"/>
    <n v="256.512"/>
  </r>
  <r>
    <n v="93806"/>
    <d v="2024-05-17T00:00:00"/>
    <n v="606"/>
    <n v="40"/>
    <s v="Books &amp; Stationery"/>
    <s v="Notebook"/>
    <n v="4"/>
    <n v="336.75"/>
    <s v="Bank Transfer"/>
    <x v="161"/>
    <n v="5"/>
    <x v="1"/>
    <n v="37"/>
    <x v="2"/>
    <n v="1347"/>
    <n v="404.09999999999997"/>
  </r>
  <r>
    <n v="28186"/>
    <d v="2024-05-17T00:00:00"/>
    <n v="889"/>
    <n v="50"/>
    <s v="Sports &amp; Outdoors"/>
    <s v="Tent"/>
    <n v="1"/>
    <n v="75.709999999999994"/>
    <s v="Credit Card"/>
    <x v="162"/>
    <n v="2"/>
    <x v="0"/>
    <n v="41"/>
    <x v="2"/>
    <n v="75.709999999999994"/>
    <n v="22.712999999999997"/>
  </r>
  <r>
    <n v="58130"/>
    <d v="2024-05-17T00:00:00"/>
    <n v="171"/>
    <n v="40"/>
    <s v="Books &amp; Stationery"/>
    <s v="Novel"/>
    <n v="1"/>
    <n v="138.55000000000001"/>
    <s v="Bank Transfer"/>
    <x v="163"/>
    <n v="4"/>
    <x v="1"/>
    <n v="56"/>
    <x v="1"/>
    <n v="138.55000000000001"/>
    <n v="41.565000000000005"/>
  </r>
  <r>
    <n v="44793"/>
    <d v="2024-05-17T00:00:00"/>
    <n v="401"/>
    <n v="10"/>
    <s v="Electronics"/>
    <s v="Smartwatch"/>
    <n v="5"/>
    <n v="340.32"/>
    <s v="Credit Card"/>
    <x v="164"/>
    <n v="1"/>
    <x v="1"/>
    <n v="54"/>
    <x v="1"/>
    <n v="1701.6"/>
    <n v="510.47999999999996"/>
  </r>
  <r>
    <n v="55956"/>
    <d v="2024-05-17T00:00:00"/>
    <n v="110"/>
    <n v="20"/>
    <s v="Fashion"/>
    <s v="Pants"/>
    <n v="3"/>
    <n v="416.88"/>
    <s v="Cash on Delivery"/>
    <x v="165"/>
    <m/>
    <x v="1"/>
    <n v="70"/>
    <x v="0"/>
    <n v="1250.6399999999999"/>
    <n v="375.19199999999995"/>
  </r>
  <r>
    <n v="36231"/>
    <d v="2024-05-18T00:00:00"/>
    <n v="606"/>
    <n v="30"/>
    <s v="Home &amp; Living"/>
    <s v="Blanket"/>
    <n v="5"/>
    <n v="143.13999999999999"/>
    <s v="Bank Transfer"/>
    <x v="166"/>
    <n v="5"/>
    <x v="0"/>
    <n v="72"/>
    <x v="0"/>
    <n v="715.69999999999993"/>
    <n v="214.70999999999998"/>
  </r>
  <r>
    <n v="16821"/>
    <d v="2024-05-18T00:00:00"/>
    <n v="175"/>
    <n v="50"/>
    <s v="Sports &amp; Outdoors"/>
    <s v="Tent"/>
    <n v="4"/>
    <n v="358.95"/>
    <s v="Bank Transfer"/>
    <x v="167"/>
    <n v="5"/>
    <x v="1"/>
    <n v="68"/>
    <x v="0"/>
    <n v="1435.8"/>
    <n v="430.73999999999995"/>
  </r>
  <r>
    <n v="88015"/>
    <d v="2024-05-20T00:00:00"/>
    <n v="285"/>
    <n v="20"/>
    <s v="Fashion"/>
    <s v="Skirt"/>
    <n v="4"/>
    <n v="264.29000000000002"/>
    <s v="Bank Transfer"/>
    <x v="168"/>
    <n v="5"/>
    <x v="0"/>
    <n v="62"/>
    <x v="0"/>
    <n v="1057.1600000000001"/>
    <n v="317.14800000000002"/>
  </r>
  <r>
    <n v="91867"/>
    <d v="2024-05-20T00:00:00"/>
    <n v="893"/>
    <n v="20"/>
    <s v="Fashion"/>
    <s v="Shirt"/>
    <n v="1"/>
    <n v="316.41000000000003"/>
    <s v="Credit Card"/>
    <x v="169"/>
    <n v="4"/>
    <x v="1"/>
    <n v="45"/>
    <x v="2"/>
    <n v="316.41000000000003"/>
    <n v="94.923000000000002"/>
  </r>
  <r>
    <n v="49331"/>
    <d v="2024-05-21T00:00:00"/>
    <n v="526"/>
    <n v="30"/>
    <s v="Home &amp; Living"/>
    <s v="Pillow"/>
    <n v="5"/>
    <n v="122.23"/>
    <s v="Credit Card"/>
    <x v="170"/>
    <n v="5"/>
    <x v="0"/>
    <n v="32"/>
    <x v="2"/>
    <n v="611.15"/>
    <n v="183.345"/>
  </r>
  <r>
    <n v="23570"/>
    <d v="2024-05-21T00:00:00"/>
    <n v="721"/>
    <n v="40"/>
    <s v="Books &amp; Stationery"/>
    <s v="Novel"/>
    <n v="5"/>
    <n v="192.8"/>
    <s v="Bank Transfer"/>
    <x v="171"/>
    <n v="4"/>
    <x v="0"/>
    <n v="35"/>
    <x v="2"/>
    <n v="964"/>
    <n v="289.2"/>
  </r>
  <r>
    <n v="97308"/>
    <d v="2024-05-21T00:00:00"/>
    <n v="712"/>
    <n v="40"/>
    <s v="Books &amp; Stationery"/>
    <s v="Notebook"/>
    <n v="2"/>
    <n v="18.28"/>
    <s v="Cash on Delivery"/>
    <x v="172"/>
    <m/>
    <x v="0"/>
    <n v="64"/>
    <x v="0"/>
    <n v="36.56"/>
    <n v="10.968"/>
  </r>
  <r>
    <n v="73858"/>
    <d v="2024-05-21T00:00:00"/>
    <n v="604"/>
    <n v="20"/>
    <s v="Fashion"/>
    <s v="Skirt"/>
    <n v="4"/>
    <n v="488.49"/>
    <s v="Cash on Delivery"/>
    <x v="173"/>
    <n v="4"/>
    <x v="0"/>
    <n v="42"/>
    <x v="2"/>
    <n v="1953.96"/>
    <n v="586.18799999999999"/>
  </r>
  <r>
    <n v="75474"/>
    <d v="2024-05-22T00:00:00"/>
    <n v="107"/>
    <n v="40"/>
    <s v="Books &amp; Stationery"/>
    <s v="Notebook"/>
    <n v="1"/>
    <n v="117.47"/>
    <s v="Credit Card"/>
    <x v="174"/>
    <n v="4"/>
    <x v="0"/>
    <n v="73"/>
    <x v="0"/>
    <n v="117.47"/>
    <n v="35.241"/>
  </r>
  <r>
    <n v="54459"/>
    <d v="2024-05-22T00:00:00"/>
    <n v="676"/>
    <n v="30"/>
    <s v="Home &amp; Living"/>
    <s v="Painting"/>
    <n v="5"/>
    <n v="355.4"/>
    <s v="Cash on Delivery"/>
    <x v="175"/>
    <n v="5"/>
    <x v="0"/>
    <n v="35"/>
    <x v="2"/>
    <n v="1777"/>
    <n v="533.1"/>
  </r>
  <r>
    <n v="11578"/>
    <d v="2024-05-22T00:00:00"/>
    <n v="787"/>
    <n v="40"/>
    <s v="Books &amp; Stationery"/>
    <s v="Eraser"/>
    <n v="2"/>
    <n v="36.369999999999997"/>
    <s v="Bank Transfer"/>
    <x v="176"/>
    <n v="4"/>
    <x v="2"/>
    <n v="35"/>
    <x v="2"/>
    <n v="72.739999999999995"/>
    <n v="21.821999999999999"/>
  </r>
  <r>
    <n v="82945"/>
    <d v="2024-05-23T00:00:00"/>
    <n v="952"/>
    <n v="40"/>
    <s v="Books &amp; Stationery"/>
    <s v="Pen"/>
    <n v="2"/>
    <n v="203.61"/>
    <s v="Cash on Delivery"/>
    <x v="177"/>
    <m/>
    <x v="0"/>
    <n v="39"/>
    <x v="2"/>
    <n v="407.22"/>
    <n v="122.166"/>
  </r>
  <r>
    <n v="82989"/>
    <d v="2024-05-24T00:00:00"/>
    <n v="892"/>
    <n v="10"/>
    <s v="Electronics"/>
    <s v="Headphones"/>
    <n v="1"/>
    <n v="474.75"/>
    <s v="Bank Transfer"/>
    <x v="178"/>
    <n v="5"/>
    <x v="1"/>
    <n v="61"/>
    <x v="0"/>
    <n v="474.75"/>
    <n v="142.42499999999998"/>
  </r>
  <r>
    <n v="51031"/>
    <d v="2024-05-25T00:00:00"/>
    <n v="216"/>
    <n v="40"/>
    <s v="Books &amp; Stationery"/>
    <s v="Story Book"/>
    <n v="4"/>
    <n v="140.72999999999999"/>
    <s v="Cash on Delivery"/>
    <x v="179"/>
    <m/>
    <x v="1"/>
    <n v="50"/>
    <x v="1"/>
    <n v="562.91999999999996"/>
    <n v="168.87599999999998"/>
  </r>
  <r>
    <n v="27303"/>
    <d v="2024-05-25T00:00:00"/>
    <n v="119"/>
    <n v="50"/>
    <s v="Sports &amp; Outdoors"/>
    <s v="Yoga Mat"/>
    <n v="1"/>
    <n v="470.23"/>
    <s v="Credit Card"/>
    <x v="180"/>
    <n v="5"/>
    <x v="0"/>
    <n v="26"/>
    <x v="3"/>
    <n v="470.23"/>
    <n v="141.06899999999999"/>
  </r>
  <r>
    <n v="89883"/>
    <d v="2024-05-25T00:00:00"/>
    <n v="182"/>
    <n v="20"/>
    <s v="Fashion"/>
    <s v="Pants"/>
    <n v="5"/>
    <n v="116.03"/>
    <s v="Bank Transfer"/>
    <x v="181"/>
    <n v="2"/>
    <x v="1"/>
    <n v="66"/>
    <x v="0"/>
    <n v="580.15"/>
    <n v="174.04499999999999"/>
  </r>
  <r>
    <n v="16669"/>
    <d v="2024-05-25T00:00:00"/>
    <n v="360"/>
    <n v="40"/>
    <s v="Books &amp; Stationery"/>
    <s v="Eraser"/>
    <n v="3"/>
    <n v="238.74"/>
    <s v="Bank Transfer"/>
    <x v="182"/>
    <n v="4"/>
    <x v="0"/>
    <n v="34"/>
    <x v="2"/>
    <n v="716.22"/>
    <n v="214.86600000000001"/>
  </r>
  <r>
    <n v="95641"/>
    <d v="2024-05-25T00:00:00"/>
    <n v="887"/>
    <n v="50"/>
    <s v="Sports &amp; Outdoors"/>
    <s v="Soccer Ball"/>
    <n v="3"/>
    <n v="421.14"/>
    <s v="Credit Card"/>
    <x v="183"/>
    <n v="5"/>
    <x v="1"/>
    <n v="74"/>
    <x v="0"/>
    <n v="1263.42"/>
    <n v="379.02600000000001"/>
  </r>
  <r>
    <n v="20004"/>
    <d v="2024-05-25T00:00:00"/>
    <n v="137"/>
    <n v="30"/>
    <s v="Home &amp; Living"/>
    <s v="Blanket"/>
    <n v="3"/>
    <n v="220.32"/>
    <s v="Credit Card"/>
    <x v="184"/>
    <n v="5"/>
    <x v="0"/>
    <n v="49"/>
    <x v="1"/>
    <n v="660.96"/>
    <n v="198.28800000000001"/>
  </r>
  <r>
    <n v="98227"/>
    <d v="2024-05-25T00:00:00"/>
    <n v="960"/>
    <n v="10"/>
    <s v="Electronics"/>
    <s v="Tablet"/>
    <n v="4"/>
    <n v="356.25"/>
    <s v="Cash on Delivery"/>
    <x v="185"/>
    <n v="2"/>
    <x v="1"/>
    <n v="75"/>
    <x v="0"/>
    <n v="1425"/>
    <n v="427.5"/>
  </r>
  <r>
    <n v="10848"/>
    <d v="2024-05-26T00:00:00"/>
    <n v="281"/>
    <n v="10"/>
    <s v="Electronics"/>
    <s v="Headphones"/>
    <n v="5"/>
    <n v="120.02"/>
    <s v="Bank Transfer"/>
    <x v="186"/>
    <n v="5"/>
    <x v="1"/>
    <n v="67"/>
    <x v="0"/>
    <n v="600.1"/>
    <n v="180.03"/>
  </r>
  <r>
    <n v="90560"/>
    <d v="2024-05-26T00:00:00"/>
    <n v="739"/>
    <n v="30"/>
    <s v="Home &amp; Living"/>
    <s v="Blanket"/>
    <n v="2"/>
    <n v="68.53"/>
    <s v="Cash on Delivery"/>
    <x v="187"/>
    <m/>
    <x v="0"/>
    <n v="69"/>
    <x v="0"/>
    <n v="137.06"/>
    <n v="41.118000000000002"/>
  </r>
  <r>
    <n v="74490"/>
    <d v="2024-05-26T00:00:00"/>
    <n v="677"/>
    <n v="50"/>
    <s v="Sports &amp; Outdoors"/>
    <s v="Tent"/>
    <n v="1"/>
    <n v="409.85"/>
    <s v="Bank Transfer"/>
    <x v="188"/>
    <n v="5"/>
    <x v="0"/>
    <n v="65"/>
    <x v="0"/>
    <n v="409.85"/>
    <n v="122.955"/>
  </r>
  <r>
    <n v="99042"/>
    <d v="2024-05-26T00:00:00"/>
    <n v="343"/>
    <n v="20"/>
    <s v="Fashion"/>
    <s v="Pants"/>
    <n v="2"/>
    <n v="212.25"/>
    <s v="Cash on Delivery"/>
    <x v="189"/>
    <n v="5"/>
    <x v="1"/>
    <n v="69"/>
    <x v="0"/>
    <n v="424.5"/>
    <n v="127.35"/>
  </r>
  <r>
    <n v="32058"/>
    <d v="2024-05-27T00:00:00"/>
    <n v="843"/>
    <n v="10"/>
    <s v="Electronics"/>
    <s v="Tablet"/>
    <n v="3"/>
    <n v="57.32"/>
    <s v="Cash on Delivery"/>
    <x v="190"/>
    <n v="3"/>
    <x v="0"/>
    <n v="28"/>
    <x v="3"/>
    <n v="171.96"/>
    <n v="51.588000000000001"/>
  </r>
  <r>
    <n v="83207"/>
    <d v="2024-05-27T00:00:00"/>
    <n v="530"/>
    <n v="50"/>
    <s v="Sports &amp; Outdoors"/>
    <s v="Soccer Ball"/>
    <n v="5"/>
    <n v="228.76"/>
    <s v="Cash on Delivery"/>
    <x v="191"/>
    <n v="5"/>
    <x v="0"/>
    <n v="56"/>
    <x v="1"/>
    <n v="1143.8"/>
    <n v="343.14"/>
  </r>
  <r>
    <n v="26186"/>
    <d v="2024-05-27T00:00:00"/>
    <n v="822"/>
    <n v="50"/>
    <s v="Sports &amp; Outdoors"/>
    <s v="Running Shoes"/>
    <n v="3"/>
    <n v="142.84"/>
    <s v="Credit Card"/>
    <x v="192"/>
    <n v="5"/>
    <x v="0"/>
    <n v="38"/>
    <x v="2"/>
    <n v="428.52"/>
    <n v="128.55599999999998"/>
  </r>
  <r>
    <n v="86056"/>
    <d v="2024-05-27T00:00:00"/>
    <n v="629"/>
    <n v="20"/>
    <s v="Fashion"/>
    <s v="Dress"/>
    <n v="2"/>
    <n v="344.86"/>
    <s v="Credit Card"/>
    <x v="193"/>
    <n v="5"/>
    <x v="1"/>
    <n v="63"/>
    <x v="0"/>
    <n v="689.72"/>
    <n v="206.916"/>
  </r>
  <r>
    <n v="77076"/>
    <d v="2024-05-27T00:00:00"/>
    <n v="973"/>
    <n v="10"/>
    <s v="Electronics"/>
    <s v="Headphones"/>
    <n v="3"/>
    <n v="83.17"/>
    <s v="Bank Transfer"/>
    <x v="194"/>
    <m/>
    <x v="2"/>
    <n v="71"/>
    <x v="0"/>
    <n v="249.51"/>
    <n v="74.852999999999994"/>
  </r>
  <r>
    <n v="45232"/>
    <d v="2024-05-28T00:00:00"/>
    <n v="140"/>
    <n v="30"/>
    <s v="Home &amp; Living"/>
    <s v="Vase"/>
    <n v="2"/>
    <n v="139.43"/>
    <s v="Cash on Delivery"/>
    <x v="195"/>
    <n v="4"/>
    <x v="1"/>
    <n v="67"/>
    <x v="0"/>
    <n v="278.86"/>
    <n v="83.658000000000001"/>
  </r>
  <r>
    <n v="62030"/>
    <d v="2024-05-28T00:00:00"/>
    <n v="375"/>
    <n v="10"/>
    <s v="Electronics"/>
    <s v="Smartphone"/>
    <n v="2"/>
    <n v="45.89"/>
    <s v="Credit Card"/>
    <x v="196"/>
    <n v="5"/>
    <x v="1"/>
    <n v="64"/>
    <x v="0"/>
    <n v="91.78"/>
    <n v="27.533999999999999"/>
  </r>
  <r>
    <n v="98418"/>
    <d v="2024-05-28T00:00:00"/>
    <n v="471"/>
    <n v="30"/>
    <s v="Home &amp; Living"/>
    <s v="Blanket"/>
    <n v="2"/>
    <n v="493.95"/>
    <s v="Cash on Delivery"/>
    <x v="197"/>
    <n v="5"/>
    <x v="1"/>
    <n v="63"/>
    <x v="0"/>
    <n v="987.9"/>
    <n v="296.37"/>
  </r>
  <r>
    <n v="50980"/>
    <d v="2024-05-29T00:00:00"/>
    <n v="688"/>
    <n v="40"/>
    <s v="Books &amp; Stationery"/>
    <s v="Eraser"/>
    <n v="2"/>
    <n v="44.8"/>
    <s v="Credit Card"/>
    <x v="198"/>
    <n v="5"/>
    <x v="2"/>
    <n v="27"/>
    <x v="3"/>
    <n v="89.6"/>
    <n v="26.88"/>
  </r>
  <r>
    <n v="67232"/>
    <d v="2024-05-29T00:00:00"/>
    <n v="645"/>
    <n v="20"/>
    <s v="Fashion"/>
    <s v="Dress"/>
    <n v="2"/>
    <n v="172.22"/>
    <s v="Bank Transfer"/>
    <x v="199"/>
    <n v="1"/>
    <x v="1"/>
    <n v="52"/>
    <x v="1"/>
    <n v="344.44"/>
    <n v="103.33199999999999"/>
  </r>
  <r>
    <n v="91161"/>
    <d v="2024-05-29T00:00:00"/>
    <n v="556"/>
    <n v="50"/>
    <s v="Sports &amp; Outdoors"/>
    <s v="Tent"/>
    <n v="3"/>
    <n v="378.67"/>
    <s v="Credit Card"/>
    <x v="200"/>
    <n v="4"/>
    <x v="0"/>
    <n v="25"/>
    <x v="3"/>
    <n v="1136.01"/>
    <n v="340.803"/>
  </r>
  <r>
    <n v="82700"/>
    <d v="2024-05-30T00:00:00"/>
    <n v="410"/>
    <n v="50"/>
    <s v="Sports &amp; Outdoors"/>
    <s v="Basketball"/>
    <n v="5"/>
    <n v="37.869999999999997"/>
    <s v="Cash on Delivery"/>
    <x v="201"/>
    <m/>
    <x v="0"/>
    <n v="55"/>
    <x v="1"/>
    <n v="189.35"/>
    <n v="56.805"/>
  </r>
  <r>
    <n v="69170"/>
    <d v="2024-05-30T00:00:00"/>
    <n v="660"/>
    <n v="20"/>
    <s v="Fashion"/>
    <s v="Dress"/>
    <n v="4"/>
    <n v="66.56"/>
    <s v="Credit Card"/>
    <x v="202"/>
    <n v="5"/>
    <x v="0"/>
    <n v="62"/>
    <x v="0"/>
    <n v="266.24"/>
    <n v="79.872"/>
  </r>
  <r>
    <n v="38096"/>
    <d v="2024-05-30T00:00:00"/>
    <n v="826"/>
    <n v="40"/>
    <s v="Books &amp; Stationery"/>
    <s v="Eraser"/>
    <n v="1"/>
    <n v="67.7"/>
    <s v="Bank Transfer"/>
    <x v="203"/>
    <n v="5"/>
    <x v="0"/>
    <n v="58"/>
    <x v="1"/>
    <n v="67.7"/>
    <n v="20.309999999999999"/>
  </r>
  <r>
    <n v="20351"/>
    <d v="2024-05-30T00:00:00"/>
    <n v="627"/>
    <n v="40"/>
    <s v="Books &amp; Stationery"/>
    <s v="Notebook"/>
    <n v="5"/>
    <n v="362.11"/>
    <s v="Credit Card"/>
    <x v="204"/>
    <n v="5"/>
    <x v="1"/>
    <n v="62"/>
    <x v="0"/>
    <n v="1810.5500000000002"/>
    <n v="543.16500000000008"/>
  </r>
  <r>
    <n v="97874"/>
    <d v="2024-05-30T00:00:00"/>
    <n v="967"/>
    <n v="20"/>
    <s v="Fashion"/>
    <s v="Pants"/>
    <n v="5"/>
    <n v="381.31"/>
    <s v="Credit Card"/>
    <x v="205"/>
    <m/>
    <x v="2"/>
    <n v="71"/>
    <x v="0"/>
    <n v="1906.55"/>
    <n v="571.96499999999992"/>
  </r>
  <r>
    <n v="24639"/>
    <d v="2024-05-30T00:00:00"/>
    <n v="797"/>
    <n v="10"/>
    <s v="Electronics"/>
    <s v="Headphones"/>
    <n v="3"/>
    <n v="238.77"/>
    <s v="Credit Card"/>
    <x v="206"/>
    <m/>
    <x v="1"/>
    <n v="49"/>
    <x v="1"/>
    <n v="716.31000000000006"/>
    <n v="214.893"/>
  </r>
  <r>
    <n v="75314"/>
    <d v="2024-05-31T00:00:00"/>
    <n v="417"/>
    <n v="20"/>
    <s v="Fashion"/>
    <s v="T-shirt"/>
    <n v="1"/>
    <n v="181.56"/>
    <s v="Cash on Delivery"/>
    <x v="207"/>
    <n v="3"/>
    <x v="1"/>
    <n v="24"/>
    <x v="3"/>
    <n v="181.56"/>
    <n v="54.467999999999996"/>
  </r>
  <r>
    <n v="63278"/>
    <d v="2024-05-31T00:00:00"/>
    <n v="722"/>
    <n v="40"/>
    <s v="Books &amp; Stationery"/>
    <s v="Eraser"/>
    <n v="2"/>
    <n v="215.13"/>
    <s v="Cash on Delivery"/>
    <x v="205"/>
    <n v="5"/>
    <x v="2"/>
    <n v="53"/>
    <x v="1"/>
    <n v="430.26"/>
    <n v="129.078"/>
  </r>
  <r>
    <n v="33203"/>
    <d v="2024-05-31T00:00:00"/>
    <n v="236"/>
    <n v="50"/>
    <s v="Sports &amp; Outdoors"/>
    <s v="Running Shoes"/>
    <n v="5"/>
    <n v="366.17"/>
    <s v="Cash on Delivery"/>
    <x v="208"/>
    <n v="5"/>
    <x v="0"/>
    <n v="62"/>
    <x v="0"/>
    <n v="1830.8500000000001"/>
    <n v="549.255"/>
  </r>
  <r>
    <n v="23188"/>
    <d v="2024-06-01T00:00:00"/>
    <n v="682"/>
    <n v="50"/>
    <s v="Sports &amp; Outdoors"/>
    <s v="Soccer Ball"/>
    <n v="5"/>
    <n v="299.33999999999997"/>
    <s v="Credit Card"/>
    <x v="209"/>
    <m/>
    <x v="0"/>
    <n v="59"/>
    <x v="1"/>
    <n v="1496.6999999999998"/>
    <n v="449.00999999999993"/>
  </r>
  <r>
    <n v="61332"/>
    <d v="2024-06-01T00:00:00"/>
    <n v="200"/>
    <n v="50"/>
    <s v="Sports &amp; Outdoors"/>
    <s v="Basketball"/>
    <n v="2"/>
    <n v="68.94"/>
    <s v="Bank Transfer"/>
    <x v="210"/>
    <m/>
    <x v="2"/>
    <n v="39"/>
    <x v="2"/>
    <n v="137.88"/>
    <n v="41.363999999999997"/>
  </r>
  <r>
    <n v="60796"/>
    <d v="2024-06-01T00:00:00"/>
    <n v="535"/>
    <n v="50"/>
    <s v="Sports &amp; Outdoors"/>
    <s v="Tent"/>
    <n v="2"/>
    <n v="241.33"/>
    <s v="Credit Card"/>
    <x v="211"/>
    <n v="3"/>
    <x v="0"/>
    <n v="73"/>
    <x v="0"/>
    <n v="482.66"/>
    <n v="144.798"/>
  </r>
  <r>
    <n v="79880"/>
    <d v="2024-06-01T00:00:00"/>
    <n v="664"/>
    <n v="30"/>
    <s v="Home &amp; Living"/>
    <s v="Pillow"/>
    <n v="5"/>
    <n v="308.42"/>
    <s v="Cash on Delivery"/>
    <x v="212"/>
    <n v="3"/>
    <x v="2"/>
    <n v="20"/>
    <x v="3"/>
    <n v="1542.1000000000001"/>
    <n v="462.63"/>
  </r>
  <r>
    <n v="28742"/>
    <d v="2024-06-02T00:00:00"/>
    <n v="184"/>
    <n v="10"/>
    <s v="Electronics"/>
    <s v="Headphones"/>
    <n v="5"/>
    <n v="335.61"/>
    <s v="Cash on Delivery"/>
    <x v="213"/>
    <m/>
    <x v="0"/>
    <n v="34"/>
    <x v="2"/>
    <n v="1678.0500000000002"/>
    <n v="503.41500000000002"/>
  </r>
  <r>
    <n v="48725"/>
    <d v="2024-06-02T00:00:00"/>
    <n v="471"/>
    <n v="10"/>
    <s v="Electronics"/>
    <s v="Smartwatch"/>
    <n v="2"/>
    <n v="411.33"/>
    <s v="Credit Card"/>
    <x v="214"/>
    <n v="4"/>
    <x v="1"/>
    <n v="64"/>
    <x v="0"/>
    <n v="822.66"/>
    <n v="246.79799999999997"/>
  </r>
  <r>
    <n v="17074"/>
    <d v="2024-06-02T00:00:00"/>
    <n v="224"/>
    <n v="30"/>
    <s v="Home &amp; Living"/>
    <s v="Carpet"/>
    <n v="1"/>
    <n v="260.52"/>
    <s v="Cash on Delivery"/>
    <x v="215"/>
    <n v="5"/>
    <x v="0"/>
    <n v="37"/>
    <x v="2"/>
    <n v="260.52"/>
    <n v="78.155999999999992"/>
  </r>
  <r>
    <n v="54901"/>
    <d v="2024-06-04T00:00:00"/>
    <n v="491"/>
    <n v="40"/>
    <s v="Books &amp; Stationery"/>
    <s v="Eraser"/>
    <n v="3"/>
    <n v="376.28"/>
    <s v="Cash on Delivery"/>
    <x v="216"/>
    <n v="5"/>
    <x v="1"/>
    <n v="23"/>
    <x v="3"/>
    <n v="1128.8399999999999"/>
    <n v="338.65199999999999"/>
  </r>
  <r>
    <n v="39236"/>
    <d v="2024-06-05T00:00:00"/>
    <n v="793"/>
    <n v="30"/>
    <s v="Home &amp; Living"/>
    <s v="Blanket"/>
    <n v="1"/>
    <n v="158.11000000000001"/>
    <s v="Cash on Delivery"/>
    <x v="217"/>
    <n v="4"/>
    <x v="0"/>
    <n v="47"/>
    <x v="1"/>
    <n v="158.11000000000001"/>
    <n v="47.433"/>
  </r>
  <r>
    <n v="14284"/>
    <d v="2024-06-05T00:00:00"/>
    <n v="865"/>
    <n v="20"/>
    <s v="Fashion"/>
    <s v="Pants"/>
    <n v="1"/>
    <n v="323.83"/>
    <s v="Bank Transfer"/>
    <x v="218"/>
    <n v="3"/>
    <x v="1"/>
    <n v="63"/>
    <x v="0"/>
    <n v="323.83"/>
    <n v="97.148999999999987"/>
  </r>
  <r>
    <n v="23300"/>
    <d v="2024-06-05T00:00:00"/>
    <n v="737"/>
    <n v="20"/>
    <s v="Fashion"/>
    <s v="Skirt"/>
    <n v="2"/>
    <n v="46.12"/>
    <s v="Credit Card"/>
    <x v="219"/>
    <n v="2"/>
    <x v="0"/>
    <n v="66"/>
    <x v="0"/>
    <n v="92.24"/>
    <n v="27.671999999999997"/>
  </r>
  <r>
    <n v="39945"/>
    <d v="2024-06-06T00:00:00"/>
    <n v="273"/>
    <n v="50"/>
    <s v="Sports &amp; Outdoors"/>
    <s v="Yoga Mat"/>
    <n v="5"/>
    <n v="182.39"/>
    <s v="Bank Transfer"/>
    <x v="220"/>
    <n v="2"/>
    <x v="0"/>
    <n v="75"/>
    <x v="0"/>
    <n v="911.94999999999993"/>
    <n v="273.58499999999998"/>
  </r>
  <r>
    <n v="12817"/>
    <d v="2024-06-06T00:00:00"/>
    <n v="466"/>
    <n v="50"/>
    <s v="Sports &amp; Outdoors"/>
    <s v="Tent"/>
    <n v="4"/>
    <n v="397.46"/>
    <s v="Credit Card"/>
    <x v="221"/>
    <n v="5"/>
    <x v="0"/>
    <n v="40"/>
    <x v="2"/>
    <n v="1589.84"/>
    <n v="476.95199999999994"/>
  </r>
  <r>
    <n v="88424"/>
    <d v="2024-06-06T00:00:00"/>
    <n v="535"/>
    <n v="10"/>
    <s v="Electronics"/>
    <s v="Smartphone"/>
    <n v="2"/>
    <n v="190.68"/>
    <s v="Bank Transfer"/>
    <x v="222"/>
    <m/>
    <x v="1"/>
    <n v="44"/>
    <x v="2"/>
    <n v="381.36"/>
    <n v="114.408"/>
  </r>
  <r>
    <n v="36125"/>
    <d v="2024-06-06T00:00:00"/>
    <n v="521"/>
    <n v="50"/>
    <s v="Sports &amp; Outdoors"/>
    <s v="Running Shoes"/>
    <n v="5"/>
    <n v="406.26"/>
    <s v="Bank Transfer"/>
    <x v="223"/>
    <m/>
    <x v="0"/>
    <n v="30"/>
    <x v="3"/>
    <n v="2031.3"/>
    <n v="609.39"/>
  </r>
  <r>
    <n v="79809"/>
    <d v="2024-06-07T00:00:00"/>
    <n v="706"/>
    <n v="10"/>
    <s v="Electronics"/>
    <s v="Tablet"/>
    <n v="5"/>
    <n v="272.75"/>
    <s v="Bank Transfer"/>
    <x v="224"/>
    <m/>
    <x v="0"/>
    <n v="57"/>
    <x v="1"/>
    <n v="1363.75"/>
    <n v="409.125"/>
  </r>
  <r>
    <n v="28298"/>
    <d v="2024-06-07T00:00:00"/>
    <n v="555"/>
    <n v="40"/>
    <s v="Books &amp; Stationery"/>
    <s v="Novel"/>
    <n v="3"/>
    <n v="346.82"/>
    <s v="Bank Transfer"/>
    <x v="225"/>
    <n v="5"/>
    <x v="1"/>
    <n v="18"/>
    <x v="3"/>
    <n v="1040.46"/>
    <n v="312.13799999999998"/>
  </r>
  <r>
    <n v="20485"/>
    <d v="2024-06-07T00:00:00"/>
    <n v="602"/>
    <n v="20"/>
    <s v="Fashion"/>
    <s v="T-shirt"/>
    <n v="4"/>
    <n v="333.92"/>
    <s v="Credit Card"/>
    <x v="226"/>
    <m/>
    <x v="0"/>
    <n v="44"/>
    <x v="2"/>
    <n v="1335.68"/>
    <n v="400.70400000000001"/>
  </r>
  <r>
    <n v="35007"/>
    <d v="2024-06-09T00:00:00"/>
    <n v="355"/>
    <n v="30"/>
    <s v="Home &amp; Living"/>
    <s v="Vase"/>
    <n v="2"/>
    <n v="149.77000000000001"/>
    <s v="Cash on Delivery"/>
    <x v="227"/>
    <n v="5"/>
    <x v="2"/>
    <n v="65"/>
    <x v="0"/>
    <n v="299.54000000000002"/>
    <n v="89.862000000000009"/>
  </r>
  <r>
    <n v="55184"/>
    <d v="2024-06-09T00:00:00"/>
    <n v="151"/>
    <n v="20"/>
    <s v="Fashion"/>
    <s v="Skirt"/>
    <n v="5"/>
    <n v="31.41"/>
    <s v="Bank Transfer"/>
    <x v="228"/>
    <n v="5"/>
    <x v="0"/>
    <n v="23"/>
    <x v="3"/>
    <n v="157.05000000000001"/>
    <n v="47.115000000000002"/>
  </r>
  <r>
    <n v="27836"/>
    <d v="2024-06-09T00:00:00"/>
    <n v="302"/>
    <n v="10"/>
    <s v="Electronics"/>
    <s v="Headphones"/>
    <n v="4"/>
    <n v="110.67"/>
    <s v="Cash on Delivery"/>
    <x v="229"/>
    <n v="4"/>
    <x v="1"/>
    <n v="73"/>
    <x v="0"/>
    <n v="442.68"/>
    <n v="132.804"/>
  </r>
  <r>
    <n v="55438"/>
    <d v="2024-06-09T00:00:00"/>
    <n v="716"/>
    <n v="10"/>
    <s v="Electronics"/>
    <s v="Laptop"/>
    <n v="3"/>
    <n v="82.65"/>
    <s v="Cash on Delivery"/>
    <x v="230"/>
    <n v="3"/>
    <x v="0"/>
    <n v="51"/>
    <x v="1"/>
    <n v="247.95000000000002"/>
    <n v="74.385000000000005"/>
  </r>
  <r>
    <n v="17263"/>
    <d v="2024-06-10T00:00:00"/>
    <n v="542"/>
    <n v="10"/>
    <s v="Electronics"/>
    <s v="Smartwatch"/>
    <n v="5"/>
    <n v="375.27"/>
    <s v="Bank Transfer"/>
    <x v="231"/>
    <m/>
    <x v="0"/>
    <n v="47"/>
    <x v="1"/>
    <n v="1876.35"/>
    <n v="562.90499999999997"/>
  </r>
  <r>
    <n v="92654"/>
    <d v="2024-06-10T00:00:00"/>
    <n v="693"/>
    <n v="50"/>
    <s v="Sports &amp; Outdoors"/>
    <s v="Running Shoes"/>
    <n v="1"/>
    <n v="386.91"/>
    <s v="Credit Card"/>
    <x v="232"/>
    <n v="5"/>
    <x v="1"/>
    <n v="31"/>
    <x v="2"/>
    <n v="386.91"/>
    <n v="116.07300000000001"/>
  </r>
  <r>
    <n v="21664"/>
    <d v="2024-06-10T00:00:00"/>
    <n v="395"/>
    <n v="40"/>
    <s v="Books &amp; Stationery"/>
    <s v="Novel"/>
    <n v="3"/>
    <n v="326.37"/>
    <s v="Bank Transfer"/>
    <x v="233"/>
    <m/>
    <x v="1"/>
    <n v="39"/>
    <x v="2"/>
    <n v="979.11"/>
    <n v="293.733"/>
  </r>
  <r>
    <n v="33897"/>
    <d v="2024-06-11T00:00:00"/>
    <n v="755"/>
    <n v="50"/>
    <s v="Sports &amp; Outdoors"/>
    <s v="Basketball"/>
    <n v="1"/>
    <n v="323.43"/>
    <s v="Credit Card"/>
    <x v="234"/>
    <n v="5"/>
    <x v="0"/>
    <n v="48"/>
    <x v="1"/>
    <n v="323.43"/>
    <n v="97.028999999999996"/>
  </r>
  <r>
    <n v="17483"/>
    <d v="2024-06-11T00:00:00"/>
    <n v="205"/>
    <n v="20"/>
    <s v="Fashion"/>
    <s v="Pants"/>
    <n v="4"/>
    <n v="210.55"/>
    <s v="Cash on Delivery"/>
    <x v="235"/>
    <n v="5"/>
    <x v="1"/>
    <n v="48"/>
    <x v="1"/>
    <n v="842.2"/>
    <n v="252.66"/>
  </r>
  <r>
    <n v="68218"/>
    <d v="2024-06-11T00:00:00"/>
    <n v="680"/>
    <n v="50"/>
    <s v="Sports &amp; Outdoors"/>
    <s v="Basketball"/>
    <n v="4"/>
    <n v="237.15"/>
    <s v="Cash on Delivery"/>
    <x v="236"/>
    <n v="4"/>
    <x v="1"/>
    <n v="39"/>
    <x v="2"/>
    <n v="948.6"/>
    <n v="284.58"/>
  </r>
  <r>
    <n v="88309"/>
    <d v="2024-06-11T00:00:00"/>
    <n v="524"/>
    <n v="50"/>
    <s v="Sports &amp; Outdoors"/>
    <s v="Running Shoes"/>
    <n v="1"/>
    <n v="394.31"/>
    <s v="Bank Transfer"/>
    <x v="237"/>
    <n v="4"/>
    <x v="0"/>
    <n v="41"/>
    <x v="2"/>
    <n v="394.31"/>
    <n v="118.29299999999999"/>
  </r>
  <r>
    <n v="69112"/>
    <d v="2024-06-12T00:00:00"/>
    <n v="234"/>
    <n v="40"/>
    <s v="Books &amp; Stationery"/>
    <s v="Pen"/>
    <n v="2"/>
    <n v="176.13"/>
    <s v="Credit Card"/>
    <x v="238"/>
    <n v="4"/>
    <x v="1"/>
    <n v="29"/>
    <x v="3"/>
    <n v="352.26"/>
    <n v="105.678"/>
  </r>
  <r>
    <n v="73536"/>
    <d v="2024-06-12T00:00:00"/>
    <n v="311"/>
    <n v="30"/>
    <s v="Home &amp; Living"/>
    <s v="Vase"/>
    <n v="5"/>
    <n v="306.44"/>
    <s v="Credit Card"/>
    <x v="239"/>
    <m/>
    <x v="0"/>
    <n v="61"/>
    <x v="0"/>
    <n v="1532.2"/>
    <n v="459.66"/>
  </r>
  <r>
    <n v="43591"/>
    <d v="2024-06-12T00:00:00"/>
    <n v="302"/>
    <n v="50"/>
    <s v="Sports &amp; Outdoors"/>
    <s v="Running Shoes"/>
    <n v="4"/>
    <n v="170.43"/>
    <s v="Cash on Delivery"/>
    <x v="240"/>
    <n v="5"/>
    <x v="0"/>
    <n v="37"/>
    <x v="2"/>
    <n v="681.72"/>
    <n v="204.51599999999999"/>
  </r>
  <r>
    <n v="47962"/>
    <d v="2024-06-13T00:00:00"/>
    <n v="396"/>
    <n v="10"/>
    <s v="Electronics"/>
    <s v="Headphones"/>
    <n v="3"/>
    <n v="23.45"/>
    <s v="Credit Card"/>
    <x v="241"/>
    <m/>
    <x v="1"/>
    <n v="22"/>
    <x v="3"/>
    <n v="70.349999999999994"/>
    <n v="21.104999999999997"/>
  </r>
  <r>
    <n v="39427"/>
    <d v="2024-06-13T00:00:00"/>
    <n v="292"/>
    <n v="20"/>
    <s v="Fashion"/>
    <s v="T-shirt"/>
    <n v="3"/>
    <n v="498.44"/>
    <s v="Bank Transfer"/>
    <x v="242"/>
    <n v="3"/>
    <x v="0"/>
    <n v="60"/>
    <x v="1"/>
    <n v="1495.32"/>
    <n v="448.59599999999995"/>
  </r>
  <r>
    <n v="87052"/>
    <d v="2024-06-13T00:00:00"/>
    <n v="815"/>
    <n v="10"/>
    <s v="Electronics"/>
    <s v="Tablet"/>
    <n v="3"/>
    <n v="310.7"/>
    <s v="Bank Transfer"/>
    <x v="243"/>
    <n v="5"/>
    <x v="0"/>
    <n v="67"/>
    <x v="0"/>
    <n v="932.09999999999991"/>
    <n v="279.62999999999994"/>
  </r>
  <r>
    <n v="94316"/>
    <d v="2024-06-14T00:00:00"/>
    <n v="979"/>
    <n v="30"/>
    <s v="Home &amp; Living"/>
    <s v="Vase"/>
    <n v="1"/>
    <n v="146.35"/>
    <s v="Bank Transfer"/>
    <x v="244"/>
    <n v="2"/>
    <x v="0"/>
    <n v="18"/>
    <x v="3"/>
    <n v="146.35"/>
    <n v="43.904999999999994"/>
  </r>
  <r>
    <n v="53652"/>
    <d v="2024-06-14T00:00:00"/>
    <n v="899"/>
    <n v="40"/>
    <s v="Books &amp; Stationery"/>
    <s v="Novel"/>
    <n v="5"/>
    <n v="416.12"/>
    <s v="Cash on Delivery"/>
    <x v="245"/>
    <n v="5"/>
    <x v="1"/>
    <n v="56"/>
    <x v="1"/>
    <n v="2080.6"/>
    <n v="624.17999999999995"/>
  </r>
  <r>
    <n v="94700"/>
    <d v="2024-06-15T00:00:00"/>
    <n v="675"/>
    <n v="50"/>
    <s v="Sports &amp; Outdoors"/>
    <s v="Yoga Mat"/>
    <n v="3"/>
    <n v="335.06"/>
    <s v="Credit Card"/>
    <x v="246"/>
    <n v="5"/>
    <x v="0"/>
    <n v="23"/>
    <x v="3"/>
    <n v="1005.1800000000001"/>
    <n v="301.55400000000003"/>
  </r>
  <r>
    <n v="18819"/>
    <d v="2024-06-16T00:00:00"/>
    <n v="775"/>
    <n v="10"/>
    <s v="Electronics"/>
    <s v="Laptop"/>
    <n v="4"/>
    <n v="476.13"/>
    <s v="Cash on Delivery"/>
    <x v="247"/>
    <n v="4"/>
    <x v="1"/>
    <n v="70"/>
    <x v="0"/>
    <n v="1904.52"/>
    <n v="571.35599999999999"/>
  </r>
  <r>
    <n v="12858"/>
    <d v="2024-06-16T00:00:00"/>
    <n v="957"/>
    <n v="30"/>
    <s v="Home &amp; Living"/>
    <s v="Painting"/>
    <n v="3"/>
    <n v="376.19"/>
    <s v="Bank Transfer"/>
    <x v="248"/>
    <n v="5"/>
    <x v="0"/>
    <n v="28"/>
    <x v="3"/>
    <n v="1128.57"/>
    <n v="338.57099999999997"/>
  </r>
  <r>
    <n v="13725"/>
    <d v="2024-06-16T00:00:00"/>
    <n v="564"/>
    <n v="10"/>
    <s v="Electronics"/>
    <s v="Smartphone"/>
    <n v="4"/>
    <n v="285.72000000000003"/>
    <s v="Credit Card"/>
    <x v="249"/>
    <n v="5"/>
    <x v="1"/>
    <n v="26"/>
    <x v="3"/>
    <n v="1142.8800000000001"/>
    <n v="342.86400000000003"/>
  </r>
  <r>
    <n v="65819"/>
    <d v="2024-06-16T00:00:00"/>
    <n v="691"/>
    <n v="50"/>
    <s v="Sports &amp; Outdoors"/>
    <s v="Soccer Ball"/>
    <n v="2"/>
    <n v="255.9"/>
    <s v="Credit Card"/>
    <x v="250"/>
    <n v="4"/>
    <x v="0"/>
    <n v="34"/>
    <x v="2"/>
    <n v="511.8"/>
    <n v="153.54"/>
  </r>
  <r>
    <n v="77706"/>
    <d v="2024-06-17T00:00:00"/>
    <n v="111"/>
    <n v="50"/>
    <s v="Sports &amp; Outdoors"/>
    <s v="Yoga Mat"/>
    <n v="2"/>
    <n v="416.93"/>
    <s v="Bank Transfer"/>
    <x v="251"/>
    <n v="5"/>
    <x v="2"/>
    <n v="33"/>
    <x v="2"/>
    <n v="833.86"/>
    <n v="250.15799999999999"/>
  </r>
  <r>
    <n v="31412"/>
    <d v="2024-06-17T00:00:00"/>
    <n v="898"/>
    <n v="20"/>
    <s v="Fashion"/>
    <s v="Skirt"/>
    <n v="2"/>
    <n v="279.81"/>
    <s v="Cash on Delivery"/>
    <x v="252"/>
    <n v="3"/>
    <x v="1"/>
    <n v="61"/>
    <x v="0"/>
    <n v="559.62"/>
    <n v="167.886"/>
  </r>
  <r>
    <n v="64496"/>
    <d v="2024-06-18T00:00:00"/>
    <n v="146"/>
    <n v="40"/>
    <s v="Books &amp; Stationery"/>
    <s v="Pen"/>
    <n v="1"/>
    <n v="405.91"/>
    <s v="Cash on Delivery"/>
    <x v="253"/>
    <n v="1"/>
    <x v="0"/>
    <n v="61"/>
    <x v="0"/>
    <n v="405.91"/>
    <n v="121.773"/>
  </r>
  <r>
    <n v="77850"/>
    <d v="2024-06-19T00:00:00"/>
    <n v="633"/>
    <n v="10"/>
    <s v="Electronics"/>
    <s v="Headphones"/>
    <n v="4"/>
    <n v="272.92"/>
    <s v="Bank Transfer"/>
    <x v="254"/>
    <n v="3"/>
    <x v="1"/>
    <n v="30"/>
    <x v="3"/>
    <n v="1091.68"/>
    <n v="327.50400000000002"/>
  </r>
  <r>
    <n v="38523"/>
    <d v="2024-06-20T00:00:00"/>
    <n v="383"/>
    <n v="30"/>
    <s v="Home &amp; Living"/>
    <s v="Blanket"/>
    <n v="3"/>
    <n v="40.44"/>
    <s v="Credit Card"/>
    <x v="255"/>
    <n v="4"/>
    <x v="0"/>
    <n v="60"/>
    <x v="1"/>
    <n v="121.32"/>
    <n v="36.395999999999994"/>
  </r>
  <r>
    <n v="19293"/>
    <d v="2024-06-20T00:00:00"/>
    <n v="633"/>
    <n v="20"/>
    <s v="Fashion"/>
    <s v="Shirt"/>
    <n v="1"/>
    <n v="118.31"/>
    <s v="Bank Transfer"/>
    <x v="256"/>
    <n v="2"/>
    <x v="1"/>
    <n v="33"/>
    <x v="2"/>
    <n v="118.31"/>
    <n v="35.493000000000002"/>
  </r>
  <r>
    <n v="93277"/>
    <d v="2024-06-20T00:00:00"/>
    <n v="428"/>
    <n v="40"/>
    <s v="Books &amp; Stationery"/>
    <s v="Pen"/>
    <n v="1"/>
    <n v="487.74"/>
    <s v="Cash on Delivery"/>
    <x v="257"/>
    <n v="5"/>
    <x v="1"/>
    <n v="70"/>
    <x v="0"/>
    <n v="487.74"/>
    <n v="146.322"/>
  </r>
  <r>
    <n v="90933"/>
    <d v="2024-06-21T00:00:00"/>
    <n v="799"/>
    <n v="50"/>
    <s v="Sports &amp; Outdoors"/>
    <s v="Yoga Mat"/>
    <n v="3"/>
    <n v="348.24"/>
    <s v="Cash on Delivery"/>
    <x v="258"/>
    <n v="5"/>
    <x v="0"/>
    <n v="65"/>
    <x v="0"/>
    <n v="1044.72"/>
    <n v="313.416"/>
  </r>
  <r>
    <n v="75453"/>
    <d v="2024-06-22T00:00:00"/>
    <n v="260"/>
    <n v="50"/>
    <s v="Sports &amp; Outdoors"/>
    <s v="Soccer Ball"/>
    <n v="3"/>
    <n v="158.9"/>
    <s v="Credit Card"/>
    <x v="259"/>
    <n v="4"/>
    <x v="1"/>
    <n v="33"/>
    <x v="2"/>
    <n v="476.70000000000005"/>
    <n v="143.01000000000002"/>
  </r>
  <r>
    <n v="63842"/>
    <d v="2024-06-22T00:00:00"/>
    <n v="781"/>
    <n v="20"/>
    <s v="Fashion"/>
    <s v="Pants"/>
    <n v="2"/>
    <n v="460.75"/>
    <s v="Cash on Delivery"/>
    <x v="260"/>
    <n v="5"/>
    <x v="1"/>
    <n v="68"/>
    <x v="0"/>
    <n v="921.5"/>
    <n v="276.45"/>
  </r>
  <r>
    <n v="12469"/>
    <d v="2024-06-24T00:00:00"/>
    <n v="816"/>
    <n v="50"/>
    <s v="Sports &amp; Outdoors"/>
    <s v="Soccer Ball"/>
    <n v="3"/>
    <n v="326.55"/>
    <s v="Bank Transfer"/>
    <x v="261"/>
    <n v="4"/>
    <x v="0"/>
    <n v="35"/>
    <x v="2"/>
    <n v="979.65000000000009"/>
    <n v="293.89500000000004"/>
  </r>
  <r>
    <n v="63722"/>
    <d v="2024-06-24T00:00:00"/>
    <n v="614"/>
    <n v="30"/>
    <s v="Home &amp; Living"/>
    <s v="Blanket"/>
    <n v="1"/>
    <n v="404.83"/>
    <s v="Credit Card"/>
    <x v="262"/>
    <n v="4"/>
    <x v="2"/>
    <n v="36"/>
    <x v="2"/>
    <n v="404.83"/>
    <n v="121.44899999999998"/>
  </r>
  <r>
    <n v="46834"/>
    <d v="2024-06-24T00:00:00"/>
    <n v="506"/>
    <n v="10"/>
    <s v="Electronics"/>
    <s v="Smartphone"/>
    <n v="5"/>
    <n v="365.33"/>
    <s v="Cash on Delivery"/>
    <x v="263"/>
    <n v="3"/>
    <x v="0"/>
    <n v="24"/>
    <x v="3"/>
    <n v="1826.6499999999999"/>
    <n v="547.99499999999989"/>
  </r>
  <r>
    <n v="95940"/>
    <d v="2024-06-24T00:00:00"/>
    <n v="672"/>
    <n v="10"/>
    <s v="Electronics"/>
    <s v="Tablet"/>
    <n v="3"/>
    <n v="295.67"/>
    <s v="Cash on Delivery"/>
    <x v="264"/>
    <n v="4"/>
    <x v="0"/>
    <n v="29"/>
    <x v="3"/>
    <n v="887.01"/>
    <n v="266.10300000000001"/>
  </r>
  <r>
    <n v="80222"/>
    <d v="2024-06-25T00:00:00"/>
    <n v="543"/>
    <n v="10"/>
    <s v="Electronics"/>
    <s v="Headphones"/>
    <n v="2"/>
    <n v="212.77"/>
    <s v="Credit Card"/>
    <x v="265"/>
    <n v="5"/>
    <x v="1"/>
    <n v="50"/>
    <x v="1"/>
    <n v="425.54"/>
    <n v="127.66200000000001"/>
  </r>
  <r>
    <n v="90319"/>
    <d v="2024-06-25T00:00:00"/>
    <n v="797"/>
    <n v="30"/>
    <s v="Home &amp; Living"/>
    <s v="Carpet"/>
    <n v="4"/>
    <n v="164.55"/>
    <s v="Cash on Delivery"/>
    <x v="266"/>
    <n v="5"/>
    <x v="1"/>
    <n v="69"/>
    <x v="0"/>
    <n v="658.2"/>
    <n v="197.46"/>
  </r>
  <r>
    <n v="21838"/>
    <d v="2024-06-25T00:00:00"/>
    <n v="582"/>
    <n v="10"/>
    <s v="Electronics"/>
    <s v="Smartphone"/>
    <n v="2"/>
    <n v="289.97000000000003"/>
    <s v="Cash on Delivery"/>
    <x v="267"/>
    <n v="4"/>
    <x v="0"/>
    <n v="70"/>
    <x v="0"/>
    <n v="579.94000000000005"/>
    <n v="173.982"/>
  </r>
  <r>
    <n v="11108"/>
    <d v="2024-06-26T00:00:00"/>
    <n v="575"/>
    <n v="40"/>
    <s v="Books &amp; Stationery"/>
    <s v="Eraser"/>
    <n v="2"/>
    <n v="27.59"/>
    <s v="Credit Card"/>
    <x v="268"/>
    <n v="1"/>
    <x v="1"/>
    <n v="58"/>
    <x v="1"/>
    <n v="55.18"/>
    <n v="16.553999999999998"/>
  </r>
  <r>
    <n v="29197"/>
    <d v="2024-06-26T00:00:00"/>
    <n v="491"/>
    <n v="50"/>
    <s v="Sports &amp; Outdoors"/>
    <s v="Running Shoes"/>
    <n v="5"/>
    <n v="134.12"/>
    <s v="Cash on Delivery"/>
    <x v="269"/>
    <m/>
    <x v="0"/>
    <n v="49"/>
    <x v="1"/>
    <n v="670.6"/>
    <n v="201.18"/>
  </r>
  <r>
    <n v="46587"/>
    <d v="2024-06-26T00:00:00"/>
    <n v="715"/>
    <n v="50"/>
    <s v="Sports &amp; Outdoors"/>
    <s v="Running Shoes"/>
    <n v="3"/>
    <n v="405.02"/>
    <s v="Credit Card"/>
    <x v="270"/>
    <m/>
    <x v="0"/>
    <n v="52"/>
    <x v="1"/>
    <n v="1215.06"/>
    <n v="364.51799999999997"/>
  </r>
  <r>
    <n v="84308"/>
    <d v="2024-06-26T00:00:00"/>
    <n v="144"/>
    <n v="20"/>
    <s v="Fashion"/>
    <s v="Dress"/>
    <n v="5"/>
    <n v="291.3"/>
    <s v="Credit Card"/>
    <x v="271"/>
    <m/>
    <x v="1"/>
    <n v="68"/>
    <x v="0"/>
    <n v="1456.5"/>
    <n v="436.95"/>
  </r>
  <r>
    <n v="74067"/>
    <d v="2024-06-27T00:00:00"/>
    <n v="773"/>
    <n v="40"/>
    <s v="Books &amp; Stationery"/>
    <s v="Notebook"/>
    <n v="3"/>
    <n v="494.87"/>
    <s v="Cash on Delivery"/>
    <x v="272"/>
    <n v="5"/>
    <x v="0"/>
    <n v="37"/>
    <x v="2"/>
    <n v="1484.6100000000001"/>
    <n v="445.38300000000004"/>
  </r>
  <r>
    <n v="84736"/>
    <d v="2024-06-27T00:00:00"/>
    <n v="624"/>
    <n v="30"/>
    <s v="Home &amp; Living"/>
    <s v="Painting"/>
    <n v="1"/>
    <n v="218.74"/>
    <s v="Credit Card"/>
    <x v="273"/>
    <m/>
    <x v="1"/>
    <n v="68"/>
    <x v="0"/>
    <n v="218.74"/>
    <n v="65.622"/>
  </r>
  <r>
    <n v="43869"/>
    <d v="2024-06-27T00:00:00"/>
    <n v="306"/>
    <n v="30"/>
    <s v="Home &amp; Living"/>
    <s v="Pillow"/>
    <n v="2"/>
    <n v="55.63"/>
    <s v="Bank Transfer"/>
    <x v="274"/>
    <n v="3"/>
    <x v="1"/>
    <n v="69"/>
    <x v="0"/>
    <n v="111.26"/>
    <n v="33.378"/>
  </r>
  <r>
    <n v="95795"/>
    <d v="2024-06-28T00:00:00"/>
    <n v="955"/>
    <n v="10"/>
    <s v="Electronics"/>
    <s v="Smartwatch"/>
    <n v="4"/>
    <n v="205.6"/>
    <s v="Credit Card"/>
    <x v="275"/>
    <n v="3"/>
    <x v="0"/>
    <n v="22"/>
    <x v="3"/>
    <n v="822.4"/>
    <n v="246.71999999999997"/>
  </r>
  <r>
    <n v="76140"/>
    <d v="2024-06-29T00:00:00"/>
    <n v="673"/>
    <n v="50"/>
    <s v="Sports &amp; Outdoors"/>
    <s v="Basketball"/>
    <n v="2"/>
    <n v="293.67"/>
    <s v="Credit Card"/>
    <x v="276"/>
    <n v="5"/>
    <x v="0"/>
    <n v="65"/>
    <x v="0"/>
    <n v="587.34"/>
    <n v="176.202"/>
  </r>
  <r>
    <n v="99624"/>
    <d v="2024-06-29T00:00:00"/>
    <n v="624"/>
    <n v="20"/>
    <s v="Fashion"/>
    <s v="Dress"/>
    <n v="4"/>
    <n v="120.07"/>
    <s v="Credit Card"/>
    <x v="277"/>
    <m/>
    <x v="0"/>
    <n v="20"/>
    <x v="3"/>
    <n v="480.28"/>
    <n v="144.08399999999997"/>
  </r>
  <r>
    <n v="92572"/>
    <d v="2024-06-29T00:00:00"/>
    <n v="634"/>
    <n v="40"/>
    <s v="Books &amp; Stationery"/>
    <s v="Eraser"/>
    <n v="4"/>
    <n v="286.55"/>
    <s v="Credit Card"/>
    <x v="278"/>
    <m/>
    <x v="0"/>
    <n v="60"/>
    <x v="1"/>
    <n v="1146.2"/>
    <n v="343.86"/>
  </r>
  <r>
    <n v="77455"/>
    <d v="2024-06-29T00:00:00"/>
    <n v="845"/>
    <n v="50"/>
    <s v="Sports &amp; Outdoors"/>
    <s v="Basketball"/>
    <n v="3"/>
    <n v="297.33"/>
    <s v="Credit Card"/>
    <x v="20"/>
    <n v="3"/>
    <x v="0"/>
    <n v="64"/>
    <x v="0"/>
    <n v="891.99"/>
    <n v="267.59699999999998"/>
  </r>
  <r>
    <n v="19405"/>
    <d v="2024-06-29T00:00:00"/>
    <n v="433"/>
    <n v="10"/>
    <s v="Electronics"/>
    <s v="Headphones"/>
    <n v="4"/>
    <n v="48.94"/>
    <s v="Bank Transfer"/>
    <x v="279"/>
    <m/>
    <x v="1"/>
    <n v="23"/>
    <x v="3"/>
    <n v="195.76"/>
    <n v="58.727999999999994"/>
  </r>
  <r>
    <n v="93547"/>
    <d v="2024-06-29T00:00:00"/>
    <n v="663"/>
    <n v="40"/>
    <s v="Books &amp; Stationery"/>
    <s v="Notebook"/>
    <n v="3"/>
    <n v="100.15"/>
    <s v="Bank Transfer"/>
    <x v="280"/>
    <n v="4"/>
    <x v="0"/>
    <n v="65"/>
    <x v="0"/>
    <n v="300.45000000000005"/>
    <n v="90.135000000000005"/>
  </r>
  <r>
    <n v="54318"/>
    <d v="2024-06-29T00:00:00"/>
    <n v="142"/>
    <n v="10"/>
    <s v="Electronics"/>
    <s v="Headphones"/>
    <n v="2"/>
    <n v="491.97"/>
    <s v="Cash on Delivery"/>
    <x v="281"/>
    <n v="4"/>
    <x v="0"/>
    <n v="18"/>
    <x v="3"/>
    <n v="983.94"/>
    <n v="295.18200000000002"/>
  </r>
  <r>
    <n v="32747"/>
    <d v="2024-06-30T00:00:00"/>
    <n v="322"/>
    <n v="50"/>
    <s v="Sports &amp; Outdoors"/>
    <s v="Basketball"/>
    <n v="1"/>
    <n v="24"/>
    <s v="Cash on Delivery"/>
    <x v="282"/>
    <n v="3"/>
    <x v="2"/>
    <n v="71"/>
    <x v="0"/>
    <n v="24"/>
    <n v="7.1999999999999993"/>
  </r>
  <r>
    <n v="71248"/>
    <d v="2024-07-01T00:00:00"/>
    <n v="289"/>
    <n v="10"/>
    <s v="Electronics"/>
    <s v="Smartphone"/>
    <n v="5"/>
    <n v="207.28"/>
    <s v="Bank Transfer"/>
    <x v="283"/>
    <n v="5"/>
    <x v="0"/>
    <n v="42"/>
    <x v="2"/>
    <n v="1036.4000000000001"/>
    <n v="310.92"/>
  </r>
  <r>
    <n v="64578"/>
    <d v="2024-07-01T00:00:00"/>
    <n v="650"/>
    <n v="10"/>
    <s v="Electronics"/>
    <s v="Smartwatch"/>
    <n v="1"/>
    <n v="35.520000000000003"/>
    <s v="Bank Transfer"/>
    <x v="284"/>
    <n v="1"/>
    <x v="0"/>
    <n v="54"/>
    <x v="1"/>
    <n v="35.520000000000003"/>
    <n v="10.656000000000001"/>
  </r>
  <r>
    <n v="30464"/>
    <d v="2024-07-01T00:00:00"/>
    <n v="563"/>
    <n v="20"/>
    <s v="Fashion"/>
    <s v="Skirt"/>
    <n v="2"/>
    <n v="483.96"/>
    <s v="Cash on Delivery"/>
    <x v="285"/>
    <n v="3"/>
    <x v="1"/>
    <n v="25"/>
    <x v="3"/>
    <n v="967.92"/>
    <n v="290.37599999999998"/>
  </r>
  <r>
    <n v="58789"/>
    <d v="2024-07-01T00:00:00"/>
    <n v="318"/>
    <n v="40"/>
    <s v="Books &amp; Stationery"/>
    <s v="Pen"/>
    <n v="4"/>
    <n v="49.32"/>
    <s v="Cash on Delivery"/>
    <x v="286"/>
    <n v="5"/>
    <x v="0"/>
    <n v="72"/>
    <x v="0"/>
    <n v="197.28"/>
    <n v="59.183999999999997"/>
  </r>
  <r>
    <n v="24487"/>
    <d v="2024-07-01T00:00:00"/>
    <n v="468"/>
    <n v="40"/>
    <s v="Books &amp; Stationery"/>
    <s v="Story Book"/>
    <n v="1"/>
    <n v="372.43"/>
    <s v="Bank Transfer"/>
    <x v="287"/>
    <n v="3"/>
    <x v="0"/>
    <n v="38"/>
    <x v="2"/>
    <n v="372.43"/>
    <n v="111.729"/>
  </r>
  <r>
    <n v="96065"/>
    <d v="2024-07-01T00:00:00"/>
    <n v="297"/>
    <n v="10"/>
    <s v="Electronics"/>
    <s v="Headphones"/>
    <n v="2"/>
    <n v="389.81"/>
    <s v="Bank Transfer"/>
    <x v="288"/>
    <n v="4"/>
    <x v="1"/>
    <n v="62"/>
    <x v="0"/>
    <n v="779.62"/>
    <n v="233.886"/>
  </r>
  <r>
    <n v="41492"/>
    <d v="2024-07-02T00:00:00"/>
    <n v="631"/>
    <n v="50"/>
    <s v="Sports &amp; Outdoors"/>
    <s v="Yoga Mat"/>
    <n v="2"/>
    <n v="402.56"/>
    <s v="Cash on Delivery"/>
    <x v="289"/>
    <n v="4"/>
    <x v="0"/>
    <n v="74"/>
    <x v="0"/>
    <n v="805.12"/>
    <n v="241.536"/>
  </r>
  <r>
    <n v="75860"/>
    <d v="2024-07-02T00:00:00"/>
    <n v="370"/>
    <n v="50"/>
    <s v="Sports &amp; Outdoors"/>
    <s v="Tent"/>
    <n v="3"/>
    <n v="51.53"/>
    <s v="Credit Card"/>
    <x v="290"/>
    <n v="3"/>
    <x v="0"/>
    <n v="63"/>
    <x v="0"/>
    <n v="154.59"/>
    <n v="46.377000000000002"/>
  </r>
  <r>
    <n v="12544"/>
    <d v="2024-07-02T00:00:00"/>
    <n v="958"/>
    <n v="10"/>
    <s v="Electronics"/>
    <s v="Laptop"/>
    <n v="3"/>
    <n v="153.12"/>
    <s v="Bank Transfer"/>
    <x v="291"/>
    <n v="1"/>
    <x v="0"/>
    <n v="28"/>
    <x v="3"/>
    <n v="459.36"/>
    <n v="137.80799999999999"/>
  </r>
  <r>
    <n v="58911"/>
    <d v="2024-07-03T00:00:00"/>
    <n v="489"/>
    <n v="50"/>
    <s v="Sports &amp; Outdoors"/>
    <s v="Running Shoes"/>
    <n v="1"/>
    <n v="236.22"/>
    <s v="Bank Transfer"/>
    <x v="292"/>
    <n v="5"/>
    <x v="1"/>
    <n v="72"/>
    <x v="0"/>
    <n v="236.22"/>
    <n v="70.866"/>
  </r>
  <r>
    <n v="49232"/>
    <d v="2024-07-03T00:00:00"/>
    <n v="172"/>
    <n v="30"/>
    <s v="Home &amp; Living"/>
    <s v="Carpet"/>
    <n v="1"/>
    <n v="415.86"/>
    <s v="Cash on Delivery"/>
    <x v="293"/>
    <n v="4"/>
    <x v="1"/>
    <n v="53"/>
    <x v="1"/>
    <n v="415.86"/>
    <n v="124.758"/>
  </r>
  <r>
    <n v="46781"/>
    <d v="2024-07-03T00:00:00"/>
    <n v="543"/>
    <n v="40"/>
    <s v="Books &amp; Stationery"/>
    <s v="Pen"/>
    <n v="1"/>
    <n v="282.92"/>
    <s v="Cash on Delivery"/>
    <x v="294"/>
    <n v="4"/>
    <x v="0"/>
    <n v="32"/>
    <x v="2"/>
    <n v="282.92"/>
    <n v="84.876000000000005"/>
  </r>
  <r>
    <n v="40110"/>
    <d v="2024-07-03T00:00:00"/>
    <n v="325"/>
    <n v="50"/>
    <s v="Sports &amp; Outdoors"/>
    <s v="Running Shoes"/>
    <n v="5"/>
    <n v="309.54000000000002"/>
    <s v="Cash on Delivery"/>
    <x v="295"/>
    <m/>
    <x v="0"/>
    <n v="27"/>
    <x v="3"/>
    <n v="1547.7"/>
    <n v="464.31"/>
  </r>
  <r>
    <n v="76057"/>
    <d v="2024-07-03T00:00:00"/>
    <n v="560"/>
    <n v="10"/>
    <s v="Electronics"/>
    <s v="Tablet"/>
    <n v="4"/>
    <n v="423.45"/>
    <s v="Bank Transfer"/>
    <x v="296"/>
    <n v="5"/>
    <x v="1"/>
    <n v="52"/>
    <x v="1"/>
    <n v="1693.8"/>
    <n v="508.14"/>
  </r>
  <r>
    <n v="56431"/>
    <d v="2024-07-03T00:00:00"/>
    <n v="600"/>
    <n v="20"/>
    <s v="Fashion"/>
    <s v="Pants"/>
    <n v="3"/>
    <n v="150.41999999999999"/>
    <s v="Cash on Delivery"/>
    <x v="297"/>
    <n v="3"/>
    <x v="0"/>
    <n v="42"/>
    <x v="2"/>
    <n v="451.26"/>
    <n v="135.37799999999999"/>
  </r>
  <r>
    <n v="85352"/>
    <d v="2024-07-04T00:00:00"/>
    <n v="755"/>
    <n v="20"/>
    <s v="Fashion"/>
    <s v="T-shirt"/>
    <n v="5"/>
    <n v="149.06"/>
    <s v="Cash on Delivery"/>
    <x v="298"/>
    <n v="5"/>
    <x v="0"/>
    <n v="38"/>
    <x v="2"/>
    <n v="745.3"/>
    <n v="223.58999999999997"/>
  </r>
  <r>
    <n v="66782"/>
    <d v="2024-07-04T00:00:00"/>
    <n v="865"/>
    <n v="20"/>
    <s v="Fashion"/>
    <s v="Dress"/>
    <n v="2"/>
    <n v="62.97"/>
    <s v="Credit Card"/>
    <x v="299"/>
    <n v="5"/>
    <x v="1"/>
    <n v="48"/>
    <x v="1"/>
    <n v="125.94"/>
    <n v="37.781999999999996"/>
  </r>
  <r>
    <n v="34740"/>
    <d v="2024-07-04T00:00:00"/>
    <n v="111"/>
    <n v="50"/>
    <s v="Sports &amp; Outdoors"/>
    <s v="Running Shoes"/>
    <n v="3"/>
    <n v="163.74"/>
    <s v="Credit Card"/>
    <x v="300"/>
    <n v="4"/>
    <x v="1"/>
    <n v="44"/>
    <x v="2"/>
    <n v="491.22"/>
    <n v="147.36600000000001"/>
  </r>
  <r>
    <n v="18651"/>
    <d v="2024-07-04T00:00:00"/>
    <n v="121"/>
    <n v="40"/>
    <s v="Books &amp; Stationery"/>
    <s v="Story Book"/>
    <n v="5"/>
    <n v="412.7"/>
    <s v="Cash on Delivery"/>
    <x v="301"/>
    <n v="5"/>
    <x v="0"/>
    <n v="29"/>
    <x v="3"/>
    <n v="2063.5"/>
    <n v="619.04999999999995"/>
  </r>
  <r>
    <n v="72236"/>
    <d v="2024-07-05T00:00:00"/>
    <n v="959"/>
    <n v="10"/>
    <s v="Electronics"/>
    <s v="Smartphone"/>
    <n v="5"/>
    <n v="110.17"/>
    <s v="Credit Card"/>
    <x v="302"/>
    <n v="5"/>
    <x v="1"/>
    <n v="47"/>
    <x v="1"/>
    <n v="550.85"/>
    <n v="165.255"/>
  </r>
  <r>
    <n v="80435"/>
    <d v="2024-07-05T00:00:00"/>
    <n v="681"/>
    <n v="40"/>
    <s v="Books &amp; Stationery"/>
    <s v="Notebook"/>
    <n v="1"/>
    <n v="232.24"/>
    <s v="Cash on Delivery"/>
    <x v="303"/>
    <m/>
    <x v="0"/>
    <n v="41"/>
    <x v="2"/>
    <n v="232.24"/>
    <n v="69.671999999999997"/>
  </r>
  <r>
    <n v="45435"/>
    <d v="2024-07-06T00:00:00"/>
    <n v="349"/>
    <n v="40"/>
    <s v="Books &amp; Stationery"/>
    <s v="Story Book"/>
    <n v="3"/>
    <n v="421.85"/>
    <s v="Credit Card"/>
    <x v="304"/>
    <n v="5"/>
    <x v="1"/>
    <n v="25"/>
    <x v="3"/>
    <n v="1265.5500000000002"/>
    <n v="379.66500000000002"/>
  </r>
  <r>
    <n v="89715"/>
    <d v="2024-07-06T00:00:00"/>
    <n v="941"/>
    <n v="10"/>
    <s v="Electronics"/>
    <s v="Headphones"/>
    <n v="1"/>
    <n v="213.83"/>
    <s v="Credit Card"/>
    <x v="305"/>
    <m/>
    <x v="2"/>
    <n v="28"/>
    <x v="3"/>
    <n v="213.83"/>
    <n v="64.149000000000001"/>
  </r>
  <r>
    <n v="43139"/>
    <d v="2024-07-06T00:00:00"/>
    <n v="669"/>
    <n v="10"/>
    <s v="Electronics"/>
    <s v="Smartphone"/>
    <n v="5"/>
    <n v="12.46"/>
    <s v="Cash on Delivery"/>
    <x v="306"/>
    <n v="3"/>
    <x v="1"/>
    <n v="67"/>
    <x v="0"/>
    <n v="62.300000000000004"/>
    <n v="18.690000000000001"/>
  </r>
  <r>
    <n v="24744"/>
    <d v="2024-07-08T00:00:00"/>
    <n v="818"/>
    <n v="10"/>
    <s v="Electronics"/>
    <s v="Smartphone"/>
    <n v="5"/>
    <n v="200.44"/>
    <s v="Bank Transfer"/>
    <x v="307"/>
    <n v="5"/>
    <x v="2"/>
    <n v="34"/>
    <x v="2"/>
    <n v="1002.2"/>
    <n v="300.66000000000003"/>
  </r>
  <r>
    <n v="30197"/>
    <d v="2024-07-09T00:00:00"/>
    <n v="386"/>
    <n v="40"/>
    <s v="Books &amp; Stationery"/>
    <s v="Notebook"/>
    <n v="1"/>
    <n v="305.82"/>
    <s v="Credit Card"/>
    <x v="308"/>
    <m/>
    <x v="2"/>
    <n v="39"/>
    <x v="2"/>
    <n v="305.82"/>
    <n v="91.745999999999995"/>
  </r>
  <r>
    <n v="98794"/>
    <d v="2024-07-09T00:00:00"/>
    <n v="993"/>
    <n v="50"/>
    <s v="Sports &amp; Outdoors"/>
    <s v="Soccer Ball"/>
    <n v="2"/>
    <n v="32.200000000000003"/>
    <s v="Credit Card"/>
    <x v="309"/>
    <n v="5"/>
    <x v="1"/>
    <n v="57"/>
    <x v="1"/>
    <n v="64.400000000000006"/>
    <n v="19.32"/>
  </r>
  <r>
    <n v="20853"/>
    <d v="2024-07-10T00:00:00"/>
    <n v="499"/>
    <n v="30"/>
    <s v="Home &amp; Living"/>
    <s v="Carpet"/>
    <n v="3"/>
    <n v="227.39"/>
    <s v="Credit Card"/>
    <x v="310"/>
    <m/>
    <x v="2"/>
    <n v="39"/>
    <x v="2"/>
    <n v="682.17"/>
    <n v="204.65099999999998"/>
  </r>
  <r>
    <n v="93130"/>
    <d v="2024-07-11T00:00:00"/>
    <n v="233"/>
    <n v="40"/>
    <s v="Books &amp; Stationery"/>
    <s v="Eraser"/>
    <n v="2"/>
    <n v="354.85"/>
    <s v="Credit Card"/>
    <x v="311"/>
    <n v="5"/>
    <x v="0"/>
    <n v="38"/>
    <x v="2"/>
    <n v="709.7"/>
    <n v="212.91"/>
  </r>
  <r>
    <n v="53754"/>
    <d v="2024-07-11T00:00:00"/>
    <n v="190"/>
    <n v="50"/>
    <s v="Sports &amp; Outdoors"/>
    <s v="Tent"/>
    <n v="1"/>
    <n v="92.5"/>
    <s v="Cash on Delivery"/>
    <x v="312"/>
    <n v="2"/>
    <x v="1"/>
    <n v="73"/>
    <x v="0"/>
    <n v="92.5"/>
    <n v="27.75"/>
  </r>
  <r>
    <n v="92276"/>
    <d v="2024-07-11T00:00:00"/>
    <n v="555"/>
    <n v="50"/>
    <s v="Sports &amp; Outdoors"/>
    <s v="Tent"/>
    <n v="4"/>
    <n v="311.86"/>
    <s v="Bank Transfer"/>
    <x v="313"/>
    <m/>
    <x v="0"/>
    <n v="63"/>
    <x v="0"/>
    <n v="1247.44"/>
    <n v="374.23200000000003"/>
  </r>
  <r>
    <n v="78620"/>
    <d v="2024-07-11T00:00:00"/>
    <n v="909"/>
    <n v="10"/>
    <s v="Electronics"/>
    <s v="Smartphone"/>
    <n v="1"/>
    <n v="89.38"/>
    <s v="Credit Card"/>
    <x v="314"/>
    <n v="3"/>
    <x v="1"/>
    <n v="47"/>
    <x v="1"/>
    <n v="89.38"/>
    <n v="26.813999999999997"/>
  </r>
  <r>
    <n v="41014"/>
    <d v="2024-07-11T00:00:00"/>
    <n v="569"/>
    <n v="40"/>
    <s v="Books &amp; Stationery"/>
    <s v="Pen"/>
    <n v="1"/>
    <n v="390.35"/>
    <s v="Cash on Delivery"/>
    <x v="315"/>
    <n v="5"/>
    <x v="0"/>
    <n v="34"/>
    <x v="2"/>
    <n v="390.35"/>
    <n v="117.105"/>
  </r>
  <r>
    <n v="37821"/>
    <d v="2024-07-12T00:00:00"/>
    <n v="855"/>
    <n v="50"/>
    <s v="Sports &amp; Outdoors"/>
    <s v="Yoga Mat"/>
    <n v="2"/>
    <n v="341.18"/>
    <s v="Cash on Delivery"/>
    <x v="316"/>
    <n v="5"/>
    <x v="1"/>
    <n v="37"/>
    <x v="2"/>
    <n v="682.36"/>
    <n v="204.708"/>
  </r>
  <r>
    <n v="83914"/>
    <d v="2024-07-12T00:00:00"/>
    <n v="738"/>
    <n v="40"/>
    <s v="Books &amp; Stationery"/>
    <s v="Eraser"/>
    <n v="2"/>
    <n v="59.51"/>
    <s v="Bank Transfer"/>
    <x v="317"/>
    <n v="3"/>
    <x v="2"/>
    <n v="25"/>
    <x v="3"/>
    <n v="119.02"/>
    <n v="35.705999999999996"/>
  </r>
  <r>
    <n v="51714"/>
    <d v="2024-07-12T00:00:00"/>
    <n v="479"/>
    <n v="40"/>
    <s v="Books &amp; Stationery"/>
    <s v="Story Book"/>
    <n v="3"/>
    <n v="453.2"/>
    <s v="Cash on Delivery"/>
    <x v="318"/>
    <n v="5"/>
    <x v="0"/>
    <n v="27"/>
    <x v="3"/>
    <n v="1359.6"/>
    <n v="407.87999999999994"/>
  </r>
  <r>
    <n v="44902"/>
    <d v="2024-07-12T00:00:00"/>
    <n v="801"/>
    <n v="40"/>
    <s v="Books &amp; Stationery"/>
    <s v="Story Book"/>
    <n v="4"/>
    <n v="474.25"/>
    <s v="Credit Card"/>
    <x v="319"/>
    <n v="5"/>
    <x v="1"/>
    <n v="34"/>
    <x v="2"/>
    <n v="1897"/>
    <n v="569.1"/>
  </r>
  <r>
    <n v="95354"/>
    <d v="2024-07-13T00:00:00"/>
    <n v="394"/>
    <n v="50"/>
    <s v="Sports &amp; Outdoors"/>
    <s v="Running Shoes"/>
    <n v="2"/>
    <n v="343.76"/>
    <s v="Cash on Delivery"/>
    <x v="320"/>
    <n v="5"/>
    <x v="2"/>
    <n v="30"/>
    <x v="3"/>
    <n v="687.52"/>
    <n v="206.256"/>
  </r>
  <r>
    <n v="56955"/>
    <d v="2024-07-14T00:00:00"/>
    <n v="922"/>
    <n v="20"/>
    <s v="Fashion"/>
    <s v="T-shirt"/>
    <n v="1"/>
    <n v="183.3"/>
    <s v="Cash on Delivery"/>
    <x v="321"/>
    <n v="5"/>
    <x v="0"/>
    <n v="24"/>
    <x v="3"/>
    <n v="183.3"/>
    <n v="54.99"/>
  </r>
  <r>
    <n v="38806"/>
    <d v="2024-07-14T00:00:00"/>
    <n v="665"/>
    <n v="30"/>
    <s v="Home &amp; Living"/>
    <s v="Painting"/>
    <n v="3"/>
    <n v="149.85"/>
    <s v="Credit Card"/>
    <x v="322"/>
    <n v="5"/>
    <x v="0"/>
    <n v="62"/>
    <x v="0"/>
    <n v="449.54999999999995"/>
    <n v="134.86499999999998"/>
  </r>
  <r>
    <n v="89114"/>
    <d v="2024-07-14T00:00:00"/>
    <n v="397"/>
    <n v="30"/>
    <s v="Home &amp; Living"/>
    <s v="Painting"/>
    <n v="3"/>
    <n v="251.63"/>
    <s v="Credit Card"/>
    <x v="323"/>
    <m/>
    <x v="0"/>
    <n v="40"/>
    <x v="2"/>
    <n v="754.89"/>
    <n v="226.46699999999998"/>
  </r>
  <r>
    <n v="77848"/>
    <d v="2024-07-14T00:00:00"/>
    <n v="713"/>
    <n v="20"/>
    <s v="Fashion"/>
    <s v="Skirt"/>
    <n v="4"/>
    <n v="88.02"/>
    <s v="Cash on Delivery"/>
    <x v="324"/>
    <n v="5"/>
    <x v="1"/>
    <n v="39"/>
    <x v="2"/>
    <n v="352.08"/>
    <n v="105.624"/>
  </r>
  <r>
    <n v="49262"/>
    <d v="2024-07-14T00:00:00"/>
    <n v="910"/>
    <n v="20"/>
    <s v="Fashion"/>
    <s v="Pants"/>
    <n v="3"/>
    <n v="25.79"/>
    <s v="Credit Card"/>
    <x v="325"/>
    <n v="5"/>
    <x v="2"/>
    <n v="22"/>
    <x v="3"/>
    <n v="77.37"/>
    <n v="23.211000000000002"/>
  </r>
  <r>
    <n v="27282"/>
    <d v="2024-07-15T00:00:00"/>
    <n v="405"/>
    <n v="50"/>
    <s v="Sports &amp; Outdoors"/>
    <s v="Yoga Mat"/>
    <n v="2"/>
    <n v="292.89999999999998"/>
    <s v="Cash on Delivery"/>
    <x v="326"/>
    <m/>
    <x v="1"/>
    <n v="60"/>
    <x v="1"/>
    <n v="585.79999999999995"/>
    <n v="175.73999999999998"/>
  </r>
  <r>
    <n v="85940"/>
    <d v="2024-07-15T00:00:00"/>
    <n v="722"/>
    <n v="40"/>
    <s v="Books &amp; Stationery"/>
    <s v="Pen"/>
    <n v="1"/>
    <n v="247.97"/>
    <s v="Bank Transfer"/>
    <x v="327"/>
    <n v="4"/>
    <x v="0"/>
    <n v="37"/>
    <x v="2"/>
    <n v="247.97"/>
    <n v="74.390999999999991"/>
  </r>
  <r>
    <n v="22739"/>
    <d v="2024-07-15T00:00:00"/>
    <n v="196"/>
    <n v="30"/>
    <s v="Home &amp; Living"/>
    <s v="Carpet"/>
    <n v="5"/>
    <n v="217.55"/>
    <s v="Bank Transfer"/>
    <x v="328"/>
    <n v="5"/>
    <x v="2"/>
    <n v="24"/>
    <x v="3"/>
    <n v="1087.75"/>
    <n v="326.32499999999999"/>
  </r>
  <r>
    <n v="32637"/>
    <d v="2024-07-15T00:00:00"/>
    <n v="175"/>
    <n v="20"/>
    <s v="Fashion"/>
    <s v="Shirt"/>
    <n v="3"/>
    <n v="101.45"/>
    <s v="Bank Transfer"/>
    <x v="329"/>
    <n v="3"/>
    <x v="1"/>
    <n v="33"/>
    <x v="2"/>
    <n v="304.35000000000002"/>
    <n v="91.305000000000007"/>
  </r>
  <r>
    <n v="90219"/>
    <d v="2024-07-15T00:00:00"/>
    <n v="430"/>
    <n v="40"/>
    <s v="Books &amp; Stationery"/>
    <s v="Eraser"/>
    <n v="1"/>
    <n v="405.65"/>
    <s v="Cash on Delivery"/>
    <x v="330"/>
    <n v="5"/>
    <x v="0"/>
    <n v="58"/>
    <x v="1"/>
    <n v="405.65"/>
    <n v="121.69499999999999"/>
  </r>
  <r>
    <n v="79723"/>
    <d v="2024-07-16T00:00:00"/>
    <n v="568"/>
    <n v="10"/>
    <s v="Electronics"/>
    <s v="Smartwatch"/>
    <n v="1"/>
    <n v="393.9"/>
    <s v="Bank Transfer"/>
    <x v="331"/>
    <n v="5"/>
    <x v="0"/>
    <n v="44"/>
    <x v="2"/>
    <n v="393.9"/>
    <n v="118.16999999999999"/>
  </r>
  <r>
    <n v="21109"/>
    <d v="2024-07-17T00:00:00"/>
    <n v="719"/>
    <n v="50"/>
    <s v="Sports &amp; Outdoors"/>
    <s v="Yoga Mat"/>
    <n v="3"/>
    <n v="39.67"/>
    <s v="Bank Transfer"/>
    <x v="332"/>
    <m/>
    <x v="0"/>
    <n v="37"/>
    <x v="2"/>
    <n v="119.01"/>
    <n v="35.703000000000003"/>
  </r>
  <r>
    <n v="89639"/>
    <d v="2024-07-17T00:00:00"/>
    <n v="124"/>
    <n v="10"/>
    <s v="Electronics"/>
    <s v="Tablet"/>
    <n v="4"/>
    <n v="36.1"/>
    <s v="Cash on Delivery"/>
    <x v="333"/>
    <n v="3"/>
    <x v="0"/>
    <n v="25"/>
    <x v="3"/>
    <n v="144.4"/>
    <n v="43.32"/>
  </r>
  <r>
    <n v="58295"/>
    <d v="2024-07-17T00:00:00"/>
    <n v="187"/>
    <n v="20"/>
    <s v="Fashion"/>
    <s v="T-shirt"/>
    <n v="3"/>
    <n v="248.91"/>
    <s v="Cash on Delivery"/>
    <x v="334"/>
    <n v="5"/>
    <x v="0"/>
    <n v="39"/>
    <x v="2"/>
    <n v="746.73"/>
    <n v="224.01900000000001"/>
  </r>
  <r>
    <n v="14109"/>
    <d v="2024-07-17T00:00:00"/>
    <n v="149"/>
    <n v="20"/>
    <s v="Fashion"/>
    <s v="T-shirt"/>
    <n v="5"/>
    <n v="179.92"/>
    <s v="Bank Transfer"/>
    <x v="335"/>
    <n v="3"/>
    <x v="0"/>
    <n v="48"/>
    <x v="1"/>
    <n v="899.59999999999991"/>
    <n v="269.87999999999994"/>
  </r>
  <r>
    <n v="47814"/>
    <d v="2024-07-17T00:00:00"/>
    <n v="557"/>
    <n v="20"/>
    <s v="Fashion"/>
    <s v="Shirt"/>
    <n v="1"/>
    <n v="146.28"/>
    <s v="Cash on Delivery"/>
    <x v="336"/>
    <n v="4"/>
    <x v="1"/>
    <n v="39"/>
    <x v="2"/>
    <n v="146.28"/>
    <n v="43.884"/>
  </r>
  <r>
    <n v="81289"/>
    <d v="2024-07-18T00:00:00"/>
    <n v="485"/>
    <n v="40"/>
    <s v="Books &amp; Stationery"/>
    <s v="Novel"/>
    <n v="1"/>
    <n v="489.21"/>
    <s v="Cash on Delivery"/>
    <x v="337"/>
    <n v="5"/>
    <x v="0"/>
    <n v="60"/>
    <x v="1"/>
    <n v="489.21"/>
    <n v="146.76299999999998"/>
  </r>
  <r>
    <n v="53928"/>
    <d v="2024-07-18T00:00:00"/>
    <n v="624"/>
    <n v="10"/>
    <s v="Electronics"/>
    <s v="Laptop"/>
    <n v="5"/>
    <n v="257.73"/>
    <s v="Bank Transfer"/>
    <x v="338"/>
    <n v="5"/>
    <x v="1"/>
    <n v="35"/>
    <x v="2"/>
    <n v="1288.6500000000001"/>
    <n v="386.59500000000003"/>
  </r>
  <r>
    <n v="92507"/>
    <d v="2024-07-19T00:00:00"/>
    <n v="170"/>
    <n v="20"/>
    <s v="Fashion"/>
    <s v="Skirt"/>
    <n v="1"/>
    <n v="394.75"/>
    <s v="Credit Card"/>
    <x v="339"/>
    <m/>
    <x v="0"/>
    <n v="48"/>
    <x v="1"/>
    <n v="394.75"/>
    <n v="118.425"/>
  </r>
  <r>
    <n v="77451"/>
    <d v="2024-07-20T00:00:00"/>
    <n v="509"/>
    <n v="20"/>
    <s v="Fashion"/>
    <s v="Dress"/>
    <n v="3"/>
    <n v="55.58"/>
    <s v="Credit Card"/>
    <x v="340"/>
    <n v="5"/>
    <x v="1"/>
    <n v="71"/>
    <x v="0"/>
    <n v="166.74"/>
    <n v="50.021999999999998"/>
  </r>
  <r>
    <n v="62981"/>
    <d v="2024-07-20T00:00:00"/>
    <n v="200"/>
    <n v="30"/>
    <s v="Home &amp; Living"/>
    <s v="Painting"/>
    <n v="2"/>
    <n v="422.99"/>
    <s v="Cash on Delivery"/>
    <x v="341"/>
    <n v="5"/>
    <x v="2"/>
    <n v="67"/>
    <x v="0"/>
    <n v="845.98"/>
    <n v="253.79399999999998"/>
  </r>
  <r>
    <n v="41063"/>
    <d v="2024-07-21T00:00:00"/>
    <n v="890"/>
    <n v="50"/>
    <s v="Sports &amp; Outdoors"/>
    <s v="Running Shoes"/>
    <n v="5"/>
    <n v="82.41"/>
    <s v="Cash on Delivery"/>
    <x v="342"/>
    <n v="1"/>
    <x v="1"/>
    <n v="27"/>
    <x v="3"/>
    <n v="412.04999999999995"/>
    <n v="123.61499999999998"/>
  </r>
  <r>
    <n v="37275"/>
    <d v="2024-07-22T00:00:00"/>
    <n v="765"/>
    <n v="10"/>
    <s v="Electronics"/>
    <s v="Smartphone"/>
    <n v="1"/>
    <n v="447.13"/>
    <s v="Cash on Delivery"/>
    <x v="343"/>
    <n v="5"/>
    <x v="1"/>
    <n v="57"/>
    <x v="1"/>
    <n v="447.13"/>
    <n v="134.13899999999998"/>
  </r>
  <r>
    <n v="11008"/>
    <d v="2024-07-23T00:00:00"/>
    <n v="981"/>
    <n v="30"/>
    <s v="Home &amp; Living"/>
    <s v="Painting"/>
    <n v="2"/>
    <n v="366.42"/>
    <s v="Cash on Delivery"/>
    <x v="344"/>
    <n v="5"/>
    <x v="0"/>
    <n v="58"/>
    <x v="1"/>
    <n v="732.84"/>
    <n v="219.852"/>
  </r>
  <r>
    <n v="46244"/>
    <d v="2024-07-23T00:00:00"/>
    <n v="263"/>
    <n v="50"/>
    <s v="Sports &amp; Outdoors"/>
    <s v="Basketball"/>
    <n v="5"/>
    <n v="272.22000000000003"/>
    <s v="Cash on Delivery"/>
    <x v="345"/>
    <n v="5"/>
    <x v="0"/>
    <n v="62"/>
    <x v="0"/>
    <n v="1361.1000000000001"/>
    <n v="408.33000000000004"/>
  </r>
  <r>
    <n v="10211"/>
    <d v="2024-07-23T00:00:00"/>
    <n v="964"/>
    <n v="30"/>
    <s v="Home &amp; Living"/>
    <s v="Pillow"/>
    <n v="2"/>
    <n v="32.51"/>
    <s v="Cash on Delivery"/>
    <x v="346"/>
    <n v="5"/>
    <x v="1"/>
    <n v="25"/>
    <x v="3"/>
    <n v="65.02"/>
    <n v="19.505999999999997"/>
  </r>
  <r>
    <n v="73282"/>
    <d v="2024-07-23T00:00:00"/>
    <n v="883"/>
    <n v="50"/>
    <s v="Sports &amp; Outdoors"/>
    <s v="Yoga Mat"/>
    <n v="1"/>
    <n v="423.98"/>
    <s v="Bank Transfer"/>
    <x v="347"/>
    <n v="5"/>
    <x v="0"/>
    <n v="24"/>
    <x v="3"/>
    <n v="423.98"/>
    <n v="127.194"/>
  </r>
  <r>
    <n v="42238"/>
    <d v="2024-07-24T00:00:00"/>
    <n v="756"/>
    <n v="10"/>
    <s v="Electronics"/>
    <s v="Smartphone"/>
    <n v="4"/>
    <n v="338.88"/>
    <s v="Bank Transfer"/>
    <x v="348"/>
    <n v="3"/>
    <x v="1"/>
    <n v="55"/>
    <x v="1"/>
    <n v="1355.52"/>
    <n v="406.65600000000001"/>
  </r>
  <r>
    <n v="29305"/>
    <d v="2024-07-24T00:00:00"/>
    <n v="596"/>
    <n v="30"/>
    <s v="Home &amp; Living"/>
    <s v="Pillow"/>
    <n v="3"/>
    <n v="199.31"/>
    <s v="Bank Transfer"/>
    <x v="349"/>
    <n v="5"/>
    <x v="0"/>
    <n v="23"/>
    <x v="3"/>
    <n v="597.93000000000006"/>
    <n v="179.37900000000002"/>
  </r>
  <r>
    <n v="97390"/>
    <d v="2024-07-24T00:00:00"/>
    <n v="512"/>
    <n v="10"/>
    <s v="Electronics"/>
    <s v="Headphones"/>
    <n v="3"/>
    <n v="312.87"/>
    <s v="Credit Card"/>
    <x v="350"/>
    <n v="5"/>
    <x v="1"/>
    <n v="71"/>
    <x v="0"/>
    <n v="938.61"/>
    <n v="281.58299999999997"/>
  </r>
  <r>
    <n v="57158"/>
    <d v="2024-07-25T00:00:00"/>
    <n v="294"/>
    <n v="30"/>
    <s v="Home &amp; Living"/>
    <s v="Pillow"/>
    <n v="4"/>
    <n v="11.74"/>
    <s v="Credit Card"/>
    <x v="351"/>
    <n v="5"/>
    <x v="0"/>
    <n v="59"/>
    <x v="1"/>
    <n v="46.96"/>
    <n v="14.087999999999999"/>
  </r>
  <r>
    <n v="72081"/>
    <d v="2024-07-25T00:00:00"/>
    <n v="563"/>
    <n v="40"/>
    <s v="Books &amp; Stationery"/>
    <s v="Pen"/>
    <n v="3"/>
    <n v="471.32"/>
    <s v="Credit Card"/>
    <x v="352"/>
    <m/>
    <x v="1"/>
    <n v="63"/>
    <x v="0"/>
    <n v="1413.96"/>
    <n v="424.18799999999999"/>
  </r>
  <r>
    <n v="79954"/>
    <d v="2024-07-25T00:00:00"/>
    <n v="295"/>
    <n v="20"/>
    <s v="Fashion"/>
    <s v="T-shirt"/>
    <n v="5"/>
    <n v="115.58"/>
    <s v="Bank Transfer"/>
    <x v="353"/>
    <n v="4"/>
    <x v="1"/>
    <n v="31"/>
    <x v="2"/>
    <n v="577.9"/>
    <n v="173.36999999999998"/>
  </r>
  <r>
    <n v="31245"/>
    <d v="2024-07-25T00:00:00"/>
    <n v="209"/>
    <n v="20"/>
    <s v="Fashion"/>
    <s v="Shirt"/>
    <n v="1"/>
    <n v="96.75"/>
    <s v="Cash on Delivery"/>
    <x v="354"/>
    <n v="4"/>
    <x v="1"/>
    <n v="39"/>
    <x v="2"/>
    <n v="96.75"/>
    <n v="29.024999999999999"/>
  </r>
  <r>
    <n v="39305"/>
    <d v="2024-07-25T00:00:00"/>
    <n v="846"/>
    <n v="50"/>
    <s v="Sports &amp; Outdoors"/>
    <s v="Soccer Ball"/>
    <n v="4"/>
    <n v="134.12"/>
    <s v="Cash on Delivery"/>
    <x v="355"/>
    <n v="2"/>
    <x v="0"/>
    <n v="32"/>
    <x v="2"/>
    <n v="536.48"/>
    <n v="160.94399999999999"/>
  </r>
  <r>
    <n v="52278"/>
    <d v="2024-07-25T00:00:00"/>
    <n v="749"/>
    <n v="10"/>
    <s v="Electronics"/>
    <s v="Laptop"/>
    <n v="3"/>
    <n v="461.91"/>
    <s v="Bank Transfer"/>
    <x v="356"/>
    <n v="3"/>
    <x v="0"/>
    <n v="21"/>
    <x v="3"/>
    <n v="1385.73"/>
    <n v="415.71899999999999"/>
  </r>
  <r>
    <n v="80441"/>
    <d v="2024-07-26T00:00:00"/>
    <n v="867"/>
    <n v="30"/>
    <s v="Home &amp; Living"/>
    <s v="Carpet"/>
    <n v="2"/>
    <n v="308.39999999999998"/>
    <s v="Credit Card"/>
    <x v="357"/>
    <n v="3"/>
    <x v="0"/>
    <n v="52"/>
    <x v="1"/>
    <n v="616.79999999999995"/>
    <n v="185.04"/>
  </r>
  <r>
    <n v="97433"/>
    <d v="2024-07-26T00:00:00"/>
    <n v="677"/>
    <n v="10"/>
    <s v="Electronics"/>
    <s v="Smartphone"/>
    <n v="4"/>
    <n v="418.88"/>
    <s v="Credit Card"/>
    <x v="358"/>
    <n v="5"/>
    <x v="2"/>
    <n v="59"/>
    <x v="1"/>
    <n v="1675.52"/>
    <n v="502.65599999999995"/>
  </r>
  <r>
    <n v="90154"/>
    <d v="2024-07-27T00:00:00"/>
    <n v="762"/>
    <n v="50"/>
    <s v="Sports &amp; Outdoors"/>
    <s v="Soccer Ball"/>
    <n v="1"/>
    <n v="388.35"/>
    <s v="Bank Transfer"/>
    <x v="142"/>
    <n v="4"/>
    <x v="1"/>
    <n v="19"/>
    <x v="3"/>
    <n v="388.35"/>
    <n v="116.505"/>
  </r>
  <r>
    <n v="16797"/>
    <d v="2024-07-27T00:00:00"/>
    <n v="333"/>
    <n v="40"/>
    <s v="Books &amp; Stationery"/>
    <s v="Novel"/>
    <n v="1"/>
    <n v="124.08"/>
    <s v="Credit Card"/>
    <x v="359"/>
    <m/>
    <x v="0"/>
    <n v="59"/>
    <x v="1"/>
    <n v="124.08"/>
    <n v="37.223999999999997"/>
  </r>
  <r>
    <n v="66566"/>
    <d v="2024-07-28T00:00:00"/>
    <n v="794"/>
    <n v="30"/>
    <s v="Home &amp; Living"/>
    <s v="Vase"/>
    <n v="5"/>
    <n v="100.1"/>
    <s v="Cash on Delivery"/>
    <x v="360"/>
    <n v="4"/>
    <x v="1"/>
    <n v="19"/>
    <x v="3"/>
    <n v="500.5"/>
    <n v="150.15"/>
  </r>
  <r>
    <n v="87653"/>
    <d v="2024-07-28T00:00:00"/>
    <n v="653"/>
    <n v="10"/>
    <s v="Electronics"/>
    <s v="Headphones"/>
    <n v="2"/>
    <n v="459.77"/>
    <s v="Credit Card"/>
    <x v="361"/>
    <n v="5"/>
    <x v="0"/>
    <n v="28"/>
    <x v="3"/>
    <n v="919.54"/>
    <n v="275.86199999999997"/>
  </r>
  <r>
    <n v="19284"/>
    <d v="2024-07-28T00:00:00"/>
    <n v="944"/>
    <n v="20"/>
    <s v="Fashion"/>
    <s v="T-shirt"/>
    <n v="5"/>
    <n v="162.44999999999999"/>
    <s v="Cash on Delivery"/>
    <x v="362"/>
    <n v="4"/>
    <x v="1"/>
    <n v="52"/>
    <x v="1"/>
    <n v="812.25"/>
    <n v="243.67499999999998"/>
  </r>
  <r>
    <n v="37040"/>
    <d v="2024-07-28T00:00:00"/>
    <n v="628"/>
    <n v="40"/>
    <s v="Books &amp; Stationery"/>
    <s v="Story Book"/>
    <n v="3"/>
    <n v="421.13"/>
    <s v="Cash on Delivery"/>
    <x v="363"/>
    <n v="5"/>
    <x v="1"/>
    <n v="41"/>
    <x v="2"/>
    <n v="1263.3899999999999"/>
    <n v="379.01699999999994"/>
  </r>
  <r>
    <n v="73957"/>
    <d v="2024-07-28T00:00:00"/>
    <n v="834"/>
    <n v="40"/>
    <s v="Books &amp; Stationery"/>
    <s v="Notebook"/>
    <n v="5"/>
    <n v="137.29"/>
    <s v="Bank Transfer"/>
    <x v="364"/>
    <n v="4"/>
    <x v="2"/>
    <n v="24"/>
    <x v="3"/>
    <n v="686.44999999999993"/>
    <n v="205.93499999999997"/>
  </r>
  <r>
    <n v="35014"/>
    <d v="2024-07-28T00:00:00"/>
    <n v="149"/>
    <n v="20"/>
    <s v="Fashion"/>
    <s v="Skirt"/>
    <n v="1"/>
    <n v="54.19"/>
    <s v="Bank Transfer"/>
    <x v="365"/>
    <n v="5"/>
    <x v="2"/>
    <n v="33"/>
    <x v="2"/>
    <n v="54.19"/>
    <n v="16.256999999999998"/>
  </r>
  <r>
    <n v="13011"/>
    <d v="2024-07-29T00:00:00"/>
    <n v="231"/>
    <n v="20"/>
    <s v="Fashion"/>
    <s v="Skirt"/>
    <n v="2"/>
    <n v="276.11"/>
    <s v="Bank Transfer"/>
    <x v="366"/>
    <m/>
    <x v="0"/>
    <n v="69"/>
    <x v="0"/>
    <n v="552.22"/>
    <n v="165.666"/>
  </r>
  <r>
    <n v="65235"/>
    <d v="2024-07-29T00:00:00"/>
    <n v="554"/>
    <n v="40"/>
    <s v="Books &amp; Stationery"/>
    <s v="Eraser"/>
    <n v="1"/>
    <n v="299.39"/>
    <s v="Credit Card"/>
    <x v="367"/>
    <n v="3"/>
    <x v="0"/>
    <n v="19"/>
    <x v="3"/>
    <n v="299.39"/>
    <n v="89.816999999999993"/>
  </r>
  <r>
    <n v="86435"/>
    <d v="2024-07-30T00:00:00"/>
    <n v="988"/>
    <n v="40"/>
    <s v="Books &amp; Stationery"/>
    <s v="Notebook"/>
    <n v="4"/>
    <n v="431.48"/>
    <s v="Bank Transfer"/>
    <x v="368"/>
    <n v="3"/>
    <x v="1"/>
    <n v="48"/>
    <x v="1"/>
    <n v="1725.92"/>
    <n v="517.77599999999995"/>
  </r>
  <r>
    <n v="54645"/>
    <d v="2024-07-30T00:00:00"/>
    <n v="190"/>
    <n v="50"/>
    <s v="Sports &amp; Outdoors"/>
    <s v="Soccer Ball"/>
    <n v="4"/>
    <n v="354.69"/>
    <s v="Bank Transfer"/>
    <x v="369"/>
    <n v="5"/>
    <x v="1"/>
    <n v="75"/>
    <x v="0"/>
    <n v="1418.76"/>
    <n v="425.62799999999999"/>
  </r>
  <r>
    <n v="47601"/>
    <d v="2024-07-31T00:00:00"/>
    <n v="793"/>
    <n v="50"/>
    <s v="Sports &amp; Outdoors"/>
    <s v="Yoga Mat"/>
    <n v="2"/>
    <n v="241.9"/>
    <s v="Cash on Delivery"/>
    <x v="370"/>
    <n v="3"/>
    <x v="2"/>
    <n v="24"/>
    <x v="3"/>
    <n v="483.8"/>
    <n v="145.13999999999999"/>
  </r>
  <r>
    <n v="34368"/>
    <d v="2024-07-31T00:00:00"/>
    <n v="204"/>
    <n v="20"/>
    <s v="Fashion"/>
    <s v="Dress"/>
    <n v="3"/>
    <n v="475.53"/>
    <s v="Bank Transfer"/>
    <x v="371"/>
    <n v="5"/>
    <x v="1"/>
    <n v="69"/>
    <x v="0"/>
    <n v="1426.59"/>
    <n v="427.97699999999998"/>
  </r>
  <r>
    <n v="83983"/>
    <d v="2024-08-01T00:00:00"/>
    <n v="395"/>
    <n v="20"/>
    <s v="Fashion"/>
    <s v="T-shirt"/>
    <n v="5"/>
    <n v="161.05000000000001"/>
    <s v="Credit Card"/>
    <x v="372"/>
    <n v="5"/>
    <x v="0"/>
    <n v="55"/>
    <x v="1"/>
    <n v="805.25"/>
    <n v="241.57499999999999"/>
  </r>
  <r>
    <n v="73069"/>
    <d v="2024-08-01T00:00:00"/>
    <n v="171"/>
    <n v="20"/>
    <s v="Fashion"/>
    <s v="Pants"/>
    <n v="2"/>
    <n v="278.91000000000003"/>
    <s v="Cash on Delivery"/>
    <x v="373"/>
    <n v="5"/>
    <x v="0"/>
    <n v="38"/>
    <x v="2"/>
    <n v="557.82000000000005"/>
    <n v="167.346"/>
  </r>
  <r>
    <n v="37787"/>
    <d v="2024-08-02T00:00:00"/>
    <n v="971"/>
    <n v="10"/>
    <s v="Electronics"/>
    <s v="Tablet"/>
    <n v="3"/>
    <n v="91.52"/>
    <s v="Bank Transfer"/>
    <x v="374"/>
    <n v="5"/>
    <x v="0"/>
    <n v="35"/>
    <x v="2"/>
    <n v="274.56"/>
    <n v="82.367999999999995"/>
  </r>
  <r>
    <n v="59875"/>
    <d v="2024-08-02T00:00:00"/>
    <n v="210"/>
    <n v="40"/>
    <s v="Books &amp; Stationery"/>
    <s v="Novel"/>
    <n v="4"/>
    <n v="334.76"/>
    <s v="Cash on Delivery"/>
    <x v="375"/>
    <n v="5"/>
    <x v="2"/>
    <n v="49"/>
    <x v="1"/>
    <n v="1339.04"/>
    <n v="401.71199999999999"/>
  </r>
  <r>
    <n v="37813"/>
    <d v="2024-08-02T00:00:00"/>
    <n v="792"/>
    <n v="10"/>
    <s v="Electronics"/>
    <s v="Smartphone"/>
    <n v="5"/>
    <n v="221.15"/>
    <s v="Bank Transfer"/>
    <x v="376"/>
    <n v="5"/>
    <x v="1"/>
    <n v="24"/>
    <x v="3"/>
    <n v="1105.75"/>
    <n v="331.72499999999997"/>
  </r>
  <r>
    <n v="13595"/>
    <d v="2024-08-02T00:00:00"/>
    <n v="311"/>
    <n v="40"/>
    <s v="Books &amp; Stationery"/>
    <s v="Notebook"/>
    <n v="1"/>
    <n v="496.5"/>
    <s v="Bank Transfer"/>
    <x v="377"/>
    <n v="4"/>
    <x v="2"/>
    <n v="25"/>
    <x v="3"/>
    <n v="496.5"/>
    <n v="148.94999999999999"/>
  </r>
  <r>
    <n v="81400"/>
    <d v="2024-08-02T00:00:00"/>
    <n v="950"/>
    <n v="10"/>
    <s v="Electronics"/>
    <s v="Tablet"/>
    <n v="4"/>
    <n v="167.11"/>
    <s v="Bank Transfer"/>
    <x v="378"/>
    <n v="5"/>
    <x v="0"/>
    <n v="48"/>
    <x v="1"/>
    <n v="668.44"/>
    <n v="200.53200000000001"/>
  </r>
  <r>
    <n v="78768"/>
    <d v="2024-08-03T00:00:00"/>
    <n v="880"/>
    <n v="10"/>
    <s v="Electronics"/>
    <s v="Smartphone"/>
    <n v="1"/>
    <n v="152.19999999999999"/>
    <s v="Bank Transfer"/>
    <x v="379"/>
    <n v="5"/>
    <x v="0"/>
    <n v="49"/>
    <x v="1"/>
    <n v="152.19999999999999"/>
    <n v="45.66"/>
  </r>
  <r>
    <n v="98074"/>
    <d v="2024-08-03T00:00:00"/>
    <n v="463"/>
    <n v="30"/>
    <s v="Home &amp; Living"/>
    <s v="Vase"/>
    <n v="4"/>
    <n v="494.66"/>
    <s v="Cash on Delivery"/>
    <x v="380"/>
    <n v="4"/>
    <x v="1"/>
    <n v="47"/>
    <x v="1"/>
    <n v="1978.64"/>
    <n v="593.59199999999998"/>
  </r>
  <r>
    <n v="56829"/>
    <d v="2024-08-04T00:00:00"/>
    <n v="839"/>
    <n v="10"/>
    <s v="Electronics"/>
    <s v="Tablet"/>
    <n v="1"/>
    <n v="311.67"/>
    <s v="Bank Transfer"/>
    <x v="381"/>
    <m/>
    <x v="0"/>
    <n v="59"/>
    <x v="1"/>
    <n v="311.67"/>
    <n v="93.501000000000005"/>
  </r>
  <r>
    <n v="51963"/>
    <d v="2024-08-04T00:00:00"/>
    <n v="471"/>
    <n v="40"/>
    <s v="Books &amp; Stationery"/>
    <s v="Eraser"/>
    <n v="3"/>
    <n v="149.61000000000001"/>
    <s v="Cash on Delivery"/>
    <x v="382"/>
    <n v="5"/>
    <x v="0"/>
    <n v="61"/>
    <x v="0"/>
    <n v="448.83000000000004"/>
    <n v="134.649"/>
  </r>
  <r>
    <n v="74288"/>
    <d v="2024-08-04T00:00:00"/>
    <n v="173"/>
    <n v="50"/>
    <s v="Sports &amp; Outdoors"/>
    <s v="Tent"/>
    <n v="2"/>
    <n v="308.43"/>
    <s v="Bank Transfer"/>
    <x v="383"/>
    <n v="5"/>
    <x v="1"/>
    <n v="25"/>
    <x v="3"/>
    <n v="616.86"/>
    <n v="185.05799999999999"/>
  </r>
  <r>
    <n v="47453"/>
    <d v="2024-08-04T00:00:00"/>
    <n v="175"/>
    <n v="30"/>
    <s v="Home &amp; Living"/>
    <s v="Carpet"/>
    <n v="2"/>
    <n v="36.36"/>
    <s v="Cash on Delivery"/>
    <x v="384"/>
    <n v="2"/>
    <x v="1"/>
    <n v="58"/>
    <x v="1"/>
    <n v="72.72"/>
    <n v="21.815999999999999"/>
  </r>
  <r>
    <n v="30037"/>
    <d v="2024-08-05T00:00:00"/>
    <n v="314"/>
    <n v="20"/>
    <s v="Fashion"/>
    <s v="Dress"/>
    <n v="5"/>
    <n v="337.8"/>
    <s v="Credit Card"/>
    <x v="385"/>
    <n v="4"/>
    <x v="1"/>
    <n v="28"/>
    <x v="3"/>
    <n v="1689"/>
    <n v="506.7"/>
  </r>
  <r>
    <n v="25536"/>
    <d v="2024-08-07T00:00:00"/>
    <n v="482"/>
    <n v="10"/>
    <s v="Electronics"/>
    <s v="Tablet"/>
    <n v="3"/>
    <n v="344.77"/>
    <s v="Credit Card"/>
    <x v="386"/>
    <n v="3"/>
    <x v="2"/>
    <n v="43"/>
    <x v="2"/>
    <n v="1034.31"/>
    <n v="310.29299999999995"/>
  </r>
  <r>
    <n v="58848"/>
    <d v="2024-08-08T00:00:00"/>
    <n v="876"/>
    <n v="30"/>
    <s v="Home &amp; Living"/>
    <s v="Blanket"/>
    <n v="2"/>
    <n v="97.08"/>
    <s v="Credit Card"/>
    <x v="387"/>
    <n v="5"/>
    <x v="2"/>
    <n v="36"/>
    <x v="2"/>
    <n v="194.16"/>
    <n v="58.247999999999998"/>
  </r>
  <r>
    <n v="63313"/>
    <d v="2024-08-09T00:00:00"/>
    <n v="182"/>
    <n v="50"/>
    <s v="Sports &amp; Outdoors"/>
    <s v="Tent"/>
    <n v="5"/>
    <n v="266.16000000000003"/>
    <s v="Bank Transfer"/>
    <x v="388"/>
    <n v="1"/>
    <x v="1"/>
    <n v="59"/>
    <x v="1"/>
    <n v="1330.8000000000002"/>
    <n v="399.24000000000007"/>
  </r>
  <r>
    <n v="53269"/>
    <d v="2024-08-09T00:00:00"/>
    <n v="314"/>
    <n v="40"/>
    <s v="Books &amp; Stationery"/>
    <s v="Pen"/>
    <n v="5"/>
    <n v="346.19"/>
    <s v="Bank Transfer"/>
    <x v="389"/>
    <n v="5"/>
    <x v="0"/>
    <n v="54"/>
    <x v="1"/>
    <n v="1730.95"/>
    <n v="519.28499999999997"/>
  </r>
  <r>
    <n v="39126"/>
    <d v="2024-08-09T00:00:00"/>
    <n v="225"/>
    <n v="20"/>
    <s v="Fashion"/>
    <s v="Skirt"/>
    <n v="3"/>
    <n v="482.28"/>
    <s v="Cash on Delivery"/>
    <x v="390"/>
    <n v="5"/>
    <x v="0"/>
    <n v="24"/>
    <x v="3"/>
    <n v="1446.84"/>
    <n v="434.05199999999996"/>
  </r>
  <r>
    <n v="44035"/>
    <d v="2024-08-10T00:00:00"/>
    <n v="974"/>
    <n v="10"/>
    <s v="Electronics"/>
    <s v="Headphones"/>
    <n v="4"/>
    <n v="292.12"/>
    <s v="Cash on Delivery"/>
    <x v="391"/>
    <n v="4"/>
    <x v="1"/>
    <n v="39"/>
    <x v="2"/>
    <n v="1168.48"/>
    <n v="350.54399999999998"/>
  </r>
  <r>
    <n v="17341"/>
    <d v="2024-08-10T00:00:00"/>
    <n v="291"/>
    <n v="20"/>
    <s v="Fashion"/>
    <s v="Shirt"/>
    <n v="5"/>
    <n v="98.76"/>
    <s v="Credit Card"/>
    <x v="392"/>
    <n v="4"/>
    <x v="1"/>
    <n v="20"/>
    <x v="3"/>
    <n v="493.8"/>
    <n v="148.13999999999999"/>
  </r>
  <r>
    <n v="99909"/>
    <d v="2024-08-11T00:00:00"/>
    <n v="233"/>
    <n v="10"/>
    <s v="Electronics"/>
    <s v="Tablet"/>
    <n v="1"/>
    <n v="474.06"/>
    <s v="Cash on Delivery"/>
    <x v="393"/>
    <n v="5"/>
    <x v="1"/>
    <n v="37"/>
    <x v="2"/>
    <n v="474.06"/>
    <n v="142.21799999999999"/>
  </r>
  <r>
    <n v="91742"/>
    <d v="2024-08-11T00:00:00"/>
    <n v="632"/>
    <n v="20"/>
    <s v="Fashion"/>
    <s v="Pants"/>
    <n v="1"/>
    <n v="332.78"/>
    <s v="Cash on Delivery"/>
    <x v="394"/>
    <n v="5"/>
    <x v="0"/>
    <n v="28"/>
    <x v="3"/>
    <n v="332.78"/>
    <n v="99.833999999999989"/>
  </r>
  <r>
    <n v="56705"/>
    <d v="2024-08-12T00:00:00"/>
    <n v="299"/>
    <n v="20"/>
    <s v="Fashion"/>
    <s v="Shirt"/>
    <n v="2"/>
    <n v="168.65"/>
    <s v="Credit Card"/>
    <x v="395"/>
    <n v="2"/>
    <x v="0"/>
    <n v="38"/>
    <x v="2"/>
    <n v="337.3"/>
    <n v="101.19"/>
  </r>
  <r>
    <n v="23601"/>
    <d v="2024-08-12T00:00:00"/>
    <n v="468"/>
    <n v="40"/>
    <s v="Books &amp; Stationery"/>
    <s v="Notebook"/>
    <n v="3"/>
    <n v="408.46"/>
    <s v="Cash on Delivery"/>
    <x v="396"/>
    <n v="5"/>
    <x v="2"/>
    <n v="57"/>
    <x v="1"/>
    <n v="1225.3799999999999"/>
    <n v="367.61399999999998"/>
  </r>
  <r>
    <n v="60664"/>
    <d v="2024-08-12T00:00:00"/>
    <n v="809"/>
    <n v="30"/>
    <s v="Home &amp; Living"/>
    <s v="Vase"/>
    <n v="3"/>
    <n v="186.36"/>
    <s v="Bank Transfer"/>
    <x v="396"/>
    <m/>
    <x v="0"/>
    <n v="21"/>
    <x v="3"/>
    <n v="559.08000000000004"/>
    <n v="167.72400000000002"/>
  </r>
  <r>
    <n v="17439"/>
    <d v="2024-08-12T00:00:00"/>
    <n v="520"/>
    <n v="10"/>
    <s v="Electronics"/>
    <s v="Laptop"/>
    <n v="4"/>
    <n v="462.82"/>
    <s v="Bank Transfer"/>
    <x v="397"/>
    <n v="5"/>
    <x v="0"/>
    <n v="55"/>
    <x v="1"/>
    <n v="1851.28"/>
    <n v="555.38400000000001"/>
  </r>
  <r>
    <n v="48216"/>
    <d v="2024-08-12T00:00:00"/>
    <n v="738"/>
    <n v="40"/>
    <s v="Books &amp; Stationery"/>
    <s v="Pen"/>
    <n v="5"/>
    <n v="228.23"/>
    <s v="Bank Transfer"/>
    <x v="398"/>
    <n v="4"/>
    <x v="0"/>
    <n v="21"/>
    <x v="3"/>
    <n v="1141.1499999999999"/>
    <n v="342.34499999999997"/>
  </r>
  <r>
    <n v="29312"/>
    <d v="2024-08-12T00:00:00"/>
    <n v="481"/>
    <n v="30"/>
    <s v="Home &amp; Living"/>
    <s v="Pillow"/>
    <n v="4"/>
    <n v="354.83"/>
    <s v="Cash on Delivery"/>
    <x v="399"/>
    <n v="5"/>
    <x v="0"/>
    <n v="64"/>
    <x v="0"/>
    <n v="1419.32"/>
    <n v="425.79599999999999"/>
  </r>
  <r>
    <n v="35514"/>
    <d v="2024-08-12T00:00:00"/>
    <n v="791"/>
    <n v="20"/>
    <s v="Fashion"/>
    <s v="Dress"/>
    <n v="4"/>
    <n v="216.69"/>
    <s v="Cash on Delivery"/>
    <x v="400"/>
    <n v="4"/>
    <x v="1"/>
    <n v="35"/>
    <x v="2"/>
    <n v="866.76"/>
    <n v="260.02799999999996"/>
  </r>
  <r>
    <n v="65789"/>
    <d v="2024-08-12T00:00:00"/>
    <n v="368"/>
    <n v="30"/>
    <s v="Home &amp; Living"/>
    <s v="Vase"/>
    <n v="3"/>
    <n v="91.58"/>
    <s v="Bank Transfer"/>
    <x v="401"/>
    <n v="5"/>
    <x v="0"/>
    <n v="69"/>
    <x v="0"/>
    <n v="274.74"/>
    <n v="82.421999999999997"/>
  </r>
  <r>
    <n v="11021"/>
    <d v="2024-08-12T00:00:00"/>
    <n v="114"/>
    <n v="20"/>
    <s v="Fashion"/>
    <s v="T-shirt"/>
    <n v="5"/>
    <n v="67.92"/>
    <s v="Bank Transfer"/>
    <x v="402"/>
    <n v="5"/>
    <x v="0"/>
    <n v="47"/>
    <x v="1"/>
    <n v="339.6"/>
    <n v="101.88000000000001"/>
  </r>
  <r>
    <n v="33094"/>
    <d v="2024-08-12T00:00:00"/>
    <n v="298"/>
    <n v="30"/>
    <s v="Home &amp; Living"/>
    <s v="Blanket"/>
    <n v="2"/>
    <n v="387.05"/>
    <s v="Credit Card"/>
    <x v="403"/>
    <n v="5"/>
    <x v="2"/>
    <n v="68"/>
    <x v="0"/>
    <n v="774.1"/>
    <n v="232.23"/>
  </r>
  <r>
    <n v="21565"/>
    <d v="2024-08-13T00:00:00"/>
    <n v="499"/>
    <n v="50"/>
    <s v="Sports &amp; Outdoors"/>
    <s v="Soccer Ball"/>
    <n v="4"/>
    <n v="484.81"/>
    <s v="Credit Card"/>
    <x v="404"/>
    <m/>
    <x v="1"/>
    <n v="43"/>
    <x v="2"/>
    <n v="1939.24"/>
    <n v="581.77199999999993"/>
  </r>
  <r>
    <n v="11849"/>
    <d v="2024-08-14T00:00:00"/>
    <n v="141"/>
    <n v="40"/>
    <s v="Books &amp; Stationery"/>
    <s v="Eraser"/>
    <n v="5"/>
    <n v="409.35"/>
    <s v="Cash on Delivery"/>
    <x v="405"/>
    <n v="4"/>
    <x v="2"/>
    <n v="23"/>
    <x v="3"/>
    <n v="2046.75"/>
    <n v="614.02499999999998"/>
  </r>
  <r>
    <n v="79948"/>
    <d v="2024-08-14T00:00:00"/>
    <n v="858"/>
    <n v="40"/>
    <s v="Books &amp; Stationery"/>
    <s v="Novel"/>
    <n v="2"/>
    <n v="164.11"/>
    <s v="Bank Transfer"/>
    <x v="406"/>
    <m/>
    <x v="1"/>
    <n v="66"/>
    <x v="0"/>
    <n v="328.22"/>
    <n v="98.466000000000008"/>
  </r>
  <r>
    <n v="35088"/>
    <d v="2024-08-14T00:00:00"/>
    <n v="157"/>
    <n v="30"/>
    <s v="Home &amp; Living"/>
    <s v="Vase"/>
    <n v="5"/>
    <n v="305.27999999999997"/>
    <s v="Bank Transfer"/>
    <x v="407"/>
    <m/>
    <x v="0"/>
    <n v="50"/>
    <x v="1"/>
    <n v="1526.3999999999999"/>
    <n v="457.91999999999996"/>
  </r>
  <r>
    <n v="14303"/>
    <d v="2024-08-14T00:00:00"/>
    <n v="332"/>
    <n v="10"/>
    <s v="Electronics"/>
    <s v="Tablet"/>
    <n v="5"/>
    <n v="425.1"/>
    <s v="Credit Card"/>
    <x v="408"/>
    <n v="4"/>
    <x v="1"/>
    <n v="51"/>
    <x v="1"/>
    <n v="2125.5"/>
    <n v="637.65"/>
  </r>
  <r>
    <n v="64326"/>
    <d v="2024-08-15T00:00:00"/>
    <n v="348"/>
    <n v="40"/>
    <s v="Books &amp; Stationery"/>
    <s v="Notebook"/>
    <n v="5"/>
    <n v="275.88"/>
    <s v="Bank Transfer"/>
    <x v="409"/>
    <m/>
    <x v="1"/>
    <n v="63"/>
    <x v="0"/>
    <n v="1379.4"/>
    <n v="413.82"/>
  </r>
  <r>
    <n v="45453"/>
    <d v="2024-08-15T00:00:00"/>
    <n v="363"/>
    <n v="40"/>
    <s v="Books &amp; Stationery"/>
    <s v="Novel"/>
    <n v="3"/>
    <n v="292.74"/>
    <s v="Cash on Delivery"/>
    <x v="410"/>
    <m/>
    <x v="0"/>
    <n v="63"/>
    <x v="0"/>
    <n v="878.22"/>
    <n v="263.46600000000001"/>
  </r>
  <r>
    <n v="35603"/>
    <d v="2024-08-15T00:00:00"/>
    <n v="177"/>
    <n v="40"/>
    <s v="Books &amp; Stationery"/>
    <s v="Story Book"/>
    <n v="4"/>
    <n v="228.81"/>
    <s v="Bank Transfer"/>
    <x v="411"/>
    <n v="3"/>
    <x v="1"/>
    <n v="68"/>
    <x v="0"/>
    <n v="915.24"/>
    <n v="274.572"/>
  </r>
  <r>
    <n v="23747"/>
    <d v="2024-08-15T00:00:00"/>
    <n v="558"/>
    <n v="10"/>
    <s v="Electronics"/>
    <s v="Headphones"/>
    <n v="1"/>
    <n v="51.1"/>
    <s v="Credit Card"/>
    <x v="412"/>
    <n v="2"/>
    <x v="2"/>
    <n v="36"/>
    <x v="2"/>
    <n v="51.1"/>
    <n v="15.33"/>
  </r>
  <r>
    <n v="45326"/>
    <d v="2024-08-15T00:00:00"/>
    <n v="714"/>
    <n v="20"/>
    <s v="Fashion"/>
    <s v="Skirt"/>
    <n v="2"/>
    <n v="329.92"/>
    <s v="Bank Transfer"/>
    <x v="413"/>
    <n v="4"/>
    <x v="0"/>
    <n v="41"/>
    <x v="2"/>
    <n v="659.84"/>
    <n v="197.952"/>
  </r>
  <r>
    <n v="63051"/>
    <d v="2024-08-15T00:00:00"/>
    <n v="525"/>
    <n v="50"/>
    <s v="Sports &amp; Outdoors"/>
    <s v="Running Shoes"/>
    <n v="1"/>
    <n v="100.18"/>
    <s v="Cash on Delivery"/>
    <x v="414"/>
    <n v="5"/>
    <x v="2"/>
    <n v="33"/>
    <x v="2"/>
    <n v="100.18"/>
    <n v="30.054000000000002"/>
  </r>
  <r>
    <n v="37401"/>
    <d v="2024-08-16T00:00:00"/>
    <n v="861"/>
    <n v="50"/>
    <s v="Sports &amp; Outdoors"/>
    <s v="Soccer Ball"/>
    <n v="1"/>
    <n v="376.51"/>
    <s v="Credit Card"/>
    <x v="415"/>
    <m/>
    <x v="1"/>
    <n v="63"/>
    <x v="0"/>
    <n v="376.51"/>
    <n v="112.95299999999999"/>
  </r>
  <r>
    <n v="44592"/>
    <d v="2024-08-17T00:00:00"/>
    <n v="909"/>
    <n v="50"/>
    <s v="Sports &amp; Outdoors"/>
    <s v="Soccer Ball"/>
    <n v="2"/>
    <n v="414.37"/>
    <s v="Credit Card"/>
    <x v="416"/>
    <m/>
    <x v="2"/>
    <n v="66"/>
    <x v="0"/>
    <n v="828.74"/>
    <n v="248.62199999999999"/>
  </r>
  <r>
    <n v="41135"/>
    <d v="2024-08-17T00:00:00"/>
    <n v="862"/>
    <n v="30"/>
    <s v="Home &amp; Living"/>
    <s v="Vase"/>
    <n v="4"/>
    <n v="57.84"/>
    <s v="Cash on Delivery"/>
    <x v="417"/>
    <n v="5"/>
    <x v="0"/>
    <n v="23"/>
    <x v="3"/>
    <n v="231.36"/>
    <n v="69.408000000000001"/>
  </r>
  <r>
    <n v="27140"/>
    <d v="2024-08-17T00:00:00"/>
    <n v="260"/>
    <n v="20"/>
    <s v="Fashion"/>
    <s v="Pants"/>
    <n v="1"/>
    <n v="408.63"/>
    <s v="Credit Card"/>
    <x v="418"/>
    <n v="4"/>
    <x v="1"/>
    <n v="21"/>
    <x v="3"/>
    <n v="408.63"/>
    <n v="122.589"/>
  </r>
  <r>
    <n v="62597"/>
    <d v="2024-08-17T00:00:00"/>
    <n v="828"/>
    <n v="20"/>
    <s v="Fashion"/>
    <s v="Pants"/>
    <n v="1"/>
    <n v="132.34"/>
    <s v="Cash on Delivery"/>
    <x v="419"/>
    <n v="3"/>
    <x v="0"/>
    <n v="54"/>
    <x v="1"/>
    <n v="132.34"/>
    <n v="39.701999999999998"/>
  </r>
  <r>
    <n v="78206"/>
    <d v="2024-08-17T00:00:00"/>
    <n v="610"/>
    <n v="30"/>
    <s v="Home &amp; Living"/>
    <s v="Carpet"/>
    <n v="5"/>
    <n v="212.85"/>
    <s v="Cash on Delivery"/>
    <x v="420"/>
    <n v="1"/>
    <x v="0"/>
    <n v="18"/>
    <x v="3"/>
    <n v="1064.25"/>
    <n v="319.27499999999998"/>
  </r>
  <r>
    <n v="90329"/>
    <d v="2024-08-17T00:00:00"/>
    <n v="114"/>
    <n v="30"/>
    <s v="Home &amp; Living"/>
    <s v="Blanket"/>
    <n v="4"/>
    <n v="379.26"/>
    <s v="Credit Card"/>
    <x v="421"/>
    <n v="3"/>
    <x v="1"/>
    <n v="49"/>
    <x v="1"/>
    <n v="1517.04"/>
    <n v="455.11199999999997"/>
  </r>
  <r>
    <n v="19180"/>
    <d v="2024-08-17T00:00:00"/>
    <n v="427"/>
    <n v="30"/>
    <s v="Home &amp; Living"/>
    <s v="Pillow"/>
    <n v="2"/>
    <n v="351.84"/>
    <s v="Bank Transfer"/>
    <x v="422"/>
    <n v="1"/>
    <x v="1"/>
    <n v="50"/>
    <x v="1"/>
    <n v="703.68"/>
    <n v="211.10399999999998"/>
  </r>
  <r>
    <n v="56744"/>
    <d v="2024-08-17T00:00:00"/>
    <n v="798"/>
    <n v="50"/>
    <s v="Sports &amp; Outdoors"/>
    <s v="Soccer Ball"/>
    <n v="5"/>
    <n v="301.66000000000003"/>
    <s v="Bank Transfer"/>
    <x v="423"/>
    <m/>
    <x v="1"/>
    <n v="27"/>
    <x v="3"/>
    <n v="1508.3000000000002"/>
    <n v="452.49000000000007"/>
  </r>
  <r>
    <n v="99414"/>
    <d v="2024-08-17T00:00:00"/>
    <n v="186"/>
    <n v="20"/>
    <s v="Fashion"/>
    <s v="Pants"/>
    <n v="4"/>
    <n v="365.04"/>
    <s v="Bank Transfer"/>
    <x v="424"/>
    <n v="3"/>
    <x v="1"/>
    <n v="55"/>
    <x v="1"/>
    <n v="1460.16"/>
    <n v="438.048"/>
  </r>
  <r>
    <n v="49509"/>
    <d v="2024-08-18T00:00:00"/>
    <n v="508"/>
    <n v="10"/>
    <s v="Electronics"/>
    <s v="Headphones"/>
    <n v="1"/>
    <n v="194.81"/>
    <s v="Cash on Delivery"/>
    <x v="425"/>
    <n v="5"/>
    <x v="1"/>
    <n v="58"/>
    <x v="1"/>
    <n v="194.81"/>
    <n v="58.442999999999998"/>
  </r>
  <r>
    <n v="33753"/>
    <d v="2024-08-18T00:00:00"/>
    <n v="531"/>
    <n v="50"/>
    <s v="Sports &amp; Outdoors"/>
    <s v="Soccer Ball"/>
    <n v="3"/>
    <n v="477.5"/>
    <s v="Credit Card"/>
    <x v="426"/>
    <n v="5"/>
    <x v="1"/>
    <n v="56"/>
    <x v="1"/>
    <n v="1432.5"/>
    <n v="429.75"/>
  </r>
  <r>
    <n v="54627"/>
    <d v="2024-08-18T00:00:00"/>
    <n v="297"/>
    <n v="30"/>
    <s v="Home &amp; Living"/>
    <s v="Painting"/>
    <n v="1"/>
    <n v="52.33"/>
    <s v="Bank Transfer"/>
    <x v="427"/>
    <m/>
    <x v="0"/>
    <n v="42"/>
    <x v="2"/>
    <n v="52.33"/>
    <n v="15.698999999999998"/>
  </r>
  <r>
    <n v="99026"/>
    <d v="2024-08-18T00:00:00"/>
    <n v="665"/>
    <n v="20"/>
    <s v="Fashion"/>
    <s v="Skirt"/>
    <n v="5"/>
    <n v="470.2"/>
    <s v="Credit Card"/>
    <x v="428"/>
    <n v="1"/>
    <x v="1"/>
    <n v="34"/>
    <x v="2"/>
    <n v="2351"/>
    <n v="705.3"/>
  </r>
  <r>
    <n v="21731"/>
    <d v="2024-08-19T00:00:00"/>
    <n v="206"/>
    <n v="50"/>
    <s v="Sports &amp; Outdoors"/>
    <s v="Tent"/>
    <n v="5"/>
    <n v="22.86"/>
    <s v="Cash on Delivery"/>
    <x v="429"/>
    <n v="5"/>
    <x v="0"/>
    <n v="34"/>
    <x v="2"/>
    <n v="114.3"/>
    <n v="34.29"/>
  </r>
  <r>
    <n v="23420"/>
    <d v="2024-08-19T00:00:00"/>
    <n v="508"/>
    <n v="20"/>
    <s v="Fashion"/>
    <s v="Shirt"/>
    <n v="4"/>
    <n v="498.66"/>
    <s v="Credit Card"/>
    <x v="430"/>
    <n v="5"/>
    <x v="1"/>
    <n v="56"/>
    <x v="1"/>
    <n v="1994.64"/>
    <n v="598.39200000000005"/>
  </r>
  <r>
    <n v="70317"/>
    <d v="2024-08-20T00:00:00"/>
    <n v="151"/>
    <n v="30"/>
    <s v="Home &amp; Living"/>
    <s v="Painting"/>
    <n v="1"/>
    <n v="357.67"/>
    <s v="Cash on Delivery"/>
    <x v="431"/>
    <n v="4"/>
    <x v="1"/>
    <n v="27"/>
    <x v="3"/>
    <n v="357.67"/>
    <n v="107.301"/>
  </r>
  <r>
    <n v="60024"/>
    <d v="2024-08-21T00:00:00"/>
    <n v="643"/>
    <n v="50"/>
    <s v="Sports &amp; Outdoors"/>
    <s v="Yoga Mat"/>
    <n v="5"/>
    <n v="234.44"/>
    <s v="Credit Card"/>
    <x v="432"/>
    <m/>
    <x v="1"/>
    <n v="71"/>
    <x v="0"/>
    <n v="1172.2"/>
    <n v="351.66"/>
  </r>
  <r>
    <n v="72471"/>
    <d v="2024-08-22T00:00:00"/>
    <n v="557"/>
    <n v="30"/>
    <s v="Home &amp; Living"/>
    <s v="Pillow"/>
    <n v="3"/>
    <n v="116.13"/>
    <s v="Cash on Delivery"/>
    <x v="433"/>
    <n v="5"/>
    <x v="1"/>
    <n v="69"/>
    <x v="0"/>
    <n v="348.39"/>
    <n v="104.517"/>
  </r>
  <r>
    <n v="32285"/>
    <d v="2024-08-23T00:00:00"/>
    <n v="978"/>
    <n v="10"/>
    <s v="Electronics"/>
    <s v="Laptop"/>
    <n v="1"/>
    <n v="127.53"/>
    <s v="Cash on Delivery"/>
    <x v="434"/>
    <m/>
    <x v="0"/>
    <n v="43"/>
    <x v="2"/>
    <n v="127.53"/>
    <n v="38.259"/>
  </r>
  <r>
    <n v="61294"/>
    <d v="2024-08-23T00:00:00"/>
    <n v="645"/>
    <n v="40"/>
    <s v="Books &amp; Stationery"/>
    <s v="Eraser"/>
    <n v="2"/>
    <n v="229.57"/>
    <s v="Bank Transfer"/>
    <x v="435"/>
    <n v="4"/>
    <x v="0"/>
    <n v="38"/>
    <x v="2"/>
    <n v="459.14"/>
    <n v="137.74199999999999"/>
  </r>
  <r>
    <n v="24147"/>
    <d v="2024-08-23T00:00:00"/>
    <n v="568"/>
    <n v="30"/>
    <s v="Home &amp; Living"/>
    <s v="Painting"/>
    <n v="1"/>
    <n v="268.26"/>
    <s v="Cash on Delivery"/>
    <x v="436"/>
    <n v="1"/>
    <x v="0"/>
    <n v="29"/>
    <x v="3"/>
    <n v="268.26"/>
    <n v="80.477999999999994"/>
  </r>
  <r>
    <n v="82916"/>
    <d v="2024-08-24T00:00:00"/>
    <n v="180"/>
    <n v="30"/>
    <s v="Home &amp; Living"/>
    <s v="Blanket"/>
    <n v="1"/>
    <n v="375.92"/>
    <s v="Bank Transfer"/>
    <x v="437"/>
    <n v="5"/>
    <x v="1"/>
    <n v="73"/>
    <x v="0"/>
    <n v="375.92"/>
    <n v="112.776"/>
  </r>
  <r>
    <n v="25309"/>
    <d v="2024-08-24T00:00:00"/>
    <n v="977"/>
    <n v="40"/>
    <s v="Books &amp; Stationery"/>
    <s v="Story Book"/>
    <n v="3"/>
    <n v="368.91"/>
    <s v="Cash on Delivery"/>
    <x v="438"/>
    <n v="5"/>
    <x v="0"/>
    <n v="52"/>
    <x v="1"/>
    <n v="1106.73"/>
    <n v="332.01900000000001"/>
  </r>
  <r>
    <n v="42991"/>
    <d v="2024-08-24T00:00:00"/>
    <n v="144"/>
    <n v="30"/>
    <s v="Home &amp; Living"/>
    <s v="Vase"/>
    <n v="1"/>
    <n v="261.60000000000002"/>
    <s v="Cash on Delivery"/>
    <x v="439"/>
    <n v="2"/>
    <x v="1"/>
    <n v="44"/>
    <x v="2"/>
    <n v="261.60000000000002"/>
    <n v="78.48"/>
  </r>
  <r>
    <n v="99265"/>
    <d v="2024-08-24T00:00:00"/>
    <n v="532"/>
    <n v="10"/>
    <s v="Electronics"/>
    <s v="Smartwatch"/>
    <n v="5"/>
    <n v="266.04000000000002"/>
    <s v="Cash on Delivery"/>
    <x v="440"/>
    <m/>
    <x v="1"/>
    <n v="43"/>
    <x v="2"/>
    <n v="1330.2"/>
    <n v="399.06"/>
  </r>
  <r>
    <n v="73481"/>
    <d v="2024-08-24T00:00:00"/>
    <n v="538"/>
    <n v="30"/>
    <s v="Home &amp; Living"/>
    <s v="Pillow"/>
    <n v="4"/>
    <n v="197.51"/>
    <s v="Credit Card"/>
    <x v="441"/>
    <n v="5"/>
    <x v="0"/>
    <n v="22"/>
    <x v="3"/>
    <n v="790.04"/>
    <n v="237.01199999999997"/>
  </r>
  <r>
    <n v="45719"/>
    <d v="2024-08-25T00:00:00"/>
    <n v="329"/>
    <n v="40"/>
    <s v="Books &amp; Stationery"/>
    <s v="Eraser"/>
    <n v="3"/>
    <n v="348.31"/>
    <s v="Credit Card"/>
    <x v="442"/>
    <n v="3"/>
    <x v="0"/>
    <n v="26"/>
    <x v="3"/>
    <n v="1044.93"/>
    <n v="313.47899999999998"/>
  </r>
  <r>
    <n v="56269"/>
    <d v="2024-08-25T00:00:00"/>
    <n v="575"/>
    <n v="30"/>
    <s v="Home &amp; Living"/>
    <s v="Painting"/>
    <n v="5"/>
    <n v="155.72999999999999"/>
    <s v="Credit Card"/>
    <x v="443"/>
    <m/>
    <x v="1"/>
    <n v="57"/>
    <x v="1"/>
    <n v="778.65"/>
    <n v="233.59499999999997"/>
  </r>
  <r>
    <n v="98186"/>
    <d v="2024-08-25T00:00:00"/>
    <n v="606"/>
    <n v="50"/>
    <s v="Sports &amp; Outdoors"/>
    <s v="Running Shoes"/>
    <n v="1"/>
    <n v="134.35"/>
    <s v="Bank Transfer"/>
    <x v="444"/>
    <n v="4"/>
    <x v="1"/>
    <n v="47"/>
    <x v="1"/>
    <n v="134.35"/>
    <n v="40.305"/>
  </r>
  <r>
    <n v="47335"/>
    <d v="2024-08-25T00:00:00"/>
    <n v="776"/>
    <n v="10"/>
    <s v="Electronics"/>
    <s v="Tablet"/>
    <n v="5"/>
    <n v="310.77999999999997"/>
    <s v="Cash on Delivery"/>
    <x v="278"/>
    <n v="5"/>
    <x v="1"/>
    <n v="49"/>
    <x v="1"/>
    <n v="1553.8999999999999"/>
    <n v="466.16999999999996"/>
  </r>
  <r>
    <n v="83687"/>
    <d v="2024-08-26T00:00:00"/>
    <n v="115"/>
    <n v="50"/>
    <s v="Sports &amp; Outdoors"/>
    <s v="Tent"/>
    <n v="5"/>
    <n v="475.89"/>
    <s v="Cash on Delivery"/>
    <x v="445"/>
    <n v="5"/>
    <x v="1"/>
    <n v="52"/>
    <x v="1"/>
    <n v="2379.4499999999998"/>
    <n v="713.83499999999992"/>
  </r>
  <r>
    <n v="50848"/>
    <d v="2024-08-27T00:00:00"/>
    <n v="721"/>
    <n v="50"/>
    <s v="Sports &amp; Outdoors"/>
    <s v="Yoga Mat"/>
    <n v="4"/>
    <n v="350.05"/>
    <s v="Bank Transfer"/>
    <x v="7"/>
    <n v="1"/>
    <x v="0"/>
    <n v="65"/>
    <x v="0"/>
    <n v="1400.2"/>
    <n v="420.06"/>
  </r>
  <r>
    <n v="75246"/>
    <d v="2024-08-27T00:00:00"/>
    <n v="643"/>
    <n v="10"/>
    <s v="Electronics"/>
    <s v="Smartphone"/>
    <n v="5"/>
    <n v="208.59"/>
    <s v="Bank Transfer"/>
    <x v="446"/>
    <n v="4"/>
    <x v="0"/>
    <n v="56"/>
    <x v="1"/>
    <n v="1042.95"/>
    <n v="312.88499999999999"/>
  </r>
  <r>
    <n v="39329"/>
    <d v="2024-08-28T00:00:00"/>
    <n v="218"/>
    <n v="40"/>
    <s v="Books &amp; Stationery"/>
    <s v="Eraser"/>
    <n v="2"/>
    <n v="354.8"/>
    <s v="Cash on Delivery"/>
    <x v="447"/>
    <n v="4"/>
    <x v="1"/>
    <n v="59"/>
    <x v="1"/>
    <n v="709.6"/>
    <n v="212.88"/>
  </r>
  <r>
    <n v="37422"/>
    <d v="2024-08-28T00:00:00"/>
    <n v="444"/>
    <n v="10"/>
    <s v="Electronics"/>
    <s v="Tablet"/>
    <n v="5"/>
    <n v="21.72"/>
    <s v="Cash on Delivery"/>
    <x v="448"/>
    <n v="3"/>
    <x v="1"/>
    <n v="22"/>
    <x v="3"/>
    <n v="108.6"/>
    <n v="32.58"/>
  </r>
  <r>
    <n v="69327"/>
    <d v="2024-08-28T00:00:00"/>
    <n v="183"/>
    <n v="50"/>
    <s v="Sports &amp; Outdoors"/>
    <s v="Yoga Mat"/>
    <n v="3"/>
    <n v="105.43"/>
    <s v="Cash on Delivery"/>
    <x v="449"/>
    <n v="4"/>
    <x v="1"/>
    <n v="72"/>
    <x v="0"/>
    <n v="316.29000000000002"/>
    <n v="94.887"/>
  </r>
  <r>
    <n v="39858"/>
    <d v="2024-08-29T00:00:00"/>
    <n v="339"/>
    <n v="20"/>
    <s v="Fashion"/>
    <s v="Skirt"/>
    <n v="5"/>
    <n v="442.3"/>
    <s v="Credit Card"/>
    <x v="450"/>
    <n v="5"/>
    <x v="0"/>
    <n v="19"/>
    <x v="3"/>
    <n v="2211.5"/>
    <n v="663.44999999999993"/>
  </r>
  <r>
    <n v="57134"/>
    <d v="2024-08-29T00:00:00"/>
    <n v="101"/>
    <n v="10"/>
    <s v="Electronics"/>
    <s v="Headphones"/>
    <n v="4"/>
    <n v="49.31"/>
    <s v="Credit Card"/>
    <x v="451"/>
    <m/>
    <x v="1"/>
    <n v="42"/>
    <x v="2"/>
    <n v="197.24"/>
    <n v="59.171999999999997"/>
  </r>
  <r>
    <n v="89312"/>
    <d v="2024-08-30T00:00:00"/>
    <n v="276"/>
    <n v="10"/>
    <s v="Electronics"/>
    <s v="Smartwatch"/>
    <n v="3"/>
    <n v="188.78"/>
    <s v="Credit Card"/>
    <x v="452"/>
    <m/>
    <x v="0"/>
    <n v="31"/>
    <x v="2"/>
    <n v="566.34"/>
    <n v="169.90200000000002"/>
  </r>
  <r>
    <n v="99423"/>
    <d v="2024-08-30T00:00:00"/>
    <n v="675"/>
    <n v="30"/>
    <s v="Home &amp; Living"/>
    <s v="Painting"/>
    <n v="5"/>
    <n v="175.5"/>
    <s v="Cash on Delivery"/>
    <x v="453"/>
    <m/>
    <x v="1"/>
    <n v="73"/>
    <x v="0"/>
    <n v="877.5"/>
    <n v="263.25"/>
  </r>
  <r>
    <n v="47342"/>
    <d v="2024-08-30T00:00:00"/>
    <n v="141"/>
    <n v="10"/>
    <s v="Electronics"/>
    <s v="Laptop"/>
    <n v="4"/>
    <n v="226.23"/>
    <s v="Credit Card"/>
    <x v="454"/>
    <n v="5"/>
    <x v="0"/>
    <n v="59"/>
    <x v="1"/>
    <n v="904.92"/>
    <n v="271.476"/>
  </r>
  <r>
    <n v="26742"/>
    <d v="2024-08-30T00:00:00"/>
    <n v="349"/>
    <n v="40"/>
    <s v="Books &amp; Stationery"/>
    <s v="Story Book"/>
    <n v="3"/>
    <n v="456.63"/>
    <s v="Cash on Delivery"/>
    <x v="455"/>
    <n v="5"/>
    <x v="0"/>
    <n v="75"/>
    <x v="0"/>
    <n v="1369.8899999999999"/>
    <n v="410.96699999999993"/>
  </r>
  <r>
    <n v="79189"/>
    <d v="2024-08-30T00:00:00"/>
    <n v="639"/>
    <n v="40"/>
    <s v="Books &amp; Stationery"/>
    <s v="Notebook"/>
    <n v="1"/>
    <n v="399.18"/>
    <s v="Credit Card"/>
    <x v="41"/>
    <n v="5"/>
    <x v="0"/>
    <n v="66"/>
    <x v="0"/>
    <n v="399.18"/>
    <n v="119.75399999999999"/>
  </r>
  <r>
    <n v="61717"/>
    <d v="2024-08-31T00:00:00"/>
    <n v="705"/>
    <n v="10"/>
    <s v="Electronics"/>
    <s v="Smartwatch"/>
    <n v="2"/>
    <n v="393.49"/>
    <s v="Bank Transfer"/>
    <x v="456"/>
    <n v="4"/>
    <x v="1"/>
    <n v="57"/>
    <x v="1"/>
    <n v="786.98"/>
    <n v="236.09399999999999"/>
  </r>
  <r>
    <n v="69487"/>
    <d v="2024-08-31T00:00:00"/>
    <n v="729"/>
    <n v="50"/>
    <s v="Sports &amp; Outdoors"/>
    <s v="Yoga Mat"/>
    <n v="4"/>
    <n v="464.28"/>
    <s v="Cash on Delivery"/>
    <x v="457"/>
    <n v="4"/>
    <x v="1"/>
    <n v="62"/>
    <x v="0"/>
    <n v="1857.12"/>
    <n v="557.13599999999997"/>
  </r>
  <r>
    <n v="52189"/>
    <d v="2024-09-01T00:00:00"/>
    <n v="653"/>
    <n v="10"/>
    <s v="Electronics"/>
    <s v="Tablet"/>
    <n v="1"/>
    <n v="183.61"/>
    <s v="Bank Transfer"/>
    <x v="346"/>
    <n v="4"/>
    <x v="1"/>
    <n v="49"/>
    <x v="1"/>
    <n v="183.61"/>
    <n v="55.083000000000006"/>
  </r>
  <r>
    <n v="94141"/>
    <d v="2024-09-01T00:00:00"/>
    <n v="701"/>
    <n v="20"/>
    <s v="Fashion"/>
    <s v="Skirt"/>
    <n v="4"/>
    <n v="270.32"/>
    <s v="Bank Transfer"/>
    <x v="458"/>
    <n v="5"/>
    <x v="0"/>
    <n v="48"/>
    <x v="1"/>
    <n v="1081.28"/>
    <n v="324.38399999999996"/>
  </r>
  <r>
    <n v="58363"/>
    <d v="2024-09-02T00:00:00"/>
    <n v="536"/>
    <n v="10"/>
    <s v="Electronics"/>
    <s v="Laptop"/>
    <n v="5"/>
    <n v="87.27"/>
    <s v="Credit Card"/>
    <x v="459"/>
    <n v="5"/>
    <x v="0"/>
    <n v="63"/>
    <x v="0"/>
    <n v="436.34999999999997"/>
    <n v="130.90499999999997"/>
  </r>
  <r>
    <n v="63876"/>
    <d v="2024-09-04T00:00:00"/>
    <n v="545"/>
    <n v="50"/>
    <s v="Sports &amp; Outdoors"/>
    <s v="Running Shoes"/>
    <n v="2"/>
    <n v="107.84"/>
    <s v="Credit Card"/>
    <x v="460"/>
    <n v="1"/>
    <x v="1"/>
    <n v="53"/>
    <x v="1"/>
    <n v="215.68"/>
    <n v="64.703999999999994"/>
  </r>
  <r>
    <n v="99259"/>
    <d v="2024-09-04T00:00:00"/>
    <n v="426"/>
    <n v="50"/>
    <s v="Sports &amp; Outdoors"/>
    <s v="Running Shoes"/>
    <n v="3"/>
    <n v="232.33"/>
    <s v="Bank Transfer"/>
    <x v="461"/>
    <m/>
    <x v="1"/>
    <n v="62"/>
    <x v="0"/>
    <n v="696.99"/>
    <n v="209.09700000000001"/>
  </r>
  <r>
    <n v="90952"/>
    <d v="2024-09-05T00:00:00"/>
    <n v="360"/>
    <n v="50"/>
    <s v="Sports &amp; Outdoors"/>
    <s v="Tent"/>
    <n v="2"/>
    <n v="55.78"/>
    <s v="Cash on Delivery"/>
    <x v="462"/>
    <m/>
    <x v="2"/>
    <n v="60"/>
    <x v="1"/>
    <n v="111.56"/>
    <n v="33.467999999999996"/>
  </r>
  <r>
    <n v="71237"/>
    <d v="2024-09-05T00:00:00"/>
    <n v="588"/>
    <n v="10"/>
    <s v="Electronics"/>
    <s v="Laptop"/>
    <n v="4"/>
    <n v="264.14999999999998"/>
    <s v="Cash on Delivery"/>
    <x v="463"/>
    <n v="3"/>
    <x v="1"/>
    <n v="57"/>
    <x v="1"/>
    <n v="1056.5999999999999"/>
    <n v="316.97999999999996"/>
  </r>
  <r>
    <n v="84978"/>
    <d v="2024-09-05T00:00:00"/>
    <n v="292"/>
    <n v="40"/>
    <s v="Books &amp; Stationery"/>
    <s v="Notebook"/>
    <n v="1"/>
    <n v="458.02"/>
    <s v="Bank Transfer"/>
    <x v="464"/>
    <n v="3"/>
    <x v="0"/>
    <n v="64"/>
    <x v="0"/>
    <n v="458.02"/>
    <n v="137.40599999999998"/>
  </r>
  <r>
    <n v="59603"/>
    <d v="2024-09-05T00:00:00"/>
    <n v="125"/>
    <n v="20"/>
    <s v="Fashion"/>
    <s v="Shirt"/>
    <n v="2"/>
    <n v="402.42"/>
    <s v="Credit Card"/>
    <x v="172"/>
    <n v="2"/>
    <x v="1"/>
    <n v="28"/>
    <x v="3"/>
    <n v="804.84"/>
    <n v="241.452"/>
  </r>
  <r>
    <n v="48878"/>
    <d v="2024-09-07T00:00:00"/>
    <n v="814"/>
    <n v="30"/>
    <s v="Home &amp; Living"/>
    <s v="Painting"/>
    <n v="2"/>
    <n v="83.97"/>
    <s v="Credit Card"/>
    <x v="465"/>
    <n v="4"/>
    <x v="1"/>
    <n v="75"/>
    <x v="0"/>
    <n v="167.94"/>
    <n v="50.381999999999998"/>
  </r>
  <r>
    <n v="69068"/>
    <d v="2024-09-07T00:00:00"/>
    <n v="220"/>
    <n v="10"/>
    <s v="Electronics"/>
    <s v="Headphones"/>
    <n v="5"/>
    <n v="252.5"/>
    <s v="Cash on Delivery"/>
    <x v="466"/>
    <n v="5"/>
    <x v="0"/>
    <n v="71"/>
    <x v="0"/>
    <n v="1262.5"/>
    <n v="378.75"/>
  </r>
  <r>
    <n v="47566"/>
    <d v="2024-09-07T00:00:00"/>
    <n v="574"/>
    <n v="20"/>
    <s v="Fashion"/>
    <s v="Dress"/>
    <n v="4"/>
    <n v="216.03"/>
    <s v="Bank Transfer"/>
    <x v="467"/>
    <n v="3"/>
    <x v="1"/>
    <n v="32"/>
    <x v="2"/>
    <n v="864.12"/>
    <n v="259.23599999999999"/>
  </r>
  <r>
    <n v="97111"/>
    <d v="2024-09-07T00:00:00"/>
    <n v="897"/>
    <n v="40"/>
    <s v="Books &amp; Stationery"/>
    <s v="Notebook"/>
    <n v="4"/>
    <n v="14.47"/>
    <s v="Bank Transfer"/>
    <x v="468"/>
    <n v="5"/>
    <x v="1"/>
    <n v="33"/>
    <x v="2"/>
    <n v="57.88"/>
    <n v="17.364000000000001"/>
  </r>
  <r>
    <n v="51171"/>
    <d v="2024-09-08T00:00:00"/>
    <n v="608"/>
    <n v="50"/>
    <s v="Sports &amp; Outdoors"/>
    <s v="Yoga Mat"/>
    <n v="1"/>
    <n v="439.96"/>
    <s v="Bank Transfer"/>
    <x v="469"/>
    <n v="5"/>
    <x v="1"/>
    <n v="19"/>
    <x v="3"/>
    <n v="439.96"/>
    <n v="131.988"/>
  </r>
  <r>
    <n v="52751"/>
    <d v="2024-09-08T00:00:00"/>
    <n v="399"/>
    <n v="50"/>
    <s v="Sports &amp; Outdoors"/>
    <s v="Yoga Mat"/>
    <n v="3"/>
    <n v="250.37"/>
    <s v="Cash on Delivery"/>
    <x v="470"/>
    <n v="4"/>
    <x v="0"/>
    <n v="43"/>
    <x v="2"/>
    <n v="751.11"/>
    <n v="225.333"/>
  </r>
  <r>
    <n v="79018"/>
    <d v="2024-09-08T00:00:00"/>
    <n v="460"/>
    <n v="50"/>
    <s v="Sports &amp; Outdoors"/>
    <s v="Tent"/>
    <n v="2"/>
    <n v="150.37"/>
    <s v="Cash on Delivery"/>
    <x v="471"/>
    <m/>
    <x v="1"/>
    <n v="54"/>
    <x v="1"/>
    <n v="300.74"/>
    <n v="90.221999999999994"/>
  </r>
  <r>
    <n v="27462"/>
    <d v="2024-09-08T00:00:00"/>
    <n v="864"/>
    <n v="10"/>
    <s v="Electronics"/>
    <s v="Smartwatch"/>
    <n v="5"/>
    <n v="466.38"/>
    <s v="Bank Transfer"/>
    <x v="472"/>
    <n v="3"/>
    <x v="0"/>
    <n v="67"/>
    <x v="0"/>
    <n v="2331.9"/>
    <n v="699.57"/>
  </r>
  <r>
    <n v="99233"/>
    <d v="2024-09-08T00:00:00"/>
    <n v="842"/>
    <n v="20"/>
    <s v="Fashion"/>
    <s v="Shirt"/>
    <n v="1"/>
    <n v="273.56"/>
    <s v="Cash on Delivery"/>
    <x v="473"/>
    <m/>
    <x v="0"/>
    <n v="43"/>
    <x v="2"/>
    <n v="273.56"/>
    <n v="82.067999999999998"/>
  </r>
  <r>
    <n v="10825"/>
    <d v="2024-09-09T00:00:00"/>
    <n v="693"/>
    <n v="30"/>
    <s v="Home &amp; Living"/>
    <s v="Blanket"/>
    <n v="1"/>
    <n v="286.33999999999997"/>
    <s v="Cash on Delivery"/>
    <x v="474"/>
    <n v="5"/>
    <x v="0"/>
    <n v="63"/>
    <x v="0"/>
    <n v="286.33999999999997"/>
    <n v="85.901999999999987"/>
  </r>
  <r>
    <n v="43226"/>
    <d v="2024-09-09T00:00:00"/>
    <n v="221"/>
    <n v="10"/>
    <s v="Electronics"/>
    <s v="Headphones"/>
    <n v="1"/>
    <n v="306.52999999999997"/>
    <s v="Cash on Delivery"/>
    <x v="475"/>
    <n v="5"/>
    <x v="0"/>
    <n v="32"/>
    <x v="2"/>
    <n v="306.52999999999997"/>
    <n v="91.958999999999989"/>
  </r>
  <r>
    <n v="25370"/>
    <d v="2024-09-09T00:00:00"/>
    <n v="576"/>
    <n v="10"/>
    <s v="Electronics"/>
    <s v="Laptop"/>
    <n v="1"/>
    <n v="366.61"/>
    <s v="Cash on Delivery"/>
    <x v="476"/>
    <n v="2"/>
    <x v="1"/>
    <n v="57"/>
    <x v="1"/>
    <n v="366.61"/>
    <n v="109.983"/>
  </r>
  <r>
    <n v="10254"/>
    <d v="2024-09-10T00:00:00"/>
    <n v="318"/>
    <n v="30"/>
    <s v="Home &amp; Living"/>
    <s v="Vase"/>
    <n v="1"/>
    <n v="70.930000000000007"/>
    <s v="Cash on Delivery"/>
    <x v="477"/>
    <n v="3"/>
    <x v="0"/>
    <n v="73"/>
    <x v="0"/>
    <n v="70.930000000000007"/>
    <n v="21.279"/>
  </r>
  <r>
    <n v="29786"/>
    <d v="2024-09-10T00:00:00"/>
    <n v="749"/>
    <n v="40"/>
    <s v="Books &amp; Stationery"/>
    <s v="Notebook"/>
    <n v="3"/>
    <n v="334.67"/>
    <s v="Bank Transfer"/>
    <x v="478"/>
    <n v="5"/>
    <x v="1"/>
    <n v="23"/>
    <x v="3"/>
    <n v="1004.01"/>
    <n v="301.20299999999997"/>
  </r>
  <r>
    <n v="65102"/>
    <d v="2024-09-10T00:00:00"/>
    <n v="294"/>
    <n v="20"/>
    <s v="Fashion"/>
    <s v="Pants"/>
    <n v="1"/>
    <n v="107.09"/>
    <s v="Bank Transfer"/>
    <x v="479"/>
    <n v="3"/>
    <x v="1"/>
    <n v="52"/>
    <x v="1"/>
    <n v="107.09"/>
    <n v="32.127000000000002"/>
  </r>
  <r>
    <n v="29007"/>
    <d v="2024-09-11T00:00:00"/>
    <n v="951"/>
    <n v="50"/>
    <s v="Sports &amp; Outdoors"/>
    <s v="Soccer Ball"/>
    <n v="4"/>
    <n v="334.37"/>
    <s v="Cash on Delivery"/>
    <x v="480"/>
    <n v="5"/>
    <x v="0"/>
    <n v="24"/>
    <x v="3"/>
    <n v="1337.48"/>
    <n v="401.24399999999997"/>
  </r>
  <r>
    <n v="47725"/>
    <d v="2024-09-12T00:00:00"/>
    <n v="320"/>
    <n v="20"/>
    <s v="Fashion"/>
    <s v="Dress"/>
    <n v="3"/>
    <n v="106.66"/>
    <s v="Cash on Delivery"/>
    <x v="253"/>
    <m/>
    <x v="1"/>
    <n v="36"/>
    <x v="2"/>
    <n v="319.98"/>
    <n v="95.994"/>
  </r>
  <r>
    <n v="96162"/>
    <d v="2024-09-12T00:00:00"/>
    <n v="887"/>
    <n v="50"/>
    <s v="Sports &amp; Outdoors"/>
    <s v="Yoga Mat"/>
    <n v="5"/>
    <n v="292.95999999999998"/>
    <s v="Cash on Delivery"/>
    <x v="481"/>
    <n v="5"/>
    <x v="0"/>
    <n v="34"/>
    <x v="2"/>
    <n v="1464.8"/>
    <n v="439.44"/>
  </r>
  <r>
    <n v="92859"/>
    <d v="2024-09-12T00:00:00"/>
    <n v="727"/>
    <n v="50"/>
    <s v="Sports &amp; Outdoors"/>
    <s v="Running Shoes"/>
    <n v="3"/>
    <n v="498.35"/>
    <s v="Cash on Delivery"/>
    <x v="482"/>
    <m/>
    <x v="1"/>
    <n v="27"/>
    <x v="3"/>
    <n v="1495.0500000000002"/>
    <n v="448.51500000000004"/>
  </r>
  <r>
    <n v="29123"/>
    <d v="2024-09-12T00:00:00"/>
    <n v="506"/>
    <n v="20"/>
    <s v="Fashion"/>
    <s v="T-shirt"/>
    <n v="3"/>
    <n v="72.66"/>
    <s v="Cash on Delivery"/>
    <x v="483"/>
    <m/>
    <x v="1"/>
    <n v="39"/>
    <x v="2"/>
    <n v="217.98"/>
    <n v="65.393999999999991"/>
  </r>
  <r>
    <n v="99828"/>
    <d v="2024-09-12T00:00:00"/>
    <n v="510"/>
    <n v="40"/>
    <s v="Books &amp; Stationery"/>
    <s v="Story Book"/>
    <n v="5"/>
    <n v="427.73"/>
    <s v="Credit Card"/>
    <x v="484"/>
    <n v="3"/>
    <x v="1"/>
    <n v="72"/>
    <x v="0"/>
    <n v="2138.65"/>
    <n v="641.59500000000003"/>
  </r>
  <r>
    <n v="10486"/>
    <d v="2024-09-13T00:00:00"/>
    <n v="297"/>
    <n v="20"/>
    <s v="Fashion"/>
    <s v="Shirt"/>
    <n v="2"/>
    <n v="274.10000000000002"/>
    <s v="Cash on Delivery"/>
    <x v="485"/>
    <n v="4"/>
    <x v="1"/>
    <n v="54"/>
    <x v="1"/>
    <n v="548.20000000000005"/>
    <n v="164.46"/>
  </r>
  <r>
    <n v="55931"/>
    <d v="2024-09-13T00:00:00"/>
    <n v="431"/>
    <n v="40"/>
    <s v="Books &amp; Stationery"/>
    <s v="Pen"/>
    <n v="2"/>
    <n v="328.1"/>
    <s v="Credit Card"/>
    <x v="486"/>
    <n v="5"/>
    <x v="1"/>
    <n v="46"/>
    <x v="1"/>
    <n v="656.2"/>
    <n v="196.86"/>
  </r>
  <r>
    <n v="76854"/>
    <d v="2024-09-14T00:00:00"/>
    <n v="845"/>
    <n v="30"/>
    <s v="Home &amp; Living"/>
    <s v="Pillow"/>
    <n v="2"/>
    <n v="148.59"/>
    <s v="Bank Transfer"/>
    <x v="487"/>
    <n v="5"/>
    <x v="1"/>
    <n v="64"/>
    <x v="0"/>
    <n v="297.18"/>
    <n v="89.153999999999996"/>
  </r>
  <r>
    <n v="82077"/>
    <d v="2024-09-14T00:00:00"/>
    <n v="889"/>
    <n v="20"/>
    <s v="Fashion"/>
    <s v="Shirt"/>
    <n v="1"/>
    <n v="239.33"/>
    <s v="Credit Card"/>
    <x v="488"/>
    <n v="5"/>
    <x v="0"/>
    <n v="37"/>
    <x v="2"/>
    <n v="239.33"/>
    <n v="71.799000000000007"/>
  </r>
  <r>
    <n v="13425"/>
    <d v="2024-09-14T00:00:00"/>
    <n v="852"/>
    <n v="30"/>
    <s v="Home &amp; Living"/>
    <s v="Vase"/>
    <n v="4"/>
    <n v="409.58"/>
    <s v="Cash on Delivery"/>
    <x v="489"/>
    <n v="5"/>
    <x v="0"/>
    <n v="46"/>
    <x v="1"/>
    <n v="1638.32"/>
    <n v="491.49599999999998"/>
  </r>
  <r>
    <n v="14276"/>
    <d v="2024-09-14T00:00:00"/>
    <n v="513"/>
    <n v="50"/>
    <s v="Sports &amp; Outdoors"/>
    <s v="Yoga Mat"/>
    <n v="5"/>
    <n v="212.42"/>
    <s v="Credit Card"/>
    <x v="490"/>
    <m/>
    <x v="0"/>
    <n v="73"/>
    <x v="0"/>
    <n v="1062.0999999999999"/>
    <n v="318.62999999999994"/>
  </r>
  <r>
    <n v="60295"/>
    <d v="2024-09-14T00:00:00"/>
    <n v="636"/>
    <n v="50"/>
    <s v="Sports &amp; Outdoors"/>
    <s v="Yoga Mat"/>
    <n v="2"/>
    <n v="349.54"/>
    <s v="Credit Card"/>
    <x v="491"/>
    <n v="5"/>
    <x v="0"/>
    <n v="71"/>
    <x v="0"/>
    <n v="699.08"/>
    <n v="209.72400000000002"/>
  </r>
  <r>
    <n v="68220"/>
    <d v="2024-09-15T00:00:00"/>
    <n v="961"/>
    <n v="30"/>
    <s v="Home &amp; Living"/>
    <s v="Carpet"/>
    <n v="2"/>
    <n v="113.21"/>
    <s v="Bank Transfer"/>
    <x v="492"/>
    <n v="1"/>
    <x v="1"/>
    <n v="50"/>
    <x v="1"/>
    <n v="226.42"/>
    <n v="67.925999999999988"/>
  </r>
  <r>
    <n v="53270"/>
    <d v="2024-09-15T00:00:00"/>
    <n v="848"/>
    <n v="20"/>
    <s v="Fashion"/>
    <s v="Skirt"/>
    <n v="1"/>
    <n v="431.8"/>
    <s v="Cash on Delivery"/>
    <x v="493"/>
    <n v="4"/>
    <x v="1"/>
    <n v="65"/>
    <x v="0"/>
    <n v="431.8"/>
    <n v="129.54"/>
  </r>
  <r>
    <n v="71646"/>
    <d v="2024-09-15T00:00:00"/>
    <n v="693"/>
    <n v="30"/>
    <s v="Home &amp; Living"/>
    <s v="Blanket"/>
    <n v="2"/>
    <n v="60.33"/>
    <s v="Cash on Delivery"/>
    <x v="494"/>
    <n v="4"/>
    <x v="0"/>
    <n v="48"/>
    <x v="1"/>
    <n v="120.66"/>
    <n v="36.198"/>
  </r>
  <r>
    <n v="79047"/>
    <d v="2024-09-16T00:00:00"/>
    <n v="517"/>
    <n v="50"/>
    <s v="Sports &amp; Outdoors"/>
    <s v="Basketball"/>
    <n v="3"/>
    <n v="310.39"/>
    <s v="Bank Transfer"/>
    <x v="495"/>
    <n v="4"/>
    <x v="0"/>
    <n v="62"/>
    <x v="0"/>
    <n v="931.17"/>
    <n v="279.351"/>
  </r>
  <r>
    <n v="77178"/>
    <d v="2024-09-17T00:00:00"/>
    <n v="167"/>
    <n v="40"/>
    <s v="Books &amp; Stationery"/>
    <s v="Novel"/>
    <n v="5"/>
    <n v="126.23"/>
    <s v="Cash on Delivery"/>
    <x v="496"/>
    <n v="3"/>
    <x v="0"/>
    <n v="61"/>
    <x v="0"/>
    <n v="631.15"/>
    <n v="189.345"/>
  </r>
  <r>
    <n v="84001"/>
    <d v="2024-09-17T00:00:00"/>
    <n v="970"/>
    <n v="10"/>
    <s v="Electronics"/>
    <s v="Smartwatch"/>
    <n v="5"/>
    <n v="332.86"/>
    <s v="Credit Card"/>
    <x v="497"/>
    <n v="5"/>
    <x v="0"/>
    <n v="67"/>
    <x v="0"/>
    <n v="1664.3000000000002"/>
    <n v="499.29"/>
  </r>
  <r>
    <n v="61427"/>
    <d v="2024-09-17T00:00:00"/>
    <n v="410"/>
    <n v="10"/>
    <s v="Electronics"/>
    <s v="Laptop"/>
    <n v="4"/>
    <n v="221.54"/>
    <s v="Cash on Delivery"/>
    <x v="498"/>
    <n v="3"/>
    <x v="0"/>
    <n v="71"/>
    <x v="0"/>
    <n v="886.16"/>
    <n v="265.84799999999996"/>
  </r>
  <r>
    <n v="96418"/>
    <d v="2024-09-18T00:00:00"/>
    <n v="939"/>
    <n v="30"/>
    <s v="Home &amp; Living"/>
    <s v="Carpet"/>
    <n v="2"/>
    <n v="325.88"/>
    <s v="Bank Transfer"/>
    <x v="54"/>
    <n v="5"/>
    <x v="1"/>
    <n v="64"/>
    <x v="0"/>
    <n v="651.76"/>
    <n v="195.52799999999999"/>
  </r>
  <r>
    <n v="53004"/>
    <d v="2024-09-19T00:00:00"/>
    <n v="309"/>
    <n v="30"/>
    <s v="Home &amp; Living"/>
    <s v="Carpet"/>
    <n v="5"/>
    <n v="249.38"/>
    <s v="Credit Card"/>
    <x v="499"/>
    <m/>
    <x v="0"/>
    <n v="20"/>
    <x v="3"/>
    <n v="1246.9000000000001"/>
    <n v="374.07"/>
  </r>
  <r>
    <n v="62697"/>
    <d v="2024-09-19T00:00:00"/>
    <n v="774"/>
    <n v="10"/>
    <s v="Electronics"/>
    <s v="Headphones"/>
    <n v="2"/>
    <n v="471.12"/>
    <s v="Bank Transfer"/>
    <x v="500"/>
    <m/>
    <x v="0"/>
    <n v="25"/>
    <x v="3"/>
    <n v="942.24"/>
    <n v="282.67199999999997"/>
  </r>
  <r>
    <n v="52324"/>
    <d v="2024-09-20T00:00:00"/>
    <n v="932"/>
    <n v="20"/>
    <s v="Fashion"/>
    <s v="T-shirt"/>
    <n v="2"/>
    <n v="260.14"/>
    <s v="Credit Card"/>
    <x v="501"/>
    <n v="4"/>
    <x v="0"/>
    <n v="64"/>
    <x v="0"/>
    <n v="520.28"/>
    <n v="156.08399999999997"/>
  </r>
  <r>
    <n v="86646"/>
    <d v="2024-09-20T00:00:00"/>
    <n v="279"/>
    <n v="20"/>
    <s v="Fashion"/>
    <s v="Pants"/>
    <n v="2"/>
    <n v="397.28"/>
    <s v="Credit Card"/>
    <x v="502"/>
    <n v="3"/>
    <x v="1"/>
    <n v="55"/>
    <x v="1"/>
    <n v="794.56"/>
    <n v="238.36799999999997"/>
  </r>
  <r>
    <n v="79476"/>
    <d v="2024-09-20T00:00:00"/>
    <n v="880"/>
    <n v="50"/>
    <s v="Sports &amp; Outdoors"/>
    <s v="Basketball"/>
    <n v="4"/>
    <n v="322.58999999999997"/>
    <s v="Credit Card"/>
    <x v="503"/>
    <m/>
    <x v="0"/>
    <n v="25"/>
    <x v="3"/>
    <n v="1290.3599999999999"/>
    <n v="387.10799999999995"/>
  </r>
  <r>
    <n v="50437"/>
    <d v="2024-09-20T00:00:00"/>
    <n v="220"/>
    <n v="40"/>
    <s v="Books &amp; Stationery"/>
    <s v="Notebook"/>
    <n v="2"/>
    <n v="266.27"/>
    <s v="Cash on Delivery"/>
    <x v="504"/>
    <n v="2"/>
    <x v="0"/>
    <n v="34"/>
    <x v="2"/>
    <n v="532.54"/>
    <n v="159.76199999999997"/>
  </r>
  <r>
    <n v="15858"/>
    <d v="2024-09-20T00:00:00"/>
    <n v="626"/>
    <n v="30"/>
    <s v="Home &amp; Living"/>
    <s v="Blanket"/>
    <n v="2"/>
    <n v="213.97"/>
    <s v="Cash on Delivery"/>
    <x v="505"/>
    <n v="3"/>
    <x v="1"/>
    <n v="51"/>
    <x v="1"/>
    <n v="427.94"/>
    <n v="128.38200000000001"/>
  </r>
  <r>
    <n v="92429"/>
    <d v="2024-09-20T00:00:00"/>
    <n v="710"/>
    <n v="10"/>
    <s v="Electronics"/>
    <s v="Headphones"/>
    <n v="4"/>
    <n v="303.16000000000003"/>
    <s v="Cash on Delivery"/>
    <x v="506"/>
    <n v="4"/>
    <x v="0"/>
    <n v="50"/>
    <x v="1"/>
    <n v="1212.6400000000001"/>
    <n v="363.79200000000003"/>
  </r>
  <r>
    <n v="53811"/>
    <d v="2024-09-21T00:00:00"/>
    <n v="551"/>
    <n v="40"/>
    <s v="Books &amp; Stationery"/>
    <s v="Eraser"/>
    <n v="5"/>
    <n v="426.37"/>
    <s v="Credit Card"/>
    <x v="507"/>
    <n v="4"/>
    <x v="1"/>
    <n v="52"/>
    <x v="1"/>
    <n v="2131.85"/>
    <n v="639.55499999999995"/>
  </r>
  <r>
    <n v="78056"/>
    <d v="2024-09-21T00:00:00"/>
    <n v="313"/>
    <n v="40"/>
    <s v="Books &amp; Stationery"/>
    <s v="Pen"/>
    <n v="2"/>
    <n v="113.24"/>
    <s v="Credit Card"/>
    <x v="508"/>
    <n v="5"/>
    <x v="0"/>
    <n v="43"/>
    <x v="2"/>
    <n v="226.48"/>
    <n v="67.943999999999988"/>
  </r>
  <r>
    <n v="89576"/>
    <d v="2024-09-21T00:00:00"/>
    <n v="774"/>
    <n v="30"/>
    <s v="Home &amp; Living"/>
    <s v="Vase"/>
    <n v="3"/>
    <n v="82.53"/>
    <s v="Bank Transfer"/>
    <x v="509"/>
    <m/>
    <x v="1"/>
    <n v="26"/>
    <x v="3"/>
    <n v="247.59"/>
    <n v="74.277000000000001"/>
  </r>
  <r>
    <n v="48519"/>
    <d v="2024-09-22T00:00:00"/>
    <n v="954"/>
    <n v="30"/>
    <s v="Home &amp; Living"/>
    <s v="Pillow"/>
    <n v="4"/>
    <n v="206.28"/>
    <s v="Cash on Delivery"/>
    <x v="510"/>
    <n v="4"/>
    <x v="0"/>
    <n v="67"/>
    <x v="0"/>
    <n v="825.12"/>
    <n v="247.536"/>
  </r>
  <r>
    <n v="14108"/>
    <d v="2024-09-22T00:00:00"/>
    <n v="820"/>
    <n v="40"/>
    <s v="Books &amp; Stationery"/>
    <s v="Pen"/>
    <n v="1"/>
    <n v="357.97"/>
    <s v="Bank Transfer"/>
    <x v="511"/>
    <n v="4"/>
    <x v="0"/>
    <n v="55"/>
    <x v="1"/>
    <n v="357.97"/>
    <n v="107.39100000000001"/>
  </r>
  <r>
    <n v="96041"/>
    <d v="2024-09-22T00:00:00"/>
    <n v="595"/>
    <n v="10"/>
    <s v="Electronics"/>
    <s v="Smartphone"/>
    <n v="2"/>
    <n v="177.49"/>
    <s v="Bank Transfer"/>
    <x v="512"/>
    <m/>
    <x v="0"/>
    <n v="56"/>
    <x v="1"/>
    <n v="354.98"/>
    <n v="106.494"/>
  </r>
  <r>
    <n v="88321"/>
    <d v="2024-09-22T00:00:00"/>
    <n v="738"/>
    <n v="10"/>
    <s v="Electronics"/>
    <s v="Smartwatch"/>
    <n v="5"/>
    <n v="193.09"/>
    <s v="Bank Transfer"/>
    <x v="513"/>
    <n v="5"/>
    <x v="0"/>
    <n v="48"/>
    <x v="1"/>
    <n v="965.45"/>
    <n v="289.63499999999999"/>
  </r>
  <r>
    <n v="36855"/>
    <d v="2024-09-22T00:00:00"/>
    <n v="132"/>
    <n v="10"/>
    <s v="Electronics"/>
    <s v="Headphones"/>
    <n v="2"/>
    <n v="301.92"/>
    <s v="Cash on Delivery"/>
    <x v="514"/>
    <m/>
    <x v="1"/>
    <n v="43"/>
    <x v="2"/>
    <n v="603.84"/>
    <n v="181.15200000000002"/>
  </r>
  <r>
    <n v="32232"/>
    <d v="2024-09-23T00:00:00"/>
    <n v="476"/>
    <n v="10"/>
    <s v="Electronics"/>
    <s v="Smartphone"/>
    <n v="1"/>
    <n v="234.56"/>
    <s v="Cash on Delivery"/>
    <x v="515"/>
    <n v="5"/>
    <x v="0"/>
    <n v="55"/>
    <x v="1"/>
    <n v="234.56"/>
    <n v="70.367999999999995"/>
  </r>
  <r>
    <n v="56464"/>
    <d v="2024-09-23T00:00:00"/>
    <n v="361"/>
    <n v="20"/>
    <s v="Fashion"/>
    <s v="Dress"/>
    <n v="1"/>
    <n v="483.14"/>
    <s v="Bank Transfer"/>
    <x v="516"/>
    <n v="5"/>
    <x v="0"/>
    <n v="44"/>
    <x v="2"/>
    <n v="483.14"/>
    <n v="144.94199999999998"/>
  </r>
  <r>
    <n v="82689"/>
    <d v="2024-09-23T00:00:00"/>
    <n v="254"/>
    <n v="30"/>
    <s v="Home &amp; Living"/>
    <s v="Painting"/>
    <n v="1"/>
    <n v="169.29"/>
    <s v="Cash on Delivery"/>
    <x v="517"/>
    <n v="4"/>
    <x v="1"/>
    <n v="23"/>
    <x v="3"/>
    <n v="169.29"/>
    <n v="50.786999999999999"/>
  </r>
  <r>
    <n v="11871"/>
    <d v="2024-09-23T00:00:00"/>
    <n v="479"/>
    <n v="30"/>
    <s v="Home &amp; Living"/>
    <s v="Painting"/>
    <n v="3"/>
    <n v="258.27999999999997"/>
    <s v="Bank Transfer"/>
    <x v="518"/>
    <n v="5"/>
    <x v="0"/>
    <n v="65"/>
    <x v="0"/>
    <n v="774.83999999999992"/>
    <n v="232.45199999999997"/>
  </r>
  <r>
    <n v="26652"/>
    <d v="2024-09-24T00:00:00"/>
    <n v="952"/>
    <n v="10"/>
    <s v="Electronics"/>
    <s v="Tablet"/>
    <n v="2"/>
    <n v="480.79"/>
    <s v="Cash on Delivery"/>
    <x v="519"/>
    <n v="5"/>
    <x v="1"/>
    <n v="48"/>
    <x v="1"/>
    <n v="961.58"/>
    <n v="288.47399999999999"/>
  </r>
  <r>
    <n v="33496"/>
    <d v="2024-09-24T00:00:00"/>
    <n v="863"/>
    <n v="50"/>
    <s v="Sports &amp; Outdoors"/>
    <s v="Running Shoes"/>
    <n v="5"/>
    <n v="174.83"/>
    <s v="Bank Transfer"/>
    <x v="520"/>
    <n v="5"/>
    <x v="0"/>
    <n v="71"/>
    <x v="0"/>
    <n v="874.15000000000009"/>
    <n v="262.245"/>
  </r>
  <r>
    <n v="76010"/>
    <d v="2024-09-24T00:00:00"/>
    <n v="248"/>
    <n v="30"/>
    <s v="Home &amp; Living"/>
    <s v="Pillow"/>
    <n v="1"/>
    <n v="257.23"/>
    <s v="Credit Card"/>
    <x v="521"/>
    <m/>
    <x v="1"/>
    <n v="51"/>
    <x v="1"/>
    <n v="257.23"/>
    <n v="77.168999999999997"/>
  </r>
  <r>
    <n v="25889"/>
    <d v="2024-09-24T00:00:00"/>
    <n v="507"/>
    <n v="20"/>
    <s v="Fashion"/>
    <s v="Skirt"/>
    <n v="4"/>
    <n v="255.89"/>
    <s v="Cash on Delivery"/>
    <x v="522"/>
    <n v="5"/>
    <x v="1"/>
    <n v="51"/>
    <x v="1"/>
    <n v="1023.56"/>
    <n v="307.06799999999998"/>
  </r>
  <r>
    <n v="42185"/>
    <d v="2024-09-24T00:00:00"/>
    <n v="615"/>
    <n v="50"/>
    <s v="Sports &amp; Outdoors"/>
    <s v="Soccer Ball"/>
    <n v="2"/>
    <n v="86.15"/>
    <s v="Credit Card"/>
    <x v="523"/>
    <n v="4"/>
    <x v="0"/>
    <n v="35"/>
    <x v="2"/>
    <n v="172.3"/>
    <n v="51.690000000000005"/>
  </r>
  <r>
    <n v="94503"/>
    <d v="2024-09-24T00:00:00"/>
    <n v="874"/>
    <n v="30"/>
    <s v="Home &amp; Living"/>
    <s v="Carpet"/>
    <n v="2"/>
    <n v="62.01"/>
    <s v="Cash on Delivery"/>
    <x v="524"/>
    <n v="3"/>
    <x v="0"/>
    <n v="68"/>
    <x v="0"/>
    <n v="124.02"/>
    <n v="37.205999999999996"/>
  </r>
  <r>
    <n v="50575"/>
    <d v="2024-09-24T00:00:00"/>
    <n v="107"/>
    <n v="50"/>
    <s v="Sports &amp; Outdoors"/>
    <s v="Basketball"/>
    <n v="4"/>
    <n v="225.83"/>
    <s v="Credit Card"/>
    <x v="525"/>
    <m/>
    <x v="0"/>
    <n v="29"/>
    <x v="3"/>
    <n v="903.32"/>
    <n v="270.99599999999998"/>
  </r>
  <r>
    <n v="99887"/>
    <d v="2024-09-24T00:00:00"/>
    <n v="237"/>
    <n v="50"/>
    <s v="Sports &amp; Outdoors"/>
    <s v="Running Shoes"/>
    <n v="1"/>
    <n v="101.82"/>
    <s v="Credit Card"/>
    <x v="526"/>
    <n v="5"/>
    <x v="1"/>
    <n v="50"/>
    <x v="1"/>
    <n v="101.82"/>
    <n v="30.545999999999996"/>
  </r>
  <r>
    <n v="96195"/>
    <d v="2024-09-25T00:00:00"/>
    <n v="975"/>
    <n v="30"/>
    <s v="Home &amp; Living"/>
    <s v="Carpet"/>
    <n v="4"/>
    <n v="196.7"/>
    <s v="Cash on Delivery"/>
    <x v="209"/>
    <n v="5"/>
    <x v="0"/>
    <n v="27"/>
    <x v="3"/>
    <n v="786.8"/>
    <n v="236.03999999999996"/>
  </r>
  <r>
    <n v="27766"/>
    <d v="2024-09-25T00:00:00"/>
    <n v="257"/>
    <n v="30"/>
    <s v="Home &amp; Living"/>
    <s v="Vase"/>
    <n v="5"/>
    <n v="154.72"/>
    <s v="Credit Card"/>
    <x v="527"/>
    <n v="4"/>
    <x v="2"/>
    <n v="39"/>
    <x v="2"/>
    <n v="773.6"/>
    <n v="232.07999999999998"/>
  </r>
  <r>
    <n v="36373"/>
    <d v="2024-09-25T00:00:00"/>
    <n v="901"/>
    <n v="50"/>
    <s v="Sports &amp; Outdoors"/>
    <s v="Basketball"/>
    <n v="1"/>
    <n v="101.9"/>
    <s v="Bank Transfer"/>
    <x v="528"/>
    <n v="1"/>
    <x v="1"/>
    <n v="50"/>
    <x v="1"/>
    <n v="101.9"/>
    <n v="30.57"/>
  </r>
  <r>
    <n v="71005"/>
    <d v="2024-09-26T00:00:00"/>
    <n v="203"/>
    <n v="10"/>
    <s v="Electronics"/>
    <s v="Headphones"/>
    <n v="3"/>
    <n v="129.35"/>
    <s v="Credit Card"/>
    <x v="529"/>
    <n v="5"/>
    <x v="0"/>
    <n v="28"/>
    <x v="3"/>
    <n v="388.04999999999995"/>
    <n v="116.41499999999998"/>
  </r>
  <r>
    <n v="53474"/>
    <d v="2024-09-26T00:00:00"/>
    <n v="892"/>
    <n v="40"/>
    <s v="Books &amp; Stationery"/>
    <s v="Eraser"/>
    <n v="5"/>
    <n v="280.14999999999998"/>
    <s v="Bank Transfer"/>
    <x v="530"/>
    <m/>
    <x v="1"/>
    <n v="44"/>
    <x v="2"/>
    <n v="1400.75"/>
    <n v="420.22499999999997"/>
  </r>
  <r>
    <n v="54306"/>
    <d v="2024-09-26T00:00:00"/>
    <n v="409"/>
    <n v="50"/>
    <s v="Sports &amp; Outdoors"/>
    <s v="Running Shoes"/>
    <n v="1"/>
    <n v="333.66"/>
    <s v="Cash on Delivery"/>
    <x v="531"/>
    <m/>
    <x v="0"/>
    <n v="39"/>
    <x v="2"/>
    <n v="333.66"/>
    <n v="100.098"/>
  </r>
  <r>
    <n v="77823"/>
    <d v="2024-09-27T00:00:00"/>
    <n v="994"/>
    <n v="10"/>
    <s v="Electronics"/>
    <s v="Smartphone"/>
    <n v="5"/>
    <n v="475.31"/>
    <s v="Credit Card"/>
    <x v="532"/>
    <n v="5"/>
    <x v="1"/>
    <n v="34"/>
    <x v="2"/>
    <n v="2376.5500000000002"/>
    <n v="712.96500000000003"/>
  </r>
  <r>
    <n v="91463"/>
    <d v="2024-09-27T00:00:00"/>
    <n v="110"/>
    <n v="20"/>
    <s v="Fashion"/>
    <s v="Pants"/>
    <n v="5"/>
    <n v="418.71"/>
    <s v="Bank Transfer"/>
    <x v="533"/>
    <n v="3"/>
    <x v="1"/>
    <n v="66"/>
    <x v="0"/>
    <n v="2093.5499999999997"/>
    <n v="628.06499999999994"/>
  </r>
  <r>
    <n v="11101"/>
    <d v="2024-09-27T00:00:00"/>
    <n v="750"/>
    <n v="50"/>
    <s v="Sports &amp; Outdoors"/>
    <s v="Soccer Ball"/>
    <n v="5"/>
    <n v="96.94"/>
    <s v="Cash on Delivery"/>
    <x v="534"/>
    <n v="4"/>
    <x v="1"/>
    <n v="22"/>
    <x v="3"/>
    <n v="484.7"/>
    <n v="145.41"/>
  </r>
  <r>
    <n v="48803"/>
    <d v="2024-09-27T00:00:00"/>
    <n v="285"/>
    <n v="30"/>
    <s v="Home &amp; Living"/>
    <s v="Painting"/>
    <n v="1"/>
    <n v="481.21"/>
    <s v="Bank Transfer"/>
    <x v="535"/>
    <n v="5"/>
    <x v="0"/>
    <n v="31"/>
    <x v="2"/>
    <n v="481.21"/>
    <n v="144.363"/>
  </r>
  <r>
    <n v="96862"/>
    <d v="2024-09-28T00:00:00"/>
    <n v="146"/>
    <n v="40"/>
    <s v="Books &amp; Stationery"/>
    <s v="Notebook"/>
    <n v="5"/>
    <n v="457.21"/>
    <s v="Cash on Delivery"/>
    <x v="536"/>
    <n v="3"/>
    <x v="0"/>
    <n v="29"/>
    <x v="3"/>
    <n v="2286.0499999999997"/>
    <n v="685.81499999999994"/>
  </r>
  <r>
    <n v="13992"/>
    <d v="2024-09-28T00:00:00"/>
    <n v="375"/>
    <n v="40"/>
    <s v="Books &amp; Stationery"/>
    <s v="Eraser"/>
    <n v="5"/>
    <n v="25.87"/>
    <s v="Cash on Delivery"/>
    <x v="537"/>
    <n v="3"/>
    <x v="1"/>
    <n v="40"/>
    <x v="2"/>
    <n v="129.35"/>
    <n v="38.805"/>
  </r>
  <r>
    <n v="82756"/>
    <d v="2024-09-28T00:00:00"/>
    <n v="597"/>
    <n v="10"/>
    <s v="Electronics"/>
    <s v="Tablet"/>
    <n v="3"/>
    <n v="445.82"/>
    <s v="Cash on Delivery"/>
    <x v="538"/>
    <m/>
    <x v="1"/>
    <n v="73"/>
    <x v="0"/>
    <n v="1337.46"/>
    <n v="401.238"/>
  </r>
  <r>
    <n v="47637"/>
    <d v="2024-09-28T00:00:00"/>
    <n v="197"/>
    <n v="40"/>
    <s v="Books &amp; Stationery"/>
    <s v="Eraser"/>
    <n v="2"/>
    <n v="484.93"/>
    <s v="Cash on Delivery"/>
    <x v="539"/>
    <m/>
    <x v="1"/>
    <n v="42"/>
    <x v="2"/>
    <n v="969.86"/>
    <n v="290.95799999999997"/>
  </r>
  <r>
    <n v="32168"/>
    <d v="2024-09-29T00:00:00"/>
    <n v="896"/>
    <n v="30"/>
    <s v="Home &amp; Living"/>
    <s v="Painting"/>
    <n v="4"/>
    <n v="479.12"/>
    <s v="Credit Card"/>
    <x v="540"/>
    <n v="4"/>
    <x v="1"/>
    <n v="39"/>
    <x v="2"/>
    <n v="1916.48"/>
    <n v="574.94399999999996"/>
  </r>
  <r>
    <n v="42739"/>
    <d v="2024-09-29T00:00:00"/>
    <n v="149"/>
    <n v="10"/>
    <s v="Electronics"/>
    <s v="Laptop"/>
    <n v="5"/>
    <n v="486.9"/>
    <s v="Credit Card"/>
    <x v="541"/>
    <n v="5"/>
    <x v="0"/>
    <n v="43"/>
    <x v="2"/>
    <n v="2434.5"/>
    <n v="730.35"/>
  </r>
  <r>
    <n v="12945"/>
    <d v="2024-09-30T00:00:00"/>
    <n v="798"/>
    <n v="50"/>
    <s v="Sports &amp; Outdoors"/>
    <s v="Soccer Ball"/>
    <n v="5"/>
    <n v="194.83"/>
    <s v="Bank Transfer"/>
    <x v="542"/>
    <n v="2"/>
    <x v="0"/>
    <n v="42"/>
    <x v="2"/>
    <n v="974.15000000000009"/>
    <n v="292.245"/>
  </r>
  <r>
    <n v="93329"/>
    <d v="2024-10-01T00:00:00"/>
    <n v="775"/>
    <n v="10"/>
    <s v="Electronics"/>
    <s v="Smartwatch"/>
    <n v="4"/>
    <n v="460.38"/>
    <s v="Credit Card"/>
    <x v="543"/>
    <n v="1"/>
    <x v="1"/>
    <n v="44"/>
    <x v="2"/>
    <n v="1841.52"/>
    <n v="552.45600000000002"/>
  </r>
  <r>
    <n v="39413"/>
    <d v="2024-10-01T00:00:00"/>
    <n v="362"/>
    <n v="20"/>
    <s v="Fashion"/>
    <s v="Pants"/>
    <n v="2"/>
    <n v="327.22000000000003"/>
    <s v="Cash on Delivery"/>
    <x v="544"/>
    <n v="1"/>
    <x v="1"/>
    <n v="23"/>
    <x v="3"/>
    <n v="654.44000000000005"/>
    <n v="196.33200000000002"/>
  </r>
  <r>
    <n v="39267"/>
    <d v="2024-10-02T00:00:00"/>
    <n v="399"/>
    <n v="10"/>
    <s v="Electronics"/>
    <s v="Smartwatch"/>
    <n v="3"/>
    <n v="153.15"/>
    <s v="Credit Card"/>
    <x v="545"/>
    <n v="5"/>
    <x v="1"/>
    <n v="74"/>
    <x v="0"/>
    <n v="459.45000000000005"/>
    <n v="137.83500000000001"/>
  </r>
  <r>
    <n v="50538"/>
    <d v="2024-10-02T00:00:00"/>
    <n v="868"/>
    <n v="40"/>
    <s v="Books &amp; Stationery"/>
    <s v="Eraser"/>
    <n v="2"/>
    <n v="246.64"/>
    <s v="Cash on Delivery"/>
    <x v="546"/>
    <n v="5"/>
    <x v="2"/>
    <n v="33"/>
    <x v="2"/>
    <n v="493.28"/>
    <n v="147.98399999999998"/>
  </r>
  <r>
    <n v="11363"/>
    <d v="2024-10-02T00:00:00"/>
    <n v="816"/>
    <n v="10"/>
    <s v="Electronics"/>
    <s v="Smartwatch"/>
    <n v="3"/>
    <n v="81.96"/>
    <s v="Credit Card"/>
    <x v="547"/>
    <n v="2"/>
    <x v="0"/>
    <n v="63"/>
    <x v="0"/>
    <n v="245.88"/>
    <n v="73.763999999999996"/>
  </r>
  <r>
    <n v="71713"/>
    <d v="2024-10-03T00:00:00"/>
    <n v="819"/>
    <n v="30"/>
    <s v="Home &amp; Living"/>
    <s v="Carpet"/>
    <n v="3"/>
    <n v="467.51"/>
    <s v="Cash on Delivery"/>
    <x v="548"/>
    <n v="2"/>
    <x v="0"/>
    <n v="50"/>
    <x v="1"/>
    <n v="1402.53"/>
    <n v="420.75899999999996"/>
  </r>
  <r>
    <n v="99315"/>
    <d v="2024-10-03T00:00:00"/>
    <n v="618"/>
    <n v="30"/>
    <s v="Home &amp; Living"/>
    <s v="Painting"/>
    <n v="3"/>
    <n v="413.52"/>
    <s v="Cash on Delivery"/>
    <x v="549"/>
    <n v="3"/>
    <x v="2"/>
    <n v="39"/>
    <x v="2"/>
    <n v="1240.56"/>
    <n v="372.16799999999995"/>
  </r>
  <r>
    <n v="87467"/>
    <d v="2024-10-05T00:00:00"/>
    <n v="199"/>
    <n v="20"/>
    <s v="Fashion"/>
    <s v="Skirt"/>
    <n v="4"/>
    <n v="53.77"/>
    <s v="Credit Card"/>
    <x v="550"/>
    <m/>
    <x v="0"/>
    <n v="38"/>
    <x v="2"/>
    <n v="215.08"/>
    <n v="64.524000000000001"/>
  </r>
  <r>
    <n v="42912"/>
    <d v="2024-10-05T00:00:00"/>
    <n v="811"/>
    <n v="40"/>
    <s v="Books &amp; Stationery"/>
    <s v="Novel"/>
    <n v="5"/>
    <n v="60.3"/>
    <s v="Bank Transfer"/>
    <x v="551"/>
    <m/>
    <x v="1"/>
    <n v="21"/>
    <x v="3"/>
    <n v="301.5"/>
    <n v="90.45"/>
  </r>
  <r>
    <n v="55540"/>
    <d v="2024-10-06T00:00:00"/>
    <n v="424"/>
    <n v="10"/>
    <s v="Electronics"/>
    <s v="Tablet"/>
    <n v="4"/>
    <n v="225.09"/>
    <s v="Cash on Delivery"/>
    <x v="552"/>
    <n v="1"/>
    <x v="1"/>
    <n v="23"/>
    <x v="3"/>
    <n v="900.36"/>
    <n v="270.108"/>
  </r>
  <r>
    <n v="57116"/>
    <d v="2024-10-06T00:00:00"/>
    <n v="319"/>
    <n v="20"/>
    <s v="Fashion"/>
    <s v="Pants"/>
    <n v="5"/>
    <n v="11.73"/>
    <s v="Bank Transfer"/>
    <x v="553"/>
    <m/>
    <x v="1"/>
    <n v="60"/>
    <x v="1"/>
    <n v="58.650000000000006"/>
    <n v="17.595000000000002"/>
  </r>
  <r>
    <n v="37972"/>
    <d v="2024-10-07T00:00:00"/>
    <n v="603"/>
    <n v="50"/>
    <s v="Sports &amp; Outdoors"/>
    <s v="Basketball"/>
    <n v="4"/>
    <n v="316.74"/>
    <s v="Bank Transfer"/>
    <x v="554"/>
    <n v="4"/>
    <x v="0"/>
    <n v="53"/>
    <x v="1"/>
    <n v="1266.96"/>
    <n v="380.08800000000002"/>
  </r>
  <r>
    <n v="74049"/>
    <d v="2024-10-07T00:00:00"/>
    <n v="354"/>
    <n v="10"/>
    <s v="Electronics"/>
    <s v="Laptop"/>
    <n v="5"/>
    <n v="292.08999999999997"/>
    <s v="Bank Transfer"/>
    <x v="555"/>
    <n v="3"/>
    <x v="1"/>
    <n v="46"/>
    <x v="1"/>
    <n v="1460.4499999999998"/>
    <n v="438.13499999999993"/>
  </r>
  <r>
    <n v="65579"/>
    <d v="2024-10-07T00:00:00"/>
    <n v="533"/>
    <n v="10"/>
    <s v="Electronics"/>
    <s v="Smartwatch"/>
    <n v="1"/>
    <n v="142.29"/>
    <s v="Cash on Delivery"/>
    <x v="556"/>
    <n v="5"/>
    <x v="0"/>
    <n v="63"/>
    <x v="0"/>
    <n v="142.29"/>
    <n v="42.686999999999998"/>
  </r>
  <r>
    <n v="26457"/>
    <d v="2024-10-07T00:00:00"/>
    <n v="279"/>
    <n v="30"/>
    <s v="Home &amp; Living"/>
    <s v="Pillow"/>
    <n v="5"/>
    <n v="456.55"/>
    <s v="Bank Transfer"/>
    <x v="557"/>
    <n v="4"/>
    <x v="1"/>
    <n v="60"/>
    <x v="1"/>
    <n v="2282.75"/>
    <n v="684.82499999999993"/>
  </r>
  <r>
    <n v="75854"/>
    <d v="2024-10-08T00:00:00"/>
    <n v="783"/>
    <n v="50"/>
    <s v="Sports &amp; Outdoors"/>
    <s v="Running Shoes"/>
    <n v="3"/>
    <n v="454.2"/>
    <s v="Cash on Delivery"/>
    <x v="558"/>
    <n v="3"/>
    <x v="0"/>
    <n v="19"/>
    <x v="3"/>
    <n v="1362.6"/>
    <n v="408.78"/>
  </r>
  <r>
    <n v="25229"/>
    <d v="2024-10-09T00:00:00"/>
    <n v="644"/>
    <n v="30"/>
    <s v="Home &amp; Living"/>
    <s v="Blanket"/>
    <n v="2"/>
    <n v="157.56"/>
    <s v="Credit Card"/>
    <x v="559"/>
    <n v="1"/>
    <x v="1"/>
    <n v="27"/>
    <x v="3"/>
    <n v="315.12"/>
    <n v="94.536000000000001"/>
  </r>
  <r>
    <n v="97829"/>
    <d v="2024-10-09T00:00:00"/>
    <n v="640"/>
    <n v="30"/>
    <s v="Home &amp; Living"/>
    <s v="Pillow"/>
    <n v="5"/>
    <n v="143.03"/>
    <s v="Credit Card"/>
    <x v="560"/>
    <n v="4"/>
    <x v="0"/>
    <n v="38"/>
    <x v="2"/>
    <n v="715.15"/>
    <n v="214.54499999999999"/>
  </r>
  <r>
    <n v="77150"/>
    <d v="2024-10-10T00:00:00"/>
    <n v="371"/>
    <n v="30"/>
    <s v="Home &amp; Living"/>
    <s v="Blanket"/>
    <n v="4"/>
    <n v="476.07"/>
    <s v="Bank Transfer"/>
    <x v="561"/>
    <n v="5"/>
    <x v="1"/>
    <n v="69"/>
    <x v="0"/>
    <n v="1904.28"/>
    <n v="571.28399999999999"/>
  </r>
  <r>
    <n v="38807"/>
    <d v="2024-10-11T00:00:00"/>
    <n v="756"/>
    <n v="30"/>
    <s v="Home &amp; Living"/>
    <s v="Blanket"/>
    <n v="4"/>
    <n v="90.79"/>
    <s v="Bank Transfer"/>
    <x v="562"/>
    <m/>
    <x v="0"/>
    <n v="63"/>
    <x v="0"/>
    <n v="363.16"/>
    <n v="108.94800000000001"/>
  </r>
  <r>
    <n v="35246"/>
    <d v="2024-10-11T00:00:00"/>
    <n v="209"/>
    <n v="10"/>
    <s v="Electronics"/>
    <s v="Laptop"/>
    <n v="3"/>
    <n v="152.68"/>
    <s v="Bank Transfer"/>
    <x v="563"/>
    <n v="5"/>
    <x v="1"/>
    <n v="46"/>
    <x v="1"/>
    <n v="458.04"/>
    <n v="137.41200000000001"/>
  </r>
  <r>
    <n v="48366"/>
    <d v="2024-10-12T00:00:00"/>
    <n v="292"/>
    <n v="10"/>
    <s v="Electronics"/>
    <s v="Smartwatch"/>
    <n v="3"/>
    <n v="327.3"/>
    <s v="Credit Card"/>
    <x v="564"/>
    <n v="5"/>
    <x v="1"/>
    <n v="48"/>
    <x v="1"/>
    <n v="981.90000000000009"/>
    <n v="294.57"/>
  </r>
  <r>
    <n v="89076"/>
    <d v="2024-10-12T00:00:00"/>
    <n v="967"/>
    <n v="40"/>
    <s v="Books &amp; Stationery"/>
    <s v="Eraser"/>
    <n v="3"/>
    <n v="94.54"/>
    <s v="Cash on Delivery"/>
    <x v="565"/>
    <n v="5"/>
    <x v="0"/>
    <n v="69"/>
    <x v="0"/>
    <n v="283.62"/>
    <n v="85.085999999999999"/>
  </r>
  <r>
    <n v="95344"/>
    <d v="2024-10-12T00:00:00"/>
    <n v="551"/>
    <n v="20"/>
    <s v="Fashion"/>
    <s v="Pants"/>
    <n v="3"/>
    <n v="360.32"/>
    <s v="Cash on Delivery"/>
    <x v="566"/>
    <n v="3"/>
    <x v="0"/>
    <n v="61"/>
    <x v="0"/>
    <n v="1080.96"/>
    <n v="324.28800000000001"/>
  </r>
  <r>
    <n v="70476"/>
    <d v="2024-10-13T00:00:00"/>
    <n v="883"/>
    <n v="30"/>
    <s v="Home &amp; Living"/>
    <s v="Pillow"/>
    <n v="1"/>
    <n v="489.19"/>
    <s v="Cash on Delivery"/>
    <x v="567"/>
    <n v="3"/>
    <x v="0"/>
    <n v="32"/>
    <x v="2"/>
    <n v="489.19"/>
    <n v="146.75700000000001"/>
  </r>
  <r>
    <n v="32206"/>
    <d v="2024-10-13T00:00:00"/>
    <n v="400"/>
    <n v="50"/>
    <s v="Sports &amp; Outdoors"/>
    <s v="Running Shoes"/>
    <n v="4"/>
    <n v="40.78"/>
    <s v="Bank Transfer"/>
    <x v="568"/>
    <n v="4"/>
    <x v="0"/>
    <n v="28"/>
    <x v="3"/>
    <n v="163.12"/>
    <n v="48.936"/>
  </r>
  <r>
    <n v="74278"/>
    <d v="2024-10-13T00:00:00"/>
    <n v="225"/>
    <n v="50"/>
    <s v="Sports &amp; Outdoors"/>
    <s v="Tent"/>
    <n v="1"/>
    <n v="304"/>
    <s v="Cash on Delivery"/>
    <x v="569"/>
    <n v="2"/>
    <x v="2"/>
    <n v="24"/>
    <x v="3"/>
    <n v="304"/>
    <n v="91.2"/>
  </r>
  <r>
    <n v="92929"/>
    <d v="2024-10-13T00:00:00"/>
    <n v="716"/>
    <n v="40"/>
    <s v="Books &amp; Stationery"/>
    <s v="Story Book"/>
    <n v="2"/>
    <n v="55.07"/>
    <s v="Bank Transfer"/>
    <x v="570"/>
    <m/>
    <x v="2"/>
    <n v="44"/>
    <x v="2"/>
    <n v="110.14"/>
    <n v="33.042000000000002"/>
  </r>
  <r>
    <n v="74233"/>
    <d v="2024-10-13T00:00:00"/>
    <n v="750"/>
    <n v="50"/>
    <s v="Sports &amp; Outdoors"/>
    <s v="Basketball"/>
    <n v="2"/>
    <n v="103.2"/>
    <s v="Bank Transfer"/>
    <x v="571"/>
    <n v="5"/>
    <x v="1"/>
    <n v="60"/>
    <x v="1"/>
    <n v="206.4"/>
    <n v="61.92"/>
  </r>
  <r>
    <n v="46001"/>
    <d v="2024-10-14T00:00:00"/>
    <n v="661"/>
    <n v="50"/>
    <s v="Sports &amp; Outdoors"/>
    <s v="Running Shoes"/>
    <n v="1"/>
    <n v="297.8"/>
    <s v="Cash on Delivery"/>
    <x v="572"/>
    <m/>
    <x v="0"/>
    <n v="40"/>
    <x v="2"/>
    <n v="297.8"/>
    <n v="89.34"/>
  </r>
  <r>
    <n v="10201"/>
    <d v="2024-10-14T00:00:00"/>
    <n v="455"/>
    <n v="10"/>
    <s v="Electronics"/>
    <s v="Smartphone"/>
    <n v="4"/>
    <n v="156.21"/>
    <s v="Cash on Delivery"/>
    <x v="573"/>
    <m/>
    <x v="2"/>
    <n v="23"/>
    <x v="3"/>
    <n v="624.84"/>
    <n v="187.452"/>
  </r>
  <r>
    <n v="62444"/>
    <d v="2024-10-14T00:00:00"/>
    <n v="222"/>
    <n v="10"/>
    <s v="Electronics"/>
    <s v="Headphones"/>
    <n v="3"/>
    <n v="352.35"/>
    <s v="Cash on Delivery"/>
    <x v="574"/>
    <n v="5"/>
    <x v="0"/>
    <n v="70"/>
    <x v="0"/>
    <n v="1057.0500000000002"/>
    <n v="317.11500000000007"/>
  </r>
  <r>
    <n v="45241"/>
    <d v="2024-10-14T00:00:00"/>
    <n v="448"/>
    <n v="40"/>
    <s v="Books &amp; Stationery"/>
    <s v="Eraser"/>
    <n v="5"/>
    <n v="141.47"/>
    <s v="Cash on Delivery"/>
    <x v="575"/>
    <m/>
    <x v="1"/>
    <n v="29"/>
    <x v="3"/>
    <n v="707.35"/>
    <n v="212.20500000000001"/>
  </r>
  <r>
    <n v="59266"/>
    <d v="2024-10-14T00:00:00"/>
    <n v="405"/>
    <n v="10"/>
    <s v="Electronics"/>
    <s v="Laptop"/>
    <n v="2"/>
    <n v="486.1"/>
    <s v="Cash on Delivery"/>
    <x v="576"/>
    <n v="4"/>
    <x v="1"/>
    <n v="63"/>
    <x v="0"/>
    <n v="972.2"/>
    <n v="291.66000000000003"/>
  </r>
  <r>
    <n v="50842"/>
    <d v="2024-10-14T00:00:00"/>
    <n v="300"/>
    <n v="50"/>
    <s v="Sports &amp; Outdoors"/>
    <s v="Running Shoes"/>
    <n v="3"/>
    <n v="266.5"/>
    <s v="Cash on Delivery"/>
    <x v="577"/>
    <n v="4"/>
    <x v="2"/>
    <n v="58"/>
    <x v="1"/>
    <n v="799.5"/>
    <n v="239.85"/>
  </r>
  <r>
    <n v="92632"/>
    <d v="2024-10-15T00:00:00"/>
    <n v="712"/>
    <n v="50"/>
    <s v="Sports &amp; Outdoors"/>
    <s v="Soccer Ball"/>
    <n v="3"/>
    <n v="218.49"/>
    <s v="Bank Transfer"/>
    <x v="578"/>
    <n v="4"/>
    <x v="0"/>
    <n v="26"/>
    <x v="3"/>
    <n v="655.47"/>
    <n v="196.64099999999999"/>
  </r>
  <r>
    <n v="45508"/>
    <d v="2024-10-15T00:00:00"/>
    <n v="300"/>
    <n v="50"/>
    <s v="Sports &amp; Outdoors"/>
    <s v="Soccer Ball"/>
    <n v="3"/>
    <n v="452.9"/>
    <s v="Bank Transfer"/>
    <x v="579"/>
    <n v="5"/>
    <x v="1"/>
    <n v="53"/>
    <x v="1"/>
    <n v="1358.6999999999998"/>
    <n v="407.60999999999996"/>
  </r>
  <r>
    <n v="24025"/>
    <d v="2024-10-16T00:00:00"/>
    <n v="761"/>
    <n v="10"/>
    <s v="Electronics"/>
    <s v="Laptop"/>
    <n v="5"/>
    <n v="62.46"/>
    <s v="Credit Card"/>
    <x v="580"/>
    <m/>
    <x v="1"/>
    <n v="54"/>
    <x v="1"/>
    <n v="312.3"/>
    <n v="93.69"/>
  </r>
  <r>
    <n v="36922"/>
    <d v="2024-10-17T00:00:00"/>
    <n v="226"/>
    <n v="20"/>
    <s v="Fashion"/>
    <s v="Dress"/>
    <n v="1"/>
    <n v="254.46"/>
    <s v="Cash on Delivery"/>
    <x v="581"/>
    <n v="4"/>
    <x v="0"/>
    <n v="75"/>
    <x v="0"/>
    <n v="254.46"/>
    <n v="76.337999999999994"/>
  </r>
  <r>
    <n v="79537"/>
    <d v="2024-10-18T00:00:00"/>
    <n v="858"/>
    <n v="40"/>
    <s v="Books &amp; Stationery"/>
    <s v="Story Book"/>
    <n v="5"/>
    <n v="374.39"/>
    <s v="Bank Transfer"/>
    <x v="582"/>
    <n v="4"/>
    <x v="1"/>
    <n v="30"/>
    <x v="3"/>
    <n v="1871.9499999999998"/>
    <n v="561.58499999999992"/>
  </r>
  <r>
    <n v="79379"/>
    <d v="2024-10-18T00:00:00"/>
    <n v="411"/>
    <n v="30"/>
    <s v="Home &amp; Living"/>
    <s v="Carpet"/>
    <n v="5"/>
    <n v="245.38"/>
    <s v="Cash on Delivery"/>
    <x v="396"/>
    <n v="5"/>
    <x v="1"/>
    <n v="54"/>
    <x v="1"/>
    <n v="1226.9000000000001"/>
    <n v="368.07"/>
  </r>
  <r>
    <n v="50142"/>
    <d v="2024-10-18T00:00:00"/>
    <n v="347"/>
    <n v="20"/>
    <s v="Fashion"/>
    <s v="Dress"/>
    <n v="2"/>
    <n v="150.51"/>
    <s v="Cash on Delivery"/>
    <x v="583"/>
    <m/>
    <x v="2"/>
    <n v="18"/>
    <x v="3"/>
    <n v="301.02"/>
    <n v="90.305999999999997"/>
  </r>
  <r>
    <n v="21473"/>
    <d v="2024-10-19T00:00:00"/>
    <n v="369"/>
    <n v="20"/>
    <s v="Fashion"/>
    <s v="Pants"/>
    <n v="2"/>
    <n v="343.37"/>
    <s v="Cash on Delivery"/>
    <x v="584"/>
    <n v="5"/>
    <x v="0"/>
    <n v="56"/>
    <x v="1"/>
    <n v="686.74"/>
    <n v="206.02199999999999"/>
  </r>
  <r>
    <n v="57449"/>
    <d v="2024-10-20T00:00:00"/>
    <n v="247"/>
    <n v="10"/>
    <s v="Electronics"/>
    <s v="Smartphone"/>
    <n v="5"/>
    <n v="37.520000000000003"/>
    <s v="Cash on Delivery"/>
    <x v="585"/>
    <n v="1"/>
    <x v="1"/>
    <n v="32"/>
    <x v="2"/>
    <n v="187.60000000000002"/>
    <n v="56.280000000000008"/>
  </r>
  <r>
    <n v="50447"/>
    <d v="2024-10-21T00:00:00"/>
    <n v="910"/>
    <n v="40"/>
    <s v="Books &amp; Stationery"/>
    <s v="Notebook"/>
    <n v="3"/>
    <n v="167.32"/>
    <s v="Credit Card"/>
    <x v="586"/>
    <n v="5"/>
    <x v="0"/>
    <n v="22"/>
    <x v="3"/>
    <n v="501.96"/>
    <n v="150.58799999999999"/>
  </r>
  <r>
    <n v="17277"/>
    <d v="2024-10-21T00:00:00"/>
    <n v="157"/>
    <n v="20"/>
    <s v="Fashion"/>
    <s v="Skirt"/>
    <n v="4"/>
    <n v="22.26"/>
    <s v="Cash on Delivery"/>
    <x v="587"/>
    <n v="3"/>
    <x v="1"/>
    <n v="70"/>
    <x v="0"/>
    <n v="89.04"/>
    <n v="26.712"/>
  </r>
  <r>
    <n v="80473"/>
    <d v="2024-10-21T00:00:00"/>
    <n v="317"/>
    <n v="30"/>
    <s v="Home &amp; Living"/>
    <s v="Pillow"/>
    <n v="2"/>
    <n v="97.45"/>
    <s v="Cash on Delivery"/>
    <x v="588"/>
    <n v="3"/>
    <x v="0"/>
    <n v="44"/>
    <x v="2"/>
    <n v="194.9"/>
    <n v="58.47"/>
  </r>
  <r>
    <n v="96551"/>
    <d v="2024-10-21T00:00:00"/>
    <n v="526"/>
    <n v="30"/>
    <s v="Home &amp; Living"/>
    <s v="Painting"/>
    <n v="2"/>
    <n v="19.72"/>
    <s v="Credit Card"/>
    <x v="589"/>
    <n v="3"/>
    <x v="1"/>
    <n v="25"/>
    <x v="3"/>
    <n v="39.44"/>
    <n v="11.831999999999999"/>
  </r>
  <r>
    <n v="19510"/>
    <d v="2024-10-21T00:00:00"/>
    <n v="648"/>
    <n v="20"/>
    <s v="Fashion"/>
    <s v="Dress"/>
    <n v="4"/>
    <n v="296.5"/>
    <s v="Bank Transfer"/>
    <x v="590"/>
    <n v="5"/>
    <x v="0"/>
    <n v="25"/>
    <x v="3"/>
    <n v="1186"/>
    <n v="355.8"/>
  </r>
  <r>
    <n v="20938"/>
    <d v="2024-10-22T00:00:00"/>
    <n v="478"/>
    <n v="40"/>
    <s v="Books &amp; Stationery"/>
    <s v="Notebook"/>
    <n v="1"/>
    <n v="84.68"/>
    <s v="Bank Transfer"/>
    <x v="591"/>
    <n v="1"/>
    <x v="1"/>
    <n v="40"/>
    <x v="2"/>
    <n v="84.68"/>
    <n v="25.404"/>
  </r>
  <r>
    <n v="45637"/>
    <d v="2024-10-22T00:00:00"/>
    <n v="961"/>
    <n v="30"/>
    <s v="Home &amp; Living"/>
    <s v="Painting"/>
    <n v="3"/>
    <n v="228.55"/>
    <s v="Credit Card"/>
    <x v="592"/>
    <m/>
    <x v="1"/>
    <n v="62"/>
    <x v="0"/>
    <n v="685.65000000000009"/>
    <n v="205.69500000000002"/>
  </r>
  <r>
    <n v="98997"/>
    <d v="2024-10-22T00:00:00"/>
    <n v="703"/>
    <n v="50"/>
    <s v="Sports &amp; Outdoors"/>
    <s v="Yoga Mat"/>
    <n v="3"/>
    <n v="407.83"/>
    <s v="Cash on Delivery"/>
    <x v="234"/>
    <n v="2"/>
    <x v="0"/>
    <n v="59"/>
    <x v="1"/>
    <n v="1223.49"/>
    <n v="367.04699999999997"/>
  </r>
  <r>
    <n v="16430"/>
    <d v="2024-10-23T00:00:00"/>
    <n v="522"/>
    <n v="20"/>
    <s v="Fashion"/>
    <s v="Dress"/>
    <n v="2"/>
    <n v="204.96"/>
    <s v="Bank Transfer"/>
    <x v="593"/>
    <n v="5"/>
    <x v="1"/>
    <n v="57"/>
    <x v="1"/>
    <n v="409.92"/>
    <n v="122.976"/>
  </r>
  <r>
    <n v="78972"/>
    <d v="2024-10-24T00:00:00"/>
    <n v="112"/>
    <n v="10"/>
    <s v="Electronics"/>
    <s v="Tablet"/>
    <n v="4"/>
    <n v="288.22000000000003"/>
    <s v="Credit Card"/>
    <x v="594"/>
    <n v="5"/>
    <x v="2"/>
    <n v="60"/>
    <x v="1"/>
    <n v="1152.8800000000001"/>
    <n v="345.86400000000003"/>
  </r>
  <r>
    <n v="15505"/>
    <d v="2024-10-25T00:00:00"/>
    <n v="465"/>
    <n v="50"/>
    <s v="Sports &amp; Outdoors"/>
    <s v="Yoga Mat"/>
    <n v="2"/>
    <n v="350.15"/>
    <s v="Bank Transfer"/>
    <x v="595"/>
    <n v="4"/>
    <x v="1"/>
    <n v="19"/>
    <x v="3"/>
    <n v="700.3"/>
    <n v="210.08999999999997"/>
  </r>
  <r>
    <n v="40540"/>
    <d v="2024-10-25T00:00:00"/>
    <n v="509"/>
    <n v="10"/>
    <s v="Electronics"/>
    <s v="Headphones"/>
    <n v="3"/>
    <n v="492.35"/>
    <s v="Credit Card"/>
    <x v="596"/>
    <n v="5"/>
    <x v="0"/>
    <n v="72"/>
    <x v="0"/>
    <n v="1477.0500000000002"/>
    <n v="443.11500000000007"/>
  </r>
  <r>
    <n v="44293"/>
    <d v="2024-10-26T00:00:00"/>
    <n v="212"/>
    <n v="20"/>
    <s v="Fashion"/>
    <s v="Skirt"/>
    <n v="4"/>
    <n v="337.11"/>
    <s v="Cash on Delivery"/>
    <x v="597"/>
    <n v="4"/>
    <x v="2"/>
    <n v="72"/>
    <x v="0"/>
    <n v="1348.44"/>
    <n v="404.53199999999998"/>
  </r>
  <r>
    <n v="99015"/>
    <d v="2024-10-26T00:00:00"/>
    <n v="420"/>
    <n v="10"/>
    <s v="Electronics"/>
    <s v="Smartphone"/>
    <n v="5"/>
    <n v="269.41000000000003"/>
    <s v="Bank Transfer"/>
    <x v="598"/>
    <n v="4"/>
    <x v="0"/>
    <n v="66"/>
    <x v="0"/>
    <n v="1347.0500000000002"/>
    <n v="404.11500000000007"/>
  </r>
  <r>
    <n v="50145"/>
    <d v="2024-10-26T00:00:00"/>
    <n v="554"/>
    <n v="10"/>
    <s v="Electronics"/>
    <s v="Tablet"/>
    <n v="3"/>
    <n v="321.07"/>
    <s v="Cash on Delivery"/>
    <x v="599"/>
    <n v="3"/>
    <x v="0"/>
    <n v="34"/>
    <x v="2"/>
    <n v="963.21"/>
    <n v="288.96300000000002"/>
  </r>
  <r>
    <n v="88797"/>
    <d v="2024-10-26T00:00:00"/>
    <n v="244"/>
    <n v="30"/>
    <s v="Home &amp; Living"/>
    <s v="Pillow"/>
    <n v="3"/>
    <n v="216.9"/>
    <s v="Credit Card"/>
    <x v="237"/>
    <n v="4"/>
    <x v="1"/>
    <n v="43"/>
    <x v="2"/>
    <n v="650.70000000000005"/>
    <n v="195.21"/>
  </r>
  <r>
    <n v="19845"/>
    <d v="2024-10-26T00:00:00"/>
    <n v="798"/>
    <n v="30"/>
    <s v="Home &amp; Living"/>
    <s v="Painting"/>
    <n v="2"/>
    <n v="367.78"/>
    <s v="Bank Transfer"/>
    <x v="600"/>
    <n v="2"/>
    <x v="0"/>
    <n v="45"/>
    <x v="2"/>
    <n v="735.56"/>
    <n v="220.66799999999998"/>
  </r>
  <r>
    <n v="52052"/>
    <d v="2024-10-27T00:00:00"/>
    <n v="247"/>
    <n v="40"/>
    <s v="Books &amp; Stationery"/>
    <s v="Novel"/>
    <n v="3"/>
    <n v="343.78"/>
    <s v="Credit Card"/>
    <x v="601"/>
    <m/>
    <x v="1"/>
    <n v="20"/>
    <x v="3"/>
    <n v="1031.3399999999999"/>
    <n v="309.40199999999999"/>
  </r>
  <r>
    <n v="49782"/>
    <d v="2024-10-27T00:00:00"/>
    <n v="911"/>
    <n v="10"/>
    <s v="Electronics"/>
    <s v="Smartphone"/>
    <n v="3"/>
    <n v="427.48"/>
    <s v="Cash on Delivery"/>
    <x v="444"/>
    <n v="5"/>
    <x v="0"/>
    <n v="63"/>
    <x v="0"/>
    <n v="1282.44"/>
    <n v="384.73200000000003"/>
  </r>
  <r>
    <n v="65208"/>
    <d v="2024-10-28T00:00:00"/>
    <n v="204"/>
    <n v="40"/>
    <s v="Books &amp; Stationery"/>
    <s v="Story Book"/>
    <n v="2"/>
    <n v="230.11"/>
    <s v="Bank Transfer"/>
    <x v="602"/>
    <n v="5"/>
    <x v="0"/>
    <n v="34"/>
    <x v="2"/>
    <n v="460.22"/>
    <n v="138.066"/>
  </r>
  <r>
    <n v="41736"/>
    <d v="2024-10-28T00:00:00"/>
    <n v="457"/>
    <n v="10"/>
    <s v="Electronics"/>
    <s v="Tablet"/>
    <n v="4"/>
    <n v="196.99"/>
    <s v="Bank Transfer"/>
    <x v="603"/>
    <n v="4"/>
    <x v="2"/>
    <n v="72"/>
    <x v="0"/>
    <n v="787.96"/>
    <n v="236.38800000000001"/>
  </r>
  <r>
    <n v="59644"/>
    <d v="2024-10-28T00:00:00"/>
    <n v="139"/>
    <n v="40"/>
    <s v="Books &amp; Stationery"/>
    <s v="Story Book"/>
    <n v="5"/>
    <n v="108.39"/>
    <s v="Cash on Delivery"/>
    <x v="604"/>
    <n v="5"/>
    <x v="0"/>
    <n v="61"/>
    <x v="0"/>
    <n v="541.95000000000005"/>
    <n v="162.58500000000001"/>
  </r>
  <r>
    <n v="38565"/>
    <d v="2024-10-28T00:00:00"/>
    <n v="884"/>
    <n v="10"/>
    <s v="Electronics"/>
    <s v="Tablet"/>
    <n v="5"/>
    <n v="455.43"/>
    <s v="Cash on Delivery"/>
    <x v="605"/>
    <n v="5"/>
    <x v="0"/>
    <n v="50"/>
    <x v="1"/>
    <n v="2277.15"/>
    <n v="683.14499999999998"/>
  </r>
  <r>
    <n v="34709"/>
    <d v="2024-10-28T00:00:00"/>
    <n v="636"/>
    <n v="20"/>
    <s v="Fashion"/>
    <s v="T-shirt"/>
    <n v="2"/>
    <n v="115.08"/>
    <s v="Bank Transfer"/>
    <x v="606"/>
    <n v="5"/>
    <x v="1"/>
    <n v="19"/>
    <x v="3"/>
    <n v="230.16"/>
    <n v="69.048000000000002"/>
  </r>
  <r>
    <n v="64016"/>
    <d v="2024-10-29T00:00:00"/>
    <n v="970"/>
    <n v="30"/>
    <s v="Home &amp; Living"/>
    <s v="Carpet"/>
    <n v="1"/>
    <n v="189.89"/>
    <s v="Credit Card"/>
    <x v="607"/>
    <n v="5"/>
    <x v="1"/>
    <n v="61"/>
    <x v="0"/>
    <n v="189.89"/>
    <n v="56.966999999999992"/>
  </r>
  <r>
    <n v="16285"/>
    <d v="2024-10-30T00:00:00"/>
    <n v="579"/>
    <n v="50"/>
    <s v="Sports &amp; Outdoors"/>
    <s v="Soccer Ball"/>
    <n v="4"/>
    <n v="145.86000000000001"/>
    <s v="Credit Card"/>
    <x v="608"/>
    <n v="5"/>
    <x v="1"/>
    <n v="59"/>
    <x v="1"/>
    <n v="583.44000000000005"/>
    <n v="175.03200000000001"/>
  </r>
  <r>
    <n v="23672"/>
    <d v="2024-10-30T00:00:00"/>
    <n v="158"/>
    <n v="20"/>
    <s v="Fashion"/>
    <s v="Shirt"/>
    <n v="2"/>
    <n v="91.76"/>
    <s v="Bank Transfer"/>
    <x v="609"/>
    <m/>
    <x v="0"/>
    <n v="49"/>
    <x v="1"/>
    <n v="183.52"/>
    <n v="55.056000000000004"/>
  </r>
  <r>
    <n v="64799"/>
    <d v="2024-10-30T00:00:00"/>
    <n v="950"/>
    <n v="50"/>
    <s v="Sports &amp; Outdoors"/>
    <s v="Yoga Mat"/>
    <n v="4"/>
    <n v="346.44"/>
    <s v="Cash on Delivery"/>
    <x v="610"/>
    <m/>
    <x v="1"/>
    <n v="71"/>
    <x v="0"/>
    <n v="1385.76"/>
    <n v="415.72800000000001"/>
  </r>
  <r>
    <n v="76563"/>
    <d v="2024-10-31T00:00:00"/>
    <n v="108"/>
    <n v="50"/>
    <s v="Sports &amp; Outdoors"/>
    <s v="Soccer Ball"/>
    <n v="2"/>
    <n v="283.81"/>
    <s v="Cash on Delivery"/>
    <x v="611"/>
    <n v="5"/>
    <x v="1"/>
    <n v="59"/>
    <x v="1"/>
    <n v="567.62"/>
    <n v="170.286"/>
  </r>
  <r>
    <n v="20770"/>
    <d v="2024-11-01T00:00:00"/>
    <n v="941"/>
    <n v="10"/>
    <s v="Electronics"/>
    <s v="Smartphone"/>
    <n v="2"/>
    <n v="391.43"/>
    <s v="Credit Card"/>
    <x v="612"/>
    <m/>
    <x v="2"/>
    <n v="44"/>
    <x v="2"/>
    <n v="782.86"/>
    <n v="234.858"/>
  </r>
  <r>
    <n v="23008"/>
    <d v="2024-11-01T00:00:00"/>
    <n v="248"/>
    <n v="20"/>
    <s v="Fashion"/>
    <s v="Dress"/>
    <n v="5"/>
    <n v="194.27"/>
    <s v="Bank Transfer"/>
    <x v="613"/>
    <n v="3"/>
    <x v="2"/>
    <n v="53"/>
    <x v="1"/>
    <n v="971.35"/>
    <n v="291.40499999999997"/>
  </r>
  <r>
    <n v="14487"/>
    <d v="2024-11-01T00:00:00"/>
    <n v="923"/>
    <n v="10"/>
    <s v="Electronics"/>
    <s v="Laptop"/>
    <n v="5"/>
    <n v="60.82"/>
    <s v="Cash on Delivery"/>
    <x v="614"/>
    <n v="4"/>
    <x v="1"/>
    <n v="56"/>
    <x v="1"/>
    <n v="304.10000000000002"/>
    <n v="91.23"/>
  </r>
  <r>
    <n v="61595"/>
    <d v="2024-11-01T00:00:00"/>
    <n v="586"/>
    <n v="40"/>
    <s v="Books &amp; Stationery"/>
    <s v="Notebook"/>
    <n v="2"/>
    <n v="395.01"/>
    <s v="Bank Transfer"/>
    <x v="615"/>
    <n v="5"/>
    <x v="1"/>
    <n v="32"/>
    <x v="2"/>
    <n v="790.02"/>
    <n v="237.00599999999997"/>
  </r>
  <r>
    <n v="84575"/>
    <d v="2024-11-02T00:00:00"/>
    <n v="922"/>
    <n v="30"/>
    <s v="Home &amp; Living"/>
    <s v="Painting"/>
    <n v="4"/>
    <n v="157.94999999999999"/>
    <s v="Cash on Delivery"/>
    <x v="616"/>
    <n v="4"/>
    <x v="0"/>
    <n v="68"/>
    <x v="0"/>
    <n v="631.79999999999995"/>
    <n v="189.54"/>
  </r>
  <r>
    <n v="62764"/>
    <d v="2024-11-03T00:00:00"/>
    <n v="901"/>
    <n v="40"/>
    <s v="Books &amp; Stationery"/>
    <s v="Story Book"/>
    <n v="4"/>
    <n v="36.71"/>
    <s v="Credit Card"/>
    <x v="617"/>
    <n v="4"/>
    <x v="0"/>
    <n v="23"/>
    <x v="3"/>
    <n v="146.84"/>
    <n v="44.052"/>
  </r>
  <r>
    <n v="62323"/>
    <d v="2024-11-04T00:00:00"/>
    <n v="308"/>
    <n v="30"/>
    <s v="Home &amp; Living"/>
    <s v="Blanket"/>
    <n v="5"/>
    <n v="228.43"/>
    <s v="Bank Transfer"/>
    <x v="618"/>
    <n v="4"/>
    <x v="0"/>
    <n v="26"/>
    <x v="3"/>
    <n v="1142.1500000000001"/>
    <n v="342.64500000000004"/>
  </r>
  <r>
    <n v="96190"/>
    <d v="2024-11-04T00:00:00"/>
    <n v="415"/>
    <n v="50"/>
    <s v="Sports &amp; Outdoors"/>
    <s v="Yoga Mat"/>
    <n v="5"/>
    <n v="365.81"/>
    <s v="Cash on Delivery"/>
    <x v="482"/>
    <n v="5"/>
    <x v="0"/>
    <n v="18"/>
    <x v="3"/>
    <n v="1829.05"/>
    <n v="548.71499999999992"/>
  </r>
  <r>
    <n v="50937"/>
    <d v="2024-11-05T00:00:00"/>
    <n v="101"/>
    <n v="30"/>
    <s v="Home &amp; Living"/>
    <s v="Painting"/>
    <n v="1"/>
    <n v="92.22"/>
    <s v="Cash on Delivery"/>
    <x v="619"/>
    <n v="5"/>
    <x v="1"/>
    <n v="46"/>
    <x v="1"/>
    <n v="92.22"/>
    <n v="27.666"/>
  </r>
  <r>
    <n v="24054"/>
    <d v="2024-11-05T00:00:00"/>
    <n v="953"/>
    <n v="50"/>
    <s v="Sports &amp; Outdoors"/>
    <s v="Basketball"/>
    <n v="3"/>
    <n v="220.73"/>
    <s v="Credit Card"/>
    <x v="620"/>
    <n v="4"/>
    <x v="1"/>
    <n v="26"/>
    <x v="3"/>
    <n v="662.18999999999994"/>
    <n v="198.65699999999998"/>
  </r>
  <r>
    <n v="48855"/>
    <d v="2024-11-05T00:00:00"/>
    <n v="809"/>
    <n v="40"/>
    <s v="Books &amp; Stationery"/>
    <s v="Eraser"/>
    <n v="1"/>
    <n v="447.49"/>
    <s v="Bank Transfer"/>
    <x v="621"/>
    <m/>
    <x v="1"/>
    <n v="47"/>
    <x v="1"/>
    <n v="447.49"/>
    <n v="134.24699999999999"/>
  </r>
  <r>
    <n v="94532"/>
    <d v="2024-11-06T00:00:00"/>
    <n v="335"/>
    <n v="50"/>
    <s v="Sports &amp; Outdoors"/>
    <s v="Running Shoes"/>
    <n v="4"/>
    <n v="85.58"/>
    <s v="Credit Card"/>
    <x v="622"/>
    <n v="5"/>
    <x v="1"/>
    <n v="41"/>
    <x v="2"/>
    <n v="342.32"/>
    <n v="102.696"/>
  </r>
  <r>
    <n v="66122"/>
    <d v="2024-11-06T00:00:00"/>
    <n v="280"/>
    <n v="50"/>
    <s v="Sports &amp; Outdoors"/>
    <s v="Yoga Mat"/>
    <n v="1"/>
    <n v="401.05"/>
    <s v="Cash on Delivery"/>
    <x v="623"/>
    <m/>
    <x v="0"/>
    <n v="46"/>
    <x v="1"/>
    <n v="401.05"/>
    <n v="120.315"/>
  </r>
  <r>
    <n v="80018"/>
    <d v="2024-11-06T00:00:00"/>
    <n v="257"/>
    <n v="30"/>
    <s v="Home &amp; Living"/>
    <s v="Carpet"/>
    <n v="4"/>
    <n v="265.26"/>
    <s v="Bank Transfer"/>
    <x v="624"/>
    <n v="4"/>
    <x v="0"/>
    <n v="65"/>
    <x v="0"/>
    <n v="1061.04"/>
    <n v="318.31199999999995"/>
  </r>
  <r>
    <n v="92290"/>
    <d v="2024-11-06T00:00:00"/>
    <n v="445"/>
    <n v="10"/>
    <s v="Electronics"/>
    <s v="Smartphone"/>
    <n v="5"/>
    <n v="354.64"/>
    <s v="Bank Transfer"/>
    <x v="625"/>
    <m/>
    <x v="0"/>
    <n v="49"/>
    <x v="1"/>
    <n v="1773.1999999999998"/>
    <n v="531.95999999999992"/>
  </r>
  <r>
    <n v="20658"/>
    <d v="2024-11-06T00:00:00"/>
    <n v="177"/>
    <n v="40"/>
    <s v="Books &amp; Stationery"/>
    <s v="Pen"/>
    <n v="3"/>
    <n v="196.97"/>
    <s v="Cash on Delivery"/>
    <x v="626"/>
    <n v="1"/>
    <x v="0"/>
    <n v="34"/>
    <x v="2"/>
    <n v="590.91"/>
    <n v="177.273"/>
  </r>
  <r>
    <n v="20522"/>
    <d v="2024-11-07T00:00:00"/>
    <n v="380"/>
    <n v="30"/>
    <s v="Home &amp; Living"/>
    <s v="Pillow"/>
    <n v="2"/>
    <n v="302.49"/>
    <s v="Bank Transfer"/>
    <x v="627"/>
    <n v="5"/>
    <x v="1"/>
    <n v="31"/>
    <x v="2"/>
    <n v="604.98"/>
    <n v="181.494"/>
  </r>
  <r>
    <n v="32037"/>
    <d v="2024-11-07T00:00:00"/>
    <n v="897"/>
    <n v="10"/>
    <s v="Electronics"/>
    <s v="Tablet"/>
    <n v="5"/>
    <n v="25.55"/>
    <s v="Bank Transfer"/>
    <x v="628"/>
    <m/>
    <x v="0"/>
    <n v="42"/>
    <x v="2"/>
    <n v="127.75"/>
    <n v="38.324999999999996"/>
  </r>
  <r>
    <n v="76799"/>
    <d v="2024-11-08T00:00:00"/>
    <n v="691"/>
    <n v="20"/>
    <s v="Fashion"/>
    <s v="Dress"/>
    <n v="3"/>
    <n v="137.88999999999999"/>
    <s v="Bank Transfer"/>
    <x v="629"/>
    <n v="5"/>
    <x v="0"/>
    <n v="39"/>
    <x v="2"/>
    <n v="413.66999999999996"/>
    <n v="124.10099999999998"/>
  </r>
  <r>
    <n v="91430"/>
    <d v="2024-11-08T00:00:00"/>
    <n v="417"/>
    <n v="40"/>
    <s v="Books &amp; Stationery"/>
    <s v="Pen"/>
    <n v="5"/>
    <n v="327.93"/>
    <s v="Credit Card"/>
    <x v="630"/>
    <m/>
    <x v="1"/>
    <n v="36"/>
    <x v="2"/>
    <n v="1639.65"/>
    <n v="491.89499999999998"/>
  </r>
  <r>
    <n v="27736"/>
    <d v="2024-11-08T00:00:00"/>
    <n v="106"/>
    <n v="20"/>
    <s v="Fashion"/>
    <s v="Skirt"/>
    <n v="1"/>
    <n v="497.89"/>
    <s v="Credit Card"/>
    <x v="631"/>
    <n v="5"/>
    <x v="1"/>
    <n v="58"/>
    <x v="1"/>
    <n v="497.89"/>
    <n v="149.36699999999999"/>
  </r>
  <r>
    <n v="55131"/>
    <d v="2024-11-08T00:00:00"/>
    <n v="866"/>
    <n v="40"/>
    <s v="Books &amp; Stationery"/>
    <s v="Story Book"/>
    <n v="2"/>
    <n v="148.31"/>
    <s v="Bank Transfer"/>
    <x v="632"/>
    <n v="5"/>
    <x v="0"/>
    <n v="67"/>
    <x v="0"/>
    <n v="296.62"/>
    <n v="88.986000000000004"/>
  </r>
  <r>
    <n v="42115"/>
    <d v="2024-11-09T00:00:00"/>
    <n v="135"/>
    <n v="20"/>
    <s v="Fashion"/>
    <s v="T-shirt"/>
    <n v="4"/>
    <n v="39.22"/>
    <s v="Bank Transfer"/>
    <x v="633"/>
    <n v="4"/>
    <x v="1"/>
    <n v="55"/>
    <x v="1"/>
    <n v="156.88"/>
    <n v="47.064"/>
  </r>
  <r>
    <n v="68792"/>
    <d v="2024-11-09T00:00:00"/>
    <n v="209"/>
    <n v="50"/>
    <s v="Sports &amp; Outdoors"/>
    <s v="Yoga Mat"/>
    <n v="1"/>
    <n v="119.39"/>
    <s v="Cash on Delivery"/>
    <x v="634"/>
    <n v="5"/>
    <x v="0"/>
    <n v="38"/>
    <x v="2"/>
    <n v="119.39"/>
    <n v="35.817"/>
  </r>
  <r>
    <n v="88142"/>
    <d v="2024-11-09T00:00:00"/>
    <n v="992"/>
    <n v="10"/>
    <s v="Electronics"/>
    <s v="Headphones"/>
    <n v="3"/>
    <n v="228.85"/>
    <s v="Bank Transfer"/>
    <x v="635"/>
    <n v="1"/>
    <x v="1"/>
    <n v="50"/>
    <x v="1"/>
    <n v="686.55"/>
    <n v="205.96499999999997"/>
  </r>
  <r>
    <n v="36278"/>
    <d v="2024-11-09T00:00:00"/>
    <n v="246"/>
    <n v="50"/>
    <s v="Sports &amp; Outdoors"/>
    <s v="Running Shoes"/>
    <n v="2"/>
    <n v="65.13"/>
    <s v="Credit Card"/>
    <x v="636"/>
    <m/>
    <x v="1"/>
    <n v="75"/>
    <x v="0"/>
    <n v="130.26"/>
    <n v="39.077999999999996"/>
  </r>
  <r>
    <n v="89064"/>
    <d v="2024-11-10T00:00:00"/>
    <n v="533"/>
    <n v="50"/>
    <s v="Sports &amp; Outdoors"/>
    <s v="Yoga Mat"/>
    <n v="3"/>
    <n v="28.75"/>
    <s v="Cash on Delivery"/>
    <x v="637"/>
    <n v="4"/>
    <x v="1"/>
    <n v="74"/>
    <x v="0"/>
    <n v="86.25"/>
    <n v="25.875"/>
  </r>
  <r>
    <n v="38245"/>
    <d v="2024-11-11T00:00:00"/>
    <n v="615"/>
    <n v="50"/>
    <s v="Sports &amp; Outdoors"/>
    <s v="Soccer Ball"/>
    <n v="4"/>
    <n v="340.85"/>
    <s v="Credit Card"/>
    <x v="638"/>
    <n v="4"/>
    <x v="2"/>
    <n v="36"/>
    <x v="2"/>
    <n v="1363.4"/>
    <n v="409.02000000000004"/>
  </r>
  <r>
    <n v="32978"/>
    <d v="2024-11-11T00:00:00"/>
    <n v="667"/>
    <n v="30"/>
    <s v="Home &amp; Living"/>
    <s v="Vase"/>
    <n v="4"/>
    <n v="478.17"/>
    <s v="Cash on Delivery"/>
    <x v="378"/>
    <n v="4"/>
    <x v="1"/>
    <n v="25"/>
    <x v="3"/>
    <n v="1912.68"/>
    <n v="573.80399999999997"/>
  </r>
  <r>
    <n v="52435"/>
    <d v="2024-11-11T00:00:00"/>
    <n v="529"/>
    <n v="10"/>
    <s v="Electronics"/>
    <s v="Smartphone"/>
    <n v="5"/>
    <n v="340.31"/>
    <s v="Bank Transfer"/>
    <x v="639"/>
    <n v="4"/>
    <x v="0"/>
    <n v="18"/>
    <x v="3"/>
    <n v="1701.55"/>
    <n v="510.46499999999997"/>
  </r>
  <r>
    <n v="47231"/>
    <d v="2024-11-12T00:00:00"/>
    <n v="802"/>
    <n v="50"/>
    <s v="Sports &amp; Outdoors"/>
    <s v="Tent"/>
    <n v="2"/>
    <n v="128.55000000000001"/>
    <s v="Credit Card"/>
    <x v="640"/>
    <n v="2"/>
    <x v="0"/>
    <n v="23"/>
    <x v="3"/>
    <n v="257.10000000000002"/>
    <n v="77.13000000000001"/>
  </r>
  <r>
    <n v="88802"/>
    <d v="2024-11-12T00:00:00"/>
    <n v="452"/>
    <n v="20"/>
    <s v="Fashion"/>
    <s v="Pants"/>
    <n v="2"/>
    <n v="398.91"/>
    <s v="Cash on Delivery"/>
    <x v="641"/>
    <n v="1"/>
    <x v="2"/>
    <n v="56"/>
    <x v="1"/>
    <n v="797.82"/>
    <n v="239.346"/>
  </r>
  <r>
    <n v="29111"/>
    <d v="2024-11-12T00:00:00"/>
    <n v="355"/>
    <n v="30"/>
    <s v="Home &amp; Living"/>
    <s v="Carpet"/>
    <n v="3"/>
    <n v="265.77"/>
    <s v="Cash on Delivery"/>
    <x v="642"/>
    <m/>
    <x v="1"/>
    <n v="18"/>
    <x v="3"/>
    <n v="797.31"/>
    <n v="239.19299999999998"/>
  </r>
  <r>
    <n v="53843"/>
    <d v="2024-11-12T00:00:00"/>
    <n v="256"/>
    <n v="30"/>
    <s v="Home &amp; Living"/>
    <s v="Painting"/>
    <n v="5"/>
    <n v="410.55"/>
    <s v="Cash on Delivery"/>
    <x v="643"/>
    <n v="5"/>
    <x v="1"/>
    <n v="38"/>
    <x v="2"/>
    <n v="2052.75"/>
    <n v="615.82499999999993"/>
  </r>
  <r>
    <n v="55003"/>
    <d v="2024-11-13T00:00:00"/>
    <n v="910"/>
    <n v="10"/>
    <s v="Electronics"/>
    <s v="Smartphone"/>
    <n v="4"/>
    <n v="159.13999999999999"/>
    <s v="Bank Transfer"/>
    <x v="644"/>
    <m/>
    <x v="0"/>
    <n v="74"/>
    <x v="0"/>
    <n v="636.55999999999995"/>
    <n v="190.96799999999999"/>
  </r>
  <r>
    <n v="33851"/>
    <d v="2024-11-13T00:00:00"/>
    <n v="713"/>
    <n v="40"/>
    <s v="Books &amp; Stationery"/>
    <s v="Eraser"/>
    <n v="5"/>
    <n v="83.92"/>
    <s v="Credit Card"/>
    <x v="645"/>
    <n v="4"/>
    <x v="1"/>
    <n v="48"/>
    <x v="1"/>
    <n v="419.6"/>
    <n v="125.88"/>
  </r>
  <r>
    <n v="42128"/>
    <d v="2024-11-13T00:00:00"/>
    <n v="563"/>
    <n v="30"/>
    <s v="Home &amp; Living"/>
    <s v="Pillow"/>
    <n v="2"/>
    <n v="292.89999999999998"/>
    <s v="Cash on Delivery"/>
    <x v="646"/>
    <m/>
    <x v="0"/>
    <n v="46"/>
    <x v="1"/>
    <n v="585.79999999999995"/>
    <n v="175.73999999999998"/>
  </r>
  <r>
    <n v="43023"/>
    <d v="2024-11-13T00:00:00"/>
    <n v="241"/>
    <n v="30"/>
    <s v="Home &amp; Living"/>
    <s v="Painting"/>
    <n v="5"/>
    <n v="395.64"/>
    <s v="Cash on Delivery"/>
    <x v="647"/>
    <m/>
    <x v="0"/>
    <n v="44"/>
    <x v="2"/>
    <n v="1978.1999999999998"/>
    <n v="593.45999999999992"/>
  </r>
  <r>
    <n v="69632"/>
    <d v="2024-11-13T00:00:00"/>
    <n v="451"/>
    <n v="30"/>
    <s v="Home &amp; Living"/>
    <s v="Painting"/>
    <n v="3"/>
    <n v="87.72"/>
    <s v="Cash on Delivery"/>
    <x v="648"/>
    <m/>
    <x v="2"/>
    <n v="36"/>
    <x v="2"/>
    <n v="263.15999999999997"/>
    <n v="78.947999999999993"/>
  </r>
  <r>
    <n v="67667"/>
    <d v="2024-11-14T00:00:00"/>
    <n v="854"/>
    <n v="40"/>
    <s v="Books &amp; Stationery"/>
    <s v="Novel"/>
    <n v="3"/>
    <n v="366.14"/>
    <s v="Bank Transfer"/>
    <x v="649"/>
    <n v="5"/>
    <x v="0"/>
    <n v="37"/>
    <x v="2"/>
    <n v="1098.42"/>
    <n v="329.52600000000001"/>
  </r>
  <r>
    <n v="94912"/>
    <d v="2024-11-14T00:00:00"/>
    <n v="795"/>
    <n v="20"/>
    <s v="Fashion"/>
    <s v="T-shirt"/>
    <n v="4"/>
    <n v="463.07"/>
    <s v="Credit Card"/>
    <x v="343"/>
    <n v="4"/>
    <x v="1"/>
    <n v="70"/>
    <x v="0"/>
    <n v="1852.28"/>
    <n v="555.68399999999997"/>
  </r>
  <r>
    <n v="88975"/>
    <d v="2024-11-14T00:00:00"/>
    <n v="577"/>
    <n v="50"/>
    <s v="Sports &amp; Outdoors"/>
    <s v="Yoga Mat"/>
    <n v="3"/>
    <n v="149.49"/>
    <s v="Cash on Delivery"/>
    <x v="650"/>
    <n v="4"/>
    <x v="0"/>
    <n v="59"/>
    <x v="1"/>
    <n v="448.47"/>
    <n v="134.541"/>
  </r>
  <r>
    <n v="63665"/>
    <d v="2024-11-14T00:00:00"/>
    <n v="747"/>
    <n v="30"/>
    <s v="Home &amp; Living"/>
    <s v="Vase"/>
    <n v="1"/>
    <n v="168.47"/>
    <s v="Cash on Delivery"/>
    <x v="651"/>
    <m/>
    <x v="1"/>
    <n v="41"/>
    <x v="2"/>
    <n v="168.47"/>
    <n v="50.540999999999997"/>
  </r>
  <r>
    <n v="64684"/>
    <d v="2024-11-16T00:00:00"/>
    <n v="166"/>
    <n v="20"/>
    <s v="Fashion"/>
    <s v="Pants"/>
    <n v="1"/>
    <n v="197.69"/>
    <s v="Credit Card"/>
    <x v="652"/>
    <n v="5"/>
    <x v="0"/>
    <n v="53"/>
    <x v="1"/>
    <n v="197.69"/>
    <n v="59.306999999999995"/>
  </r>
  <r>
    <n v="81133"/>
    <d v="2024-11-16T00:00:00"/>
    <n v="682"/>
    <n v="40"/>
    <s v="Books &amp; Stationery"/>
    <s v="Novel"/>
    <n v="1"/>
    <n v="240.56"/>
    <s v="Cash on Delivery"/>
    <x v="653"/>
    <n v="4"/>
    <x v="2"/>
    <n v="33"/>
    <x v="2"/>
    <n v="240.56"/>
    <n v="72.167999999999992"/>
  </r>
  <r>
    <n v="55304"/>
    <d v="2024-11-16T00:00:00"/>
    <n v="417"/>
    <n v="10"/>
    <s v="Electronics"/>
    <s v="Tablet"/>
    <n v="1"/>
    <n v="36.520000000000003"/>
    <s v="Cash on Delivery"/>
    <x v="654"/>
    <m/>
    <x v="1"/>
    <n v="34"/>
    <x v="2"/>
    <n v="36.520000000000003"/>
    <n v="10.956000000000001"/>
  </r>
  <r>
    <n v="81439"/>
    <d v="2024-11-17T00:00:00"/>
    <n v="792"/>
    <n v="40"/>
    <s v="Books &amp; Stationery"/>
    <s v="Novel"/>
    <n v="2"/>
    <n v="320.48"/>
    <s v="Credit Card"/>
    <x v="655"/>
    <n v="4"/>
    <x v="1"/>
    <n v="21"/>
    <x v="3"/>
    <n v="640.96"/>
    <n v="192.28800000000001"/>
  </r>
  <r>
    <n v="32522"/>
    <d v="2024-11-17T00:00:00"/>
    <n v="638"/>
    <n v="50"/>
    <s v="Sports &amp; Outdoors"/>
    <s v="Soccer Ball"/>
    <n v="4"/>
    <n v="422.48"/>
    <s v="Credit Card"/>
    <x v="68"/>
    <n v="5"/>
    <x v="0"/>
    <n v="42"/>
    <x v="2"/>
    <n v="1689.92"/>
    <n v="506.976"/>
  </r>
  <r>
    <n v="76411"/>
    <d v="2024-11-18T00:00:00"/>
    <n v="576"/>
    <n v="40"/>
    <s v="Books &amp; Stationery"/>
    <s v="Story Book"/>
    <n v="4"/>
    <n v="443.43"/>
    <s v="Bank Transfer"/>
    <x v="656"/>
    <n v="5"/>
    <x v="0"/>
    <n v="57"/>
    <x v="1"/>
    <n v="1773.72"/>
    <n v="532.11599999999999"/>
  </r>
  <r>
    <n v="65398"/>
    <d v="2024-11-18T00:00:00"/>
    <n v="505"/>
    <n v="50"/>
    <s v="Sports &amp; Outdoors"/>
    <s v="Soccer Ball"/>
    <n v="4"/>
    <n v="222.1"/>
    <s v="Cash on Delivery"/>
    <x v="657"/>
    <n v="1"/>
    <x v="0"/>
    <n v="33"/>
    <x v="2"/>
    <n v="888.4"/>
    <n v="266.52"/>
  </r>
  <r>
    <n v="82746"/>
    <d v="2024-11-18T00:00:00"/>
    <n v="101"/>
    <n v="50"/>
    <s v="Sports &amp; Outdoors"/>
    <s v="Soccer Ball"/>
    <n v="3"/>
    <n v="263.16000000000003"/>
    <s v="Bank Transfer"/>
    <x v="658"/>
    <n v="5"/>
    <x v="0"/>
    <n v="35"/>
    <x v="2"/>
    <n v="789.48"/>
    <n v="236.84399999999999"/>
  </r>
  <r>
    <n v="53070"/>
    <d v="2024-11-19T00:00:00"/>
    <n v="503"/>
    <n v="50"/>
    <s v="Sports &amp; Outdoors"/>
    <s v="Running Shoes"/>
    <n v="5"/>
    <n v="66.959999999999994"/>
    <s v="Credit Card"/>
    <x v="659"/>
    <n v="5"/>
    <x v="1"/>
    <n v="68"/>
    <x v="0"/>
    <n v="334.79999999999995"/>
    <n v="100.43999999999998"/>
  </r>
  <r>
    <n v="35155"/>
    <d v="2024-11-19T00:00:00"/>
    <n v="956"/>
    <n v="10"/>
    <s v="Electronics"/>
    <s v="Tablet"/>
    <n v="2"/>
    <n v="496.93"/>
    <s v="Credit Card"/>
    <x v="660"/>
    <n v="5"/>
    <x v="1"/>
    <n v="20"/>
    <x v="3"/>
    <n v="993.86"/>
    <n v="298.15800000000002"/>
  </r>
  <r>
    <n v="84991"/>
    <d v="2024-11-20T00:00:00"/>
    <n v="434"/>
    <n v="50"/>
    <s v="Sports &amp; Outdoors"/>
    <s v="Yoga Mat"/>
    <n v="1"/>
    <n v="198.08"/>
    <s v="Cash on Delivery"/>
    <x v="661"/>
    <m/>
    <x v="2"/>
    <n v="33"/>
    <x v="2"/>
    <n v="198.08"/>
    <n v="59.423999999999999"/>
  </r>
  <r>
    <n v="11164"/>
    <d v="2024-11-20T00:00:00"/>
    <n v="154"/>
    <n v="10"/>
    <s v="Electronics"/>
    <s v="Smartphone"/>
    <n v="5"/>
    <n v="129.83000000000001"/>
    <s v="Bank Transfer"/>
    <x v="662"/>
    <n v="3"/>
    <x v="2"/>
    <n v="44"/>
    <x v="2"/>
    <n v="649.15000000000009"/>
    <n v="194.74500000000003"/>
  </r>
  <r>
    <n v="12167"/>
    <d v="2024-11-20T00:00:00"/>
    <n v="500"/>
    <n v="30"/>
    <s v="Home &amp; Living"/>
    <s v="Vase"/>
    <n v="1"/>
    <n v="187.51"/>
    <s v="Credit Card"/>
    <x v="663"/>
    <n v="4"/>
    <x v="1"/>
    <n v="46"/>
    <x v="1"/>
    <n v="187.51"/>
    <n v="56.252999999999993"/>
  </r>
  <r>
    <n v="53191"/>
    <d v="2024-11-21T00:00:00"/>
    <n v="852"/>
    <n v="30"/>
    <s v="Home &amp; Living"/>
    <s v="Pillow"/>
    <n v="4"/>
    <n v="204.56"/>
    <s v="Cash on Delivery"/>
    <x v="664"/>
    <m/>
    <x v="0"/>
    <n v="30"/>
    <x v="3"/>
    <n v="818.24"/>
    <n v="245.47199999999998"/>
  </r>
  <r>
    <n v="25897"/>
    <d v="2024-11-22T00:00:00"/>
    <n v="247"/>
    <n v="30"/>
    <s v="Home &amp; Living"/>
    <s v="Vase"/>
    <n v="5"/>
    <n v="65.87"/>
    <s v="Cash on Delivery"/>
    <x v="665"/>
    <n v="1"/>
    <x v="0"/>
    <n v="29"/>
    <x v="3"/>
    <n v="329.35"/>
    <n v="98.805000000000007"/>
  </r>
  <r>
    <n v="79715"/>
    <d v="2024-11-22T00:00:00"/>
    <n v="977"/>
    <n v="10"/>
    <s v="Electronics"/>
    <s v="Headphones"/>
    <n v="5"/>
    <n v="196.87"/>
    <s v="Credit Card"/>
    <x v="666"/>
    <n v="3"/>
    <x v="1"/>
    <n v="38"/>
    <x v="2"/>
    <n v="984.35"/>
    <n v="295.30500000000001"/>
  </r>
  <r>
    <n v="29275"/>
    <d v="2024-11-23T00:00:00"/>
    <n v="180"/>
    <n v="40"/>
    <s v="Books &amp; Stationery"/>
    <s v="Eraser"/>
    <n v="4"/>
    <n v="234.04"/>
    <s v="Credit Card"/>
    <x v="667"/>
    <n v="1"/>
    <x v="0"/>
    <n v="68"/>
    <x v="0"/>
    <n v="936.16"/>
    <n v="280.84799999999996"/>
  </r>
  <r>
    <n v="35793"/>
    <d v="2024-11-23T00:00:00"/>
    <n v="427"/>
    <n v="10"/>
    <s v="Electronics"/>
    <s v="Tablet"/>
    <n v="2"/>
    <n v="227.71"/>
    <s v="Credit Card"/>
    <x v="668"/>
    <n v="4"/>
    <x v="1"/>
    <n v="66"/>
    <x v="0"/>
    <n v="455.42"/>
    <n v="136.626"/>
  </r>
  <r>
    <n v="25561"/>
    <d v="2024-11-23T00:00:00"/>
    <n v="275"/>
    <n v="10"/>
    <s v="Electronics"/>
    <s v="Headphones"/>
    <n v="1"/>
    <n v="330.94"/>
    <s v="Credit Card"/>
    <x v="669"/>
    <n v="5"/>
    <x v="1"/>
    <n v="31"/>
    <x v="2"/>
    <n v="330.94"/>
    <n v="99.281999999999996"/>
  </r>
  <r>
    <n v="61642"/>
    <d v="2024-11-24T00:00:00"/>
    <n v="264"/>
    <n v="50"/>
    <s v="Sports &amp; Outdoors"/>
    <s v="Tent"/>
    <n v="1"/>
    <n v="241.61"/>
    <s v="Bank Transfer"/>
    <x v="670"/>
    <n v="5"/>
    <x v="0"/>
    <n v="19"/>
    <x v="3"/>
    <n v="241.61"/>
    <n v="72.483000000000004"/>
  </r>
  <r>
    <n v="49861"/>
    <d v="2024-11-24T00:00:00"/>
    <n v="832"/>
    <n v="20"/>
    <s v="Fashion"/>
    <s v="Skirt"/>
    <n v="2"/>
    <n v="96.31"/>
    <s v="Cash on Delivery"/>
    <x v="671"/>
    <n v="5"/>
    <x v="0"/>
    <n v="46"/>
    <x v="1"/>
    <n v="192.62"/>
    <n v="57.786000000000001"/>
  </r>
  <r>
    <n v="26849"/>
    <d v="2024-11-24T00:00:00"/>
    <n v="667"/>
    <n v="50"/>
    <s v="Sports &amp; Outdoors"/>
    <s v="Running Shoes"/>
    <n v="3"/>
    <n v="116.74"/>
    <s v="Bank Transfer"/>
    <x v="672"/>
    <n v="5"/>
    <x v="1"/>
    <n v="27"/>
    <x v="3"/>
    <n v="350.21999999999997"/>
    <n v="105.06599999999999"/>
  </r>
  <r>
    <n v="35625"/>
    <d v="2024-11-24T00:00:00"/>
    <n v="863"/>
    <n v="30"/>
    <s v="Home &amp; Living"/>
    <s v="Pillow"/>
    <n v="2"/>
    <n v="19.350000000000001"/>
    <s v="Cash on Delivery"/>
    <x v="673"/>
    <n v="3"/>
    <x v="2"/>
    <n v="22"/>
    <x v="3"/>
    <n v="38.700000000000003"/>
    <n v="11.610000000000001"/>
  </r>
  <r>
    <n v="82649"/>
    <d v="2024-11-26T00:00:00"/>
    <n v="983"/>
    <n v="20"/>
    <s v="Fashion"/>
    <s v="Pants"/>
    <n v="1"/>
    <n v="419.8"/>
    <s v="Bank Transfer"/>
    <x v="674"/>
    <m/>
    <x v="0"/>
    <n v="60"/>
    <x v="1"/>
    <n v="419.8"/>
    <n v="125.94"/>
  </r>
  <r>
    <n v="42780"/>
    <d v="2024-11-26T00:00:00"/>
    <n v="482"/>
    <n v="40"/>
    <s v="Books &amp; Stationery"/>
    <s v="Eraser"/>
    <n v="4"/>
    <n v="121.29"/>
    <s v="Credit Card"/>
    <x v="675"/>
    <n v="4"/>
    <x v="0"/>
    <n v="32"/>
    <x v="2"/>
    <n v="485.16"/>
    <n v="145.548"/>
  </r>
  <r>
    <n v="94070"/>
    <d v="2024-11-26T00:00:00"/>
    <n v="822"/>
    <n v="50"/>
    <s v="Sports &amp; Outdoors"/>
    <s v="Yoga Mat"/>
    <n v="2"/>
    <n v="236.61"/>
    <s v="Bank Transfer"/>
    <x v="676"/>
    <n v="5"/>
    <x v="0"/>
    <n v="67"/>
    <x v="0"/>
    <n v="473.22"/>
    <n v="141.96600000000001"/>
  </r>
  <r>
    <n v="10299"/>
    <d v="2024-11-27T00:00:00"/>
    <n v="971"/>
    <n v="20"/>
    <s v="Fashion"/>
    <s v="Dress"/>
    <n v="4"/>
    <n v="203.94"/>
    <s v="Cash on Delivery"/>
    <x v="677"/>
    <n v="5"/>
    <x v="1"/>
    <n v="33"/>
    <x v="2"/>
    <n v="815.76"/>
    <n v="244.72799999999998"/>
  </r>
  <r>
    <n v="60036"/>
    <d v="2024-11-27T00:00:00"/>
    <n v="244"/>
    <n v="20"/>
    <s v="Fashion"/>
    <s v="Shirt"/>
    <n v="4"/>
    <n v="333.23"/>
    <s v="Bank Transfer"/>
    <x v="678"/>
    <m/>
    <x v="1"/>
    <n v="57"/>
    <x v="1"/>
    <n v="1332.92"/>
    <n v="399.87600000000003"/>
  </r>
  <r>
    <n v="27117"/>
    <d v="2024-11-27T00:00:00"/>
    <n v="312"/>
    <n v="20"/>
    <s v="Fashion"/>
    <s v="Pants"/>
    <n v="4"/>
    <n v="245.65"/>
    <s v="Credit Card"/>
    <x v="679"/>
    <n v="4"/>
    <x v="1"/>
    <n v="66"/>
    <x v="0"/>
    <n v="982.6"/>
    <n v="294.77999999999997"/>
  </r>
  <r>
    <n v="24078"/>
    <d v="2024-11-29T00:00:00"/>
    <n v="344"/>
    <n v="20"/>
    <s v="Fashion"/>
    <s v="Shirt"/>
    <n v="5"/>
    <n v="364.91"/>
    <s v="Cash on Delivery"/>
    <x v="680"/>
    <n v="1"/>
    <x v="0"/>
    <n v="71"/>
    <x v="0"/>
    <n v="1824.5500000000002"/>
    <n v="547.36500000000001"/>
  </r>
  <r>
    <n v="59486"/>
    <d v="2024-11-29T00:00:00"/>
    <n v="327"/>
    <n v="30"/>
    <s v="Home &amp; Living"/>
    <s v="Vase"/>
    <n v="5"/>
    <n v="475.62"/>
    <s v="Bank Transfer"/>
    <x v="128"/>
    <n v="4"/>
    <x v="1"/>
    <n v="61"/>
    <x v="0"/>
    <n v="2378.1"/>
    <n v="713.43"/>
  </r>
  <r>
    <n v="77096"/>
    <d v="2024-11-30T00:00:00"/>
    <n v="369"/>
    <n v="50"/>
    <s v="Sports &amp; Outdoors"/>
    <s v="Running Shoes"/>
    <n v="4"/>
    <n v="83.08"/>
    <s v="Credit Card"/>
    <x v="681"/>
    <n v="5"/>
    <x v="0"/>
    <n v="22"/>
    <x v="3"/>
    <n v="332.32"/>
    <n v="99.695999999999998"/>
  </r>
  <r>
    <n v="67215"/>
    <d v="2024-12-02T00:00:00"/>
    <n v="912"/>
    <n v="20"/>
    <s v="Fashion"/>
    <s v="Pants"/>
    <n v="1"/>
    <n v="242.04"/>
    <s v="Credit Card"/>
    <x v="682"/>
    <n v="4"/>
    <x v="0"/>
    <n v="71"/>
    <x v="0"/>
    <n v="242.04"/>
    <n v="72.611999999999995"/>
  </r>
  <r>
    <n v="23807"/>
    <d v="2024-12-02T00:00:00"/>
    <n v="547"/>
    <n v="40"/>
    <s v="Books &amp; Stationery"/>
    <s v="Notebook"/>
    <n v="5"/>
    <n v="397.63"/>
    <s v="Credit Card"/>
    <x v="683"/>
    <n v="2"/>
    <x v="0"/>
    <n v="53"/>
    <x v="1"/>
    <n v="1988.15"/>
    <n v="596.44500000000005"/>
  </r>
  <r>
    <n v="87140"/>
    <d v="2024-12-02T00:00:00"/>
    <n v="977"/>
    <n v="30"/>
    <s v="Home &amp; Living"/>
    <s v="Blanket"/>
    <n v="3"/>
    <n v="83.47"/>
    <s v="Credit Card"/>
    <x v="684"/>
    <n v="5"/>
    <x v="1"/>
    <n v="28"/>
    <x v="3"/>
    <n v="250.41"/>
    <n v="75.12299999999999"/>
  </r>
  <r>
    <n v="29989"/>
    <d v="2024-12-03T00:00:00"/>
    <n v="829"/>
    <n v="10"/>
    <s v="Electronics"/>
    <s v="Smartphone"/>
    <n v="4"/>
    <n v="196.16"/>
    <s v="Bank Transfer"/>
    <x v="685"/>
    <n v="5"/>
    <x v="1"/>
    <n v="21"/>
    <x v="3"/>
    <n v="784.64"/>
    <n v="235.392"/>
  </r>
  <r>
    <n v="61360"/>
    <d v="2024-12-03T00:00:00"/>
    <n v="544"/>
    <n v="10"/>
    <s v="Electronics"/>
    <s v="Laptop"/>
    <n v="3"/>
    <n v="457.44"/>
    <s v="Cash on Delivery"/>
    <x v="686"/>
    <n v="5"/>
    <x v="0"/>
    <n v="60"/>
    <x v="1"/>
    <n v="1372.32"/>
    <n v="411.69599999999997"/>
  </r>
  <r>
    <n v="75434"/>
    <d v="2024-12-03T00:00:00"/>
    <n v="775"/>
    <n v="10"/>
    <s v="Electronics"/>
    <s v="Laptop"/>
    <n v="3"/>
    <n v="256.12"/>
    <s v="Cash on Delivery"/>
    <x v="687"/>
    <n v="3"/>
    <x v="0"/>
    <n v="21"/>
    <x v="3"/>
    <n v="768.36"/>
    <n v="230.50799999999998"/>
  </r>
  <r>
    <n v="16119"/>
    <d v="2024-12-03T00:00:00"/>
    <n v="628"/>
    <n v="20"/>
    <s v="Fashion"/>
    <s v="Pants"/>
    <n v="1"/>
    <n v="71.83"/>
    <s v="Bank Transfer"/>
    <x v="688"/>
    <m/>
    <x v="1"/>
    <n v="28"/>
    <x v="3"/>
    <n v="71.83"/>
    <n v="21.548999999999999"/>
  </r>
  <r>
    <n v="69355"/>
    <d v="2024-12-04T00:00:00"/>
    <n v="683"/>
    <n v="30"/>
    <s v="Home &amp; Living"/>
    <s v="Painting"/>
    <n v="1"/>
    <n v="404.07"/>
    <s v="Bank Transfer"/>
    <x v="689"/>
    <n v="5"/>
    <x v="0"/>
    <n v="18"/>
    <x v="3"/>
    <n v="404.07"/>
    <n v="121.22099999999999"/>
  </r>
  <r>
    <n v="55134"/>
    <d v="2024-12-04T00:00:00"/>
    <n v="837"/>
    <n v="50"/>
    <s v="Sports &amp; Outdoors"/>
    <s v="Basketball"/>
    <n v="4"/>
    <n v="487.21"/>
    <s v="Bank Transfer"/>
    <x v="690"/>
    <m/>
    <x v="0"/>
    <n v="46"/>
    <x v="1"/>
    <n v="1948.84"/>
    <n v="584.65199999999993"/>
  </r>
  <r>
    <n v="93992"/>
    <d v="2024-12-05T00:00:00"/>
    <n v="853"/>
    <n v="30"/>
    <s v="Home &amp; Living"/>
    <s v="Pillow"/>
    <n v="1"/>
    <n v="153.82"/>
    <s v="Credit Card"/>
    <x v="691"/>
    <n v="4"/>
    <x v="2"/>
    <n v="29"/>
    <x v="3"/>
    <n v="153.82"/>
    <n v="46.145999999999994"/>
  </r>
  <r>
    <n v="77884"/>
    <d v="2024-12-05T00:00:00"/>
    <n v="620"/>
    <n v="20"/>
    <s v="Fashion"/>
    <s v="T-shirt"/>
    <n v="3"/>
    <n v="145.36000000000001"/>
    <s v="Bank Transfer"/>
    <x v="692"/>
    <n v="3"/>
    <x v="1"/>
    <n v="41"/>
    <x v="2"/>
    <n v="436.08000000000004"/>
    <n v="130.82400000000001"/>
  </r>
  <r>
    <n v="32787"/>
    <d v="2024-12-05T00:00:00"/>
    <n v="359"/>
    <n v="50"/>
    <s v="Sports &amp; Outdoors"/>
    <s v="Tent"/>
    <n v="5"/>
    <n v="88.57"/>
    <s v="Cash on Delivery"/>
    <x v="693"/>
    <m/>
    <x v="0"/>
    <n v="28"/>
    <x v="3"/>
    <n v="442.84999999999997"/>
    <n v="132.85499999999999"/>
  </r>
  <r>
    <n v="95980"/>
    <d v="2024-12-06T00:00:00"/>
    <n v="804"/>
    <n v="40"/>
    <s v="Books &amp; Stationery"/>
    <s v="Pen"/>
    <n v="1"/>
    <n v="106.07"/>
    <s v="Cash on Delivery"/>
    <x v="694"/>
    <m/>
    <x v="1"/>
    <n v="75"/>
    <x v="0"/>
    <n v="106.07"/>
    <n v="31.820999999999998"/>
  </r>
  <r>
    <n v="97281"/>
    <d v="2024-12-07T00:00:00"/>
    <n v="450"/>
    <n v="30"/>
    <s v="Home &amp; Living"/>
    <s v="Blanket"/>
    <n v="4"/>
    <n v="289.63"/>
    <s v="Credit Card"/>
    <x v="695"/>
    <n v="5"/>
    <x v="0"/>
    <n v="32"/>
    <x v="2"/>
    <n v="1158.52"/>
    <n v="347.55599999999998"/>
  </r>
  <r>
    <n v="61329"/>
    <d v="2024-12-07T00:00:00"/>
    <n v="311"/>
    <n v="10"/>
    <s v="Electronics"/>
    <s v="Laptop"/>
    <n v="2"/>
    <n v="50.52"/>
    <s v="Bank Transfer"/>
    <x v="696"/>
    <n v="5"/>
    <x v="0"/>
    <n v="74"/>
    <x v="0"/>
    <n v="101.04"/>
    <n v="30.312000000000001"/>
  </r>
  <r>
    <n v="89104"/>
    <d v="2024-12-07T00:00:00"/>
    <n v="358"/>
    <n v="40"/>
    <s v="Books &amp; Stationery"/>
    <s v="Notebook"/>
    <n v="3"/>
    <n v="284.47000000000003"/>
    <s v="Cash on Delivery"/>
    <x v="697"/>
    <n v="4"/>
    <x v="1"/>
    <n v="55"/>
    <x v="1"/>
    <n v="853.41000000000008"/>
    <n v="256.02300000000002"/>
  </r>
  <r>
    <n v="29306"/>
    <d v="2024-12-07T00:00:00"/>
    <n v="162"/>
    <n v="50"/>
    <s v="Sports &amp; Outdoors"/>
    <s v="Yoga Mat"/>
    <n v="3"/>
    <n v="358.82"/>
    <s v="Cash on Delivery"/>
    <x v="698"/>
    <n v="5"/>
    <x v="0"/>
    <n v="41"/>
    <x v="2"/>
    <n v="1076.46"/>
    <n v="322.93799999999999"/>
  </r>
  <r>
    <n v="64649"/>
    <d v="2024-12-07T00:00:00"/>
    <n v="438"/>
    <n v="40"/>
    <s v="Books &amp; Stationery"/>
    <s v="Notebook"/>
    <n v="5"/>
    <n v="132.97999999999999"/>
    <s v="Cash on Delivery"/>
    <x v="699"/>
    <m/>
    <x v="0"/>
    <n v="45"/>
    <x v="2"/>
    <n v="664.9"/>
    <n v="199.47"/>
  </r>
  <r>
    <n v="15545"/>
    <d v="2024-12-08T00:00:00"/>
    <n v="128"/>
    <n v="40"/>
    <s v="Books &amp; Stationery"/>
    <s v="Pen"/>
    <n v="2"/>
    <n v="475.77"/>
    <s v="Bank Transfer"/>
    <x v="533"/>
    <m/>
    <x v="1"/>
    <n v="65"/>
    <x v="0"/>
    <n v="951.54"/>
    <n v="285.46199999999999"/>
  </r>
  <r>
    <n v="55426"/>
    <d v="2024-12-08T00:00:00"/>
    <n v="139"/>
    <n v="50"/>
    <s v="Sports &amp; Outdoors"/>
    <s v="Running Shoes"/>
    <n v="5"/>
    <n v="448.92"/>
    <s v="Bank Transfer"/>
    <x v="700"/>
    <n v="5"/>
    <x v="2"/>
    <n v="69"/>
    <x v="0"/>
    <n v="2244.6"/>
    <n v="673.38"/>
  </r>
  <r>
    <n v="58368"/>
    <d v="2024-12-08T00:00:00"/>
    <n v="522"/>
    <n v="20"/>
    <s v="Fashion"/>
    <s v="Dress"/>
    <n v="3"/>
    <n v="162.83000000000001"/>
    <s v="Bank Transfer"/>
    <x v="701"/>
    <n v="5"/>
    <x v="1"/>
    <n v="23"/>
    <x v="3"/>
    <n v="488.49"/>
    <n v="146.547"/>
  </r>
  <r>
    <n v="54614"/>
    <d v="2024-12-10T00:00:00"/>
    <n v="704"/>
    <n v="40"/>
    <s v="Books &amp; Stationery"/>
    <s v="Novel"/>
    <n v="1"/>
    <n v="55.6"/>
    <s v="Credit Card"/>
    <x v="702"/>
    <n v="4"/>
    <x v="0"/>
    <n v="61"/>
    <x v="0"/>
    <n v="55.6"/>
    <n v="16.68"/>
  </r>
  <r>
    <n v="38547"/>
    <d v="2024-12-10T00:00:00"/>
    <n v="486"/>
    <n v="30"/>
    <s v="Home &amp; Living"/>
    <s v="Carpet"/>
    <n v="3"/>
    <n v="474.17"/>
    <s v="Credit Card"/>
    <x v="703"/>
    <n v="4"/>
    <x v="0"/>
    <n v="61"/>
    <x v="0"/>
    <n v="1422.51"/>
    <n v="426.75299999999999"/>
  </r>
  <r>
    <n v="50139"/>
    <d v="2024-12-10T00:00:00"/>
    <n v="905"/>
    <n v="30"/>
    <s v="Home &amp; Living"/>
    <s v="Pillow"/>
    <n v="4"/>
    <n v="388"/>
    <s v="Credit Card"/>
    <x v="704"/>
    <n v="3"/>
    <x v="0"/>
    <n v="53"/>
    <x v="1"/>
    <n v="1552"/>
    <n v="465.59999999999997"/>
  </r>
  <r>
    <n v="30321"/>
    <d v="2024-12-11T00:00:00"/>
    <n v="665"/>
    <n v="30"/>
    <s v="Home &amp; Living"/>
    <s v="Pillow"/>
    <n v="3"/>
    <n v="477.17"/>
    <s v="Cash on Delivery"/>
    <x v="705"/>
    <n v="4"/>
    <x v="2"/>
    <n v="59"/>
    <x v="1"/>
    <n v="1431.51"/>
    <n v="429.45299999999997"/>
  </r>
  <r>
    <n v="18191"/>
    <d v="2024-12-11T00:00:00"/>
    <n v="355"/>
    <n v="20"/>
    <s v="Fashion"/>
    <s v="Pants"/>
    <n v="2"/>
    <n v="433.83"/>
    <s v="Bank Transfer"/>
    <x v="706"/>
    <n v="5"/>
    <x v="0"/>
    <n v="26"/>
    <x v="3"/>
    <n v="867.66"/>
    <n v="260.298"/>
  </r>
  <r>
    <n v="31253"/>
    <d v="2024-12-11T00:00:00"/>
    <n v="226"/>
    <n v="40"/>
    <s v="Books &amp; Stationery"/>
    <s v="Story Book"/>
    <n v="3"/>
    <n v="428.95"/>
    <s v="Cash on Delivery"/>
    <x v="707"/>
    <m/>
    <x v="0"/>
    <n v="43"/>
    <x v="2"/>
    <n v="1286.8499999999999"/>
    <n v="386.05499999999995"/>
  </r>
  <r>
    <n v="76505"/>
    <d v="2024-12-11T00:00:00"/>
    <n v="295"/>
    <n v="40"/>
    <s v="Books &amp; Stationery"/>
    <s v="Eraser"/>
    <n v="5"/>
    <n v="250.07"/>
    <s v="Bank Transfer"/>
    <x v="708"/>
    <n v="5"/>
    <x v="1"/>
    <n v="19"/>
    <x v="3"/>
    <n v="1250.3499999999999"/>
    <n v="375.10499999999996"/>
  </r>
  <r>
    <n v="14361"/>
    <d v="2024-12-12T00:00:00"/>
    <n v="178"/>
    <n v="50"/>
    <s v="Sports &amp; Outdoors"/>
    <s v="Running Shoes"/>
    <n v="4"/>
    <n v="233.12"/>
    <s v="Bank Transfer"/>
    <x v="709"/>
    <n v="5"/>
    <x v="2"/>
    <n v="23"/>
    <x v="3"/>
    <n v="932.48"/>
    <n v="279.74399999999997"/>
  </r>
  <r>
    <n v="57240"/>
    <d v="2024-12-12T00:00:00"/>
    <n v="426"/>
    <n v="10"/>
    <s v="Electronics"/>
    <s v="Tablet"/>
    <n v="4"/>
    <n v="458.08"/>
    <s v="Cash on Delivery"/>
    <x v="710"/>
    <n v="5"/>
    <x v="0"/>
    <n v="61"/>
    <x v="0"/>
    <n v="1832.32"/>
    <n v="549.69599999999991"/>
  </r>
  <r>
    <n v="69817"/>
    <d v="2024-12-12T00:00:00"/>
    <n v="100"/>
    <n v="10"/>
    <s v="Electronics"/>
    <s v="Laptop"/>
    <n v="4"/>
    <n v="179.94"/>
    <s v="Bank Transfer"/>
    <x v="711"/>
    <m/>
    <x v="1"/>
    <n v="18"/>
    <x v="3"/>
    <n v="719.76"/>
    <n v="215.928"/>
  </r>
  <r>
    <n v="55539"/>
    <d v="2024-12-13T00:00:00"/>
    <n v="614"/>
    <n v="10"/>
    <s v="Electronics"/>
    <s v="Laptop"/>
    <n v="5"/>
    <n v="144.94999999999999"/>
    <s v="Credit Card"/>
    <x v="712"/>
    <n v="5"/>
    <x v="1"/>
    <n v="59"/>
    <x v="1"/>
    <n v="724.75"/>
    <n v="217.42499999999998"/>
  </r>
  <r>
    <n v="88885"/>
    <d v="2024-12-13T00:00:00"/>
    <n v="393"/>
    <n v="10"/>
    <s v="Electronics"/>
    <s v="Headphones"/>
    <n v="1"/>
    <n v="112.93"/>
    <s v="Cash on Delivery"/>
    <x v="713"/>
    <n v="5"/>
    <x v="0"/>
    <n v="27"/>
    <x v="3"/>
    <n v="112.93"/>
    <n v="33.878999999999998"/>
  </r>
  <r>
    <n v="85139"/>
    <d v="2024-12-13T00:00:00"/>
    <n v="844"/>
    <n v="40"/>
    <s v="Books &amp; Stationery"/>
    <s v="Notebook"/>
    <n v="1"/>
    <n v="312.01"/>
    <s v="Bank Transfer"/>
    <x v="714"/>
    <n v="5"/>
    <x v="0"/>
    <n v="57"/>
    <x v="1"/>
    <n v="312.01"/>
    <n v="93.602999999999994"/>
  </r>
  <r>
    <n v="74178"/>
    <d v="2024-12-13T00:00:00"/>
    <n v="179"/>
    <n v="10"/>
    <s v="Electronics"/>
    <s v="Smartwatch"/>
    <n v="1"/>
    <n v="20.84"/>
    <s v="Credit Card"/>
    <x v="715"/>
    <n v="2"/>
    <x v="0"/>
    <n v="52"/>
    <x v="1"/>
    <n v="20.84"/>
    <n v="6.2519999999999998"/>
  </r>
  <r>
    <n v="74956"/>
    <d v="2024-12-14T00:00:00"/>
    <n v="204"/>
    <n v="50"/>
    <s v="Sports &amp; Outdoors"/>
    <s v="Basketball"/>
    <n v="5"/>
    <n v="93.29"/>
    <s v="Credit Card"/>
    <x v="716"/>
    <n v="5"/>
    <x v="0"/>
    <n v="58"/>
    <x v="1"/>
    <n v="466.45000000000005"/>
    <n v="139.935"/>
  </r>
  <r>
    <n v="44994"/>
    <d v="2024-12-14T00:00:00"/>
    <n v="879"/>
    <n v="10"/>
    <s v="Electronics"/>
    <s v="Tablet"/>
    <n v="5"/>
    <n v="269.42"/>
    <s v="Cash on Delivery"/>
    <x v="717"/>
    <n v="5"/>
    <x v="2"/>
    <n v="42"/>
    <x v="2"/>
    <n v="1347.1000000000001"/>
    <n v="404.13000000000005"/>
  </r>
  <r>
    <n v="68416"/>
    <d v="2024-12-15T00:00:00"/>
    <n v="311"/>
    <n v="20"/>
    <s v="Fashion"/>
    <s v="Skirt"/>
    <n v="5"/>
    <n v="22.15"/>
    <s v="Cash on Delivery"/>
    <x v="718"/>
    <n v="5"/>
    <x v="1"/>
    <n v="44"/>
    <x v="2"/>
    <n v="110.75"/>
    <n v="33.225000000000001"/>
  </r>
  <r>
    <n v="13112"/>
    <d v="2024-12-15T00:00:00"/>
    <n v="202"/>
    <n v="10"/>
    <s v="Electronics"/>
    <s v="Headphones"/>
    <n v="2"/>
    <n v="182.06"/>
    <s v="Cash on Delivery"/>
    <x v="719"/>
    <n v="3"/>
    <x v="2"/>
    <n v="35"/>
    <x v="2"/>
    <n v="364.12"/>
    <n v="109.236"/>
  </r>
  <r>
    <n v="46326"/>
    <d v="2024-12-15T00:00:00"/>
    <n v="625"/>
    <n v="10"/>
    <s v="Electronics"/>
    <s v="Headphones"/>
    <n v="4"/>
    <n v="427.65"/>
    <s v="Cash on Delivery"/>
    <x v="720"/>
    <n v="3"/>
    <x v="0"/>
    <n v="31"/>
    <x v="2"/>
    <n v="1710.6"/>
    <n v="513.17999999999995"/>
  </r>
  <r>
    <n v="82894"/>
    <d v="2024-12-15T00:00:00"/>
    <n v="585"/>
    <n v="20"/>
    <s v="Fashion"/>
    <s v="Shirt"/>
    <n v="1"/>
    <n v="499.23"/>
    <s v="Bank Transfer"/>
    <x v="721"/>
    <n v="5"/>
    <x v="2"/>
    <n v="58"/>
    <x v="1"/>
    <n v="499.23"/>
    <n v="149.76900000000001"/>
  </r>
  <r>
    <n v="57419"/>
    <d v="2024-12-15T00:00:00"/>
    <n v="222"/>
    <n v="10"/>
    <s v="Electronics"/>
    <s v="Tablet"/>
    <n v="2"/>
    <n v="423.22"/>
    <s v="Credit Card"/>
    <x v="722"/>
    <n v="2"/>
    <x v="0"/>
    <n v="29"/>
    <x v="3"/>
    <n v="846.44"/>
    <n v="253.93200000000002"/>
  </r>
  <r>
    <n v="79928"/>
    <d v="2024-12-16T00:00:00"/>
    <n v="246"/>
    <n v="20"/>
    <s v="Fashion"/>
    <s v="Dress"/>
    <n v="3"/>
    <n v="30.61"/>
    <s v="Cash on Delivery"/>
    <x v="723"/>
    <m/>
    <x v="2"/>
    <n v="50"/>
    <x v="1"/>
    <n v="91.83"/>
    <n v="27.548999999999999"/>
  </r>
  <r>
    <n v="52647"/>
    <d v="2024-12-16T00:00:00"/>
    <n v="806"/>
    <n v="50"/>
    <s v="Sports &amp; Outdoors"/>
    <s v="Tent"/>
    <n v="4"/>
    <n v="433.77"/>
    <s v="Cash on Delivery"/>
    <x v="724"/>
    <n v="5"/>
    <x v="0"/>
    <n v="43"/>
    <x v="2"/>
    <n v="1735.08"/>
    <n v="520.524"/>
  </r>
  <r>
    <n v="68904"/>
    <d v="2024-12-16T00:00:00"/>
    <n v="957"/>
    <n v="10"/>
    <s v="Electronics"/>
    <s v="Laptop"/>
    <n v="4"/>
    <n v="266.13"/>
    <s v="Cash on Delivery"/>
    <x v="725"/>
    <n v="5"/>
    <x v="1"/>
    <n v="25"/>
    <x v="3"/>
    <n v="1064.52"/>
    <n v="319.35599999999999"/>
  </r>
  <r>
    <n v="13542"/>
    <d v="2024-12-17T00:00:00"/>
    <n v="784"/>
    <n v="10"/>
    <s v="Electronics"/>
    <s v="Smartphone"/>
    <n v="2"/>
    <n v="373.36"/>
    <s v="Credit Card"/>
    <x v="726"/>
    <n v="1"/>
    <x v="1"/>
    <n v="56"/>
    <x v="1"/>
    <n v="746.72"/>
    <n v="224.01599999999999"/>
  </r>
  <r>
    <n v="41394"/>
    <d v="2024-12-17T00:00:00"/>
    <n v="549"/>
    <n v="30"/>
    <s v="Home &amp; Living"/>
    <s v="Pillow"/>
    <n v="3"/>
    <n v="429.11"/>
    <s v="Credit Card"/>
    <x v="727"/>
    <n v="3"/>
    <x v="1"/>
    <n v="69"/>
    <x v="0"/>
    <n v="1287.33"/>
    <n v="386.19899999999996"/>
  </r>
  <r>
    <n v="76490"/>
    <d v="2024-12-17T00:00:00"/>
    <n v="362"/>
    <n v="30"/>
    <s v="Home &amp; Living"/>
    <s v="Vase"/>
    <n v="5"/>
    <n v="307.04000000000002"/>
    <s v="Cash on Delivery"/>
    <x v="728"/>
    <m/>
    <x v="1"/>
    <n v="48"/>
    <x v="1"/>
    <n v="1535.2"/>
    <n v="460.56"/>
  </r>
  <r>
    <n v="81394"/>
    <d v="2024-12-17T00:00:00"/>
    <n v="110"/>
    <n v="50"/>
    <s v="Sports &amp; Outdoors"/>
    <s v="Tent"/>
    <n v="3"/>
    <n v="68.22"/>
    <s v="Credit Card"/>
    <x v="729"/>
    <n v="3"/>
    <x v="1"/>
    <n v="52"/>
    <x v="1"/>
    <n v="204.66"/>
    <n v="61.397999999999996"/>
  </r>
  <r>
    <n v="53977"/>
    <d v="2024-12-17T00:00:00"/>
    <n v="125"/>
    <n v="50"/>
    <s v="Sports &amp; Outdoors"/>
    <s v="Basketball"/>
    <n v="1"/>
    <n v="117.37"/>
    <s v="Credit Card"/>
    <x v="730"/>
    <n v="4"/>
    <x v="1"/>
    <n v="43"/>
    <x v="2"/>
    <n v="117.37"/>
    <n v="35.210999999999999"/>
  </r>
  <r>
    <n v="20814"/>
    <d v="2024-12-18T00:00:00"/>
    <n v="914"/>
    <n v="10"/>
    <s v="Electronics"/>
    <s v="Smartphone"/>
    <n v="4"/>
    <n v="291.29000000000002"/>
    <s v="Bank Transfer"/>
    <x v="731"/>
    <n v="4"/>
    <x v="0"/>
    <n v="65"/>
    <x v="0"/>
    <n v="1165.1600000000001"/>
    <n v="349.548"/>
  </r>
  <r>
    <n v="85365"/>
    <d v="2024-12-18T00:00:00"/>
    <n v="870"/>
    <n v="20"/>
    <s v="Fashion"/>
    <s v="Skirt"/>
    <n v="2"/>
    <n v="158.05000000000001"/>
    <s v="Cash on Delivery"/>
    <x v="732"/>
    <n v="5"/>
    <x v="0"/>
    <n v="59"/>
    <x v="1"/>
    <n v="316.10000000000002"/>
    <n v="94.83"/>
  </r>
  <r>
    <n v="85771"/>
    <d v="2024-12-18T00:00:00"/>
    <n v="299"/>
    <n v="10"/>
    <s v="Electronics"/>
    <s v="Smartwatch"/>
    <n v="2"/>
    <n v="336.34"/>
    <s v="Credit Card"/>
    <x v="733"/>
    <n v="4"/>
    <x v="1"/>
    <n v="56"/>
    <x v="1"/>
    <n v="672.68"/>
    <n v="201.80399999999997"/>
  </r>
  <r>
    <n v="63100"/>
    <d v="2024-12-18T00:00:00"/>
    <n v="974"/>
    <n v="10"/>
    <s v="Electronics"/>
    <s v="Tablet"/>
    <n v="5"/>
    <n v="410.6"/>
    <s v="Credit Card"/>
    <x v="734"/>
    <n v="3"/>
    <x v="1"/>
    <n v="58"/>
    <x v="1"/>
    <n v="2053"/>
    <n v="615.9"/>
  </r>
  <r>
    <n v="99182"/>
    <d v="2024-12-19T00:00:00"/>
    <n v="395"/>
    <n v="20"/>
    <s v="Fashion"/>
    <s v="Shirt"/>
    <n v="3"/>
    <n v="197.66"/>
    <s v="Bank Transfer"/>
    <x v="735"/>
    <m/>
    <x v="1"/>
    <n v="23"/>
    <x v="3"/>
    <n v="592.98"/>
    <n v="177.89400000000001"/>
  </r>
  <r>
    <n v="64425"/>
    <d v="2024-12-19T00:00:00"/>
    <n v="780"/>
    <n v="50"/>
    <s v="Sports &amp; Outdoors"/>
    <s v="Soccer Ball"/>
    <n v="5"/>
    <n v="203.93"/>
    <s v="Bank Transfer"/>
    <x v="736"/>
    <n v="5"/>
    <x v="0"/>
    <n v="22"/>
    <x v="3"/>
    <n v="1019.6500000000001"/>
    <n v="305.89500000000004"/>
  </r>
  <r>
    <n v="90540"/>
    <d v="2024-12-19T00:00:00"/>
    <n v="259"/>
    <n v="20"/>
    <s v="Fashion"/>
    <s v="Dress"/>
    <n v="4"/>
    <n v="438.66"/>
    <s v="Credit Card"/>
    <x v="737"/>
    <n v="4"/>
    <x v="0"/>
    <n v="49"/>
    <x v="1"/>
    <n v="1754.64"/>
    <n v="526.39200000000005"/>
  </r>
  <r>
    <n v="14046"/>
    <d v="2024-12-19T00:00:00"/>
    <n v="689"/>
    <n v="20"/>
    <s v="Fashion"/>
    <s v="Pants"/>
    <n v="4"/>
    <n v="125.91"/>
    <s v="Bank Transfer"/>
    <x v="738"/>
    <n v="5"/>
    <x v="1"/>
    <n v="24"/>
    <x v="3"/>
    <n v="503.64"/>
    <n v="151.09199999999998"/>
  </r>
  <r>
    <n v="60063"/>
    <d v="2024-12-19T00:00:00"/>
    <n v="173"/>
    <n v="50"/>
    <s v="Sports &amp; Outdoors"/>
    <s v="Basketball"/>
    <n v="1"/>
    <n v="432.67"/>
    <s v="Bank Transfer"/>
    <x v="739"/>
    <n v="5"/>
    <x v="1"/>
    <n v="68"/>
    <x v="0"/>
    <n v="432.67"/>
    <n v="129.80099999999999"/>
  </r>
  <r>
    <n v="61650"/>
    <d v="2024-12-19T00:00:00"/>
    <n v="804"/>
    <n v="10"/>
    <s v="Electronics"/>
    <s v="Smartphone"/>
    <n v="2"/>
    <n v="197.96"/>
    <s v="Credit Card"/>
    <x v="740"/>
    <n v="4"/>
    <x v="0"/>
    <n v="29"/>
    <x v="3"/>
    <n v="395.92"/>
    <n v="118.776"/>
  </r>
  <r>
    <n v="76076"/>
    <d v="2024-12-20T00:00:00"/>
    <n v="184"/>
    <n v="10"/>
    <s v="Electronics"/>
    <s v="Laptop"/>
    <n v="4"/>
    <n v="457.54"/>
    <s v="Bank Transfer"/>
    <x v="741"/>
    <n v="4"/>
    <x v="1"/>
    <n v="29"/>
    <x v="3"/>
    <n v="1830.16"/>
    <n v="549.048"/>
  </r>
  <r>
    <n v="20025"/>
    <d v="2024-12-21T00:00:00"/>
    <n v="681"/>
    <n v="50"/>
    <s v="Sports &amp; Outdoors"/>
    <s v="Yoga Mat"/>
    <n v="2"/>
    <n v="68.510000000000005"/>
    <s v="Cash on Delivery"/>
    <x v="742"/>
    <n v="5"/>
    <x v="0"/>
    <n v="60"/>
    <x v="1"/>
    <n v="137.02000000000001"/>
    <n v="41.106000000000002"/>
  </r>
  <r>
    <n v="53649"/>
    <d v="2024-12-22T00:00:00"/>
    <n v="742"/>
    <n v="50"/>
    <s v="Sports &amp; Outdoors"/>
    <s v="Yoga Mat"/>
    <n v="1"/>
    <n v="329.05"/>
    <s v="Cash on Delivery"/>
    <x v="743"/>
    <n v="4"/>
    <x v="1"/>
    <n v="56"/>
    <x v="1"/>
    <n v="329.05"/>
    <n v="98.715000000000003"/>
  </r>
  <r>
    <n v="36989"/>
    <d v="2024-12-22T00:00:00"/>
    <n v="639"/>
    <n v="10"/>
    <s v="Electronics"/>
    <s v="Smartwatch"/>
    <n v="3"/>
    <n v="185.56"/>
    <s v="Credit Card"/>
    <x v="744"/>
    <n v="4"/>
    <x v="1"/>
    <n v="48"/>
    <x v="1"/>
    <n v="556.68000000000006"/>
    <n v="167.00400000000002"/>
  </r>
  <r>
    <n v="14520"/>
    <d v="2024-12-22T00:00:00"/>
    <n v="222"/>
    <n v="30"/>
    <s v="Home &amp; Living"/>
    <s v="Blanket"/>
    <n v="3"/>
    <n v="372.61"/>
    <s v="Credit Card"/>
    <x v="745"/>
    <n v="1"/>
    <x v="1"/>
    <n v="69"/>
    <x v="0"/>
    <n v="1117.83"/>
    <n v="335.34899999999999"/>
  </r>
  <r>
    <n v="44020"/>
    <d v="2024-12-23T00:00:00"/>
    <n v="798"/>
    <n v="10"/>
    <s v="Electronics"/>
    <s v="Laptop"/>
    <n v="5"/>
    <n v="164.62"/>
    <s v="Cash on Delivery"/>
    <x v="600"/>
    <n v="4"/>
    <x v="1"/>
    <n v="62"/>
    <x v="0"/>
    <n v="823.1"/>
    <n v="246.93"/>
  </r>
  <r>
    <n v="81512"/>
    <d v="2024-12-23T00:00:00"/>
    <n v="976"/>
    <n v="50"/>
    <s v="Sports &amp; Outdoors"/>
    <s v="Soccer Ball"/>
    <n v="3"/>
    <n v="76.44"/>
    <s v="Bank Transfer"/>
    <x v="746"/>
    <n v="5"/>
    <x v="2"/>
    <n v="49"/>
    <x v="1"/>
    <n v="229.32"/>
    <n v="68.795999999999992"/>
  </r>
  <r>
    <n v="21745"/>
    <d v="2024-12-23T00:00:00"/>
    <n v="560"/>
    <n v="40"/>
    <s v="Books &amp; Stationery"/>
    <s v="Notebook"/>
    <n v="5"/>
    <n v="124.91"/>
    <s v="Credit Card"/>
    <x v="747"/>
    <n v="5"/>
    <x v="2"/>
    <n v="54"/>
    <x v="1"/>
    <n v="624.54999999999995"/>
    <n v="187.36499999999998"/>
  </r>
  <r>
    <n v="11645"/>
    <d v="2024-12-23T00:00:00"/>
    <n v="642"/>
    <n v="20"/>
    <s v="Fashion"/>
    <s v="T-shirt"/>
    <n v="5"/>
    <n v="367.65"/>
    <s v="Cash on Delivery"/>
    <x v="748"/>
    <n v="5"/>
    <x v="1"/>
    <n v="65"/>
    <x v="0"/>
    <n v="1838.25"/>
    <n v="551.47500000000002"/>
  </r>
  <r>
    <n v="69719"/>
    <d v="2024-12-24T00:00:00"/>
    <n v="941"/>
    <n v="10"/>
    <s v="Electronics"/>
    <s v="Smartphone"/>
    <n v="2"/>
    <n v="344.04"/>
    <s v="Cash on Delivery"/>
    <x v="749"/>
    <n v="5"/>
    <x v="1"/>
    <n v="29"/>
    <x v="3"/>
    <n v="688.08"/>
    <n v="206.42400000000001"/>
  </r>
  <r>
    <n v="33743"/>
    <d v="2024-12-24T00:00:00"/>
    <n v="405"/>
    <n v="50"/>
    <s v="Sports &amp; Outdoors"/>
    <s v="Basketball"/>
    <n v="3"/>
    <n v="405.54"/>
    <s v="Cash on Delivery"/>
    <x v="750"/>
    <n v="5"/>
    <x v="1"/>
    <n v="64"/>
    <x v="0"/>
    <n v="1216.6200000000001"/>
    <n v="364.98600000000005"/>
  </r>
  <r>
    <n v="63024"/>
    <d v="2024-12-24T00:00:00"/>
    <n v="990"/>
    <n v="30"/>
    <s v="Home &amp; Living"/>
    <s v="Blanket"/>
    <n v="3"/>
    <n v="480.65"/>
    <s v="Credit Card"/>
    <x v="751"/>
    <n v="5"/>
    <x v="1"/>
    <n v="73"/>
    <x v="0"/>
    <n v="1441.9499999999998"/>
    <n v="432.58499999999992"/>
  </r>
  <r>
    <n v="84629"/>
    <d v="2024-12-24T00:00:00"/>
    <n v="246"/>
    <n v="30"/>
    <s v="Home &amp; Living"/>
    <s v="Pillow"/>
    <n v="4"/>
    <n v="320.72000000000003"/>
    <s v="Bank Transfer"/>
    <x v="752"/>
    <n v="4"/>
    <x v="0"/>
    <n v="75"/>
    <x v="0"/>
    <n v="1282.8800000000001"/>
    <n v="384.86400000000003"/>
  </r>
  <r>
    <n v="30444"/>
    <d v="2024-12-24T00:00:00"/>
    <n v="651"/>
    <n v="30"/>
    <s v="Home &amp; Living"/>
    <s v="Vase"/>
    <n v="4"/>
    <n v="61.91"/>
    <s v="Credit Card"/>
    <x v="753"/>
    <n v="2"/>
    <x v="1"/>
    <n v="38"/>
    <x v="2"/>
    <n v="247.64"/>
    <n v="74.291999999999987"/>
  </r>
  <r>
    <n v="62824"/>
    <d v="2024-12-25T00:00:00"/>
    <n v="629"/>
    <n v="30"/>
    <s v="Home &amp; Living"/>
    <s v="Blanket"/>
    <n v="5"/>
    <n v="321.94"/>
    <s v="Cash on Delivery"/>
    <x v="514"/>
    <n v="2"/>
    <x v="1"/>
    <n v="63"/>
    <x v="0"/>
    <n v="1609.7"/>
    <n v="482.90999999999997"/>
  </r>
  <r>
    <n v="15824"/>
    <d v="2024-12-25T00:00:00"/>
    <n v="119"/>
    <n v="10"/>
    <s v="Electronics"/>
    <s v="Laptop"/>
    <n v="2"/>
    <n v="256.91000000000003"/>
    <s v="Bank Transfer"/>
    <x v="754"/>
    <n v="1"/>
    <x v="2"/>
    <n v="58"/>
    <x v="1"/>
    <n v="513.82000000000005"/>
    <n v="154.14600000000002"/>
  </r>
  <r>
    <n v="49580"/>
    <d v="2024-12-25T00:00:00"/>
    <n v="828"/>
    <n v="40"/>
    <s v="Books &amp; Stationery"/>
    <s v="Eraser"/>
    <n v="1"/>
    <n v="373.83"/>
    <s v="Bank Transfer"/>
    <x v="755"/>
    <n v="4"/>
    <x v="0"/>
    <n v="30"/>
    <x v="3"/>
    <n v="373.83"/>
    <n v="112.14899999999999"/>
  </r>
  <r>
    <n v="73507"/>
    <d v="2024-12-25T00:00:00"/>
    <n v="133"/>
    <n v="20"/>
    <s v="Fashion"/>
    <s v="T-shirt"/>
    <n v="4"/>
    <n v="54.68"/>
    <s v="Cash on Delivery"/>
    <x v="756"/>
    <n v="4"/>
    <x v="0"/>
    <n v="74"/>
    <x v="0"/>
    <n v="218.72"/>
    <n v="65.616"/>
  </r>
  <r>
    <n v="39027"/>
    <d v="2024-12-26T00:00:00"/>
    <n v="757"/>
    <n v="30"/>
    <s v="Home &amp; Living"/>
    <s v="Carpet"/>
    <n v="1"/>
    <n v="274.58999999999997"/>
    <s v="Bank Transfer"/>
    <x v="757"/>
    <m/>
    <x v="0"/>
    <n v="23"/>
    <x v="3"/>
    <n v="274.58999999999997"/>
    <n v="82.376999999999995"/>
  </r>
  <r>
    <n v="80835"/>
    <d v="2024-12-26T00:00:00"/>
    <n v="114"/>
    <n v="20"/>
    <s v="Fashion"/>
    <s v="T-shirt"/>
    <n v="3"/>
    <n v="240.05"/>
    <s v="Bank Transfer"/>
    <x v="758"/>
    <n v="3"/>
    <x v="1"/>
    <n v="40"/>
    <x v="2"/>
    <n v="720.15000000000009"/>
    <n v="216.04500000000002"/>
  </r>
  <r>
    <n v="72727"/>
    <d v="2024-12-26T00:00:00"/>
    <n v="773"/>
    <n v="20"/>
    <s v="Fashion"/>
    <s v="Shirt"/>
    <n v="3"/>
    <n v="153.94999999999999"/>
    <s v="Credit Card"/>
    <x v="759"/>
    <m/>
    <x v="1"/>
    <n v="42"/>
    <x v="2"/>
    <n v="461.84999999999997"/>
    <n v="138.55499999999998"/>
  </r>
  <r>
    <n v="17305"/>
    <d v="2024-12-26T00:00:00"/>
    <n v="914"/>
    <n v="20"/>
    <s v="Fashion"/>
    <s v="Pants"/>
    <n v="5"/>
    <n v="104.05"/>
    <s v="Cash on Delivery"/>
    <x v="760"/>
    <n v="2"/>
    <x v="0"/>
    <n v="28"/>
    <x v="3"/>
    <n v="520.25"/>
    <n v="156.07499999999999"/>
  </r>
  <r>
    <n v="54917"/>
    <d v="2024-12-26T00:00:00"/>
    <n v="405"/>
    <n v="20"/>
    <s v="Fashion"/>
    <s v="Pants"/>
    <n v="4"/>
    <n v="157.24"/>
    <s v="Cash on Delivery"/>
    <x v="761"/>
    <n v="4"/>
    <x v="1"/>
    <n v="62"/>
    <x v="0"/>
    <n v="628.96"/>
    <n v="188.68800000000002"/>
  </r>
  <r>
    <n v="27123"/>
    <d v="2024-12-27T00:00:00"/>
    <n v="144"/>
    <n v="20"/>
    <s v="Fashion"/>
    <s v="Dress"/>
    <n v="3"/>
    <n v="162.69999999999999"/>
    <s v="Bank Transfer"/>
    <x v="762"/>
    <n v="5"/>
    <x v="1"/>
    <n v="18"/>
    <x v="3"/>
    <n v="488.09999999999997"/>
    <n v="146.42999999999998"/>
  </r>
  <r>
    <n v="56589"/>
    <d v="2024-12-27T00:00:00"/>
    <n v="969"/>
    <n v="20"/>
    <s v="Fashion"/>
    <s v="Shirt"/>
    <n v="1"/>
    <n v="275.82"/>
    <s v="Cash on Delivery"/>
    <x v="763"/>
    <n v="3"/>
    <x v="0"/>
    <n v="18"/>
    <x v="3"/>
    <n v="275.82"/>
    <n v="82.745999999999995"/>
  </r>
  <r>
    <n v="13356"/>
    <d v="2024-12-27T00:00:00"/>
    <n v="232"/>
    <n v="50"/>
    <s v="Sports &amp; Outdoors"/>
    <s v="Basketball"/>
    <n v="5"/>
    <n v="408.95"/>
    <s v="Cash on Delivery"/>
    <x v="764"/>
    <n v="2"/>
    <x v="0"/>
    <n v="38"/>
    <x v="2"/>
    <n v="2044.75"/>
    <n v="613.42499999999995"/>
  </r>
  <r>
    <n v="43115"/>
    <d v="2024-12-28T00:00:00"/>
    <n v="144"/>
    <n v="50"/>
    <s v="Sports &amp; Outdoors"/>
    <s v="Soccer Ball"/>
    <n v="3"/>
    <n v="201.32"/>
    <s v="Bank Transfer"/>
    <x v="684"/>
    <m/>
    <x v="0"/>
    <n v="65"/>
    <x v="0"/>
    <n v="603.96"/>
    <n v="181.18800000000002"/>
  </r>
  <r>
    <n v="99923"/>
    <d v="2024-12-28T00:00:00"/>
    <n v="145"/>
    <n v="20"/>
    <s v="Fashion"/>
    <s v="T-shirt"/>
    <n v="3"/>
    <n v="164.64"/>
    <s v="Bank Transfer"/>
    <x v="765"/>
    <n v="4"/>
    <x v="2"/>
    <n v="66"/>
    <x v="0"/>
    <n v="493.91999999999996"/>
    <n v="148.17599999999999"/>
  </r>
  <r>
    <n v="94597"/>
    <d v="2024-12-28T00:00:00"/>
    <n v="241"/>
    <n v="10"/>
    <s v="Electronics"/>
    <s v="Headphones"/>
    <n v="2"/>
    <n v="302.58999999999997"/>
    <s v="Credit Card"/>
    <x v="766"/>
    <n v="5"/>
    <x v="1"/>
    <n v="28"/>
    <x v="3"/>
    <n v="605.17999999999995"/>
    <n v="181.55399999999997"/>
  </r>
  <r>
    <n v="73165"/>
    <d v="2024-12-29T00:00:00"/>
    <n v="237"/>
    <n v="40"/>
    <s v="Books &amp; Stationery"/>
    <s v="Eraser"/>
    <n v="2"/>
    <n v="240.26"/>
    <s v="Credit Card"/>
    <x v="767"/>
    <n v="1"/>
    <x v="1"/>
    <n v="48"/>
    <x v="1"/>
    <n v="480.52"/>
    <n v="144.15599999999998"/>
  </r>
  <r>
    <n v="95874"/>
    <d v="2024-12-30T00:00:00"/>
    <n v="424"/>
    <n v="50"/>
    <s v="Sports &amp; Outdoors"/>
    <s v="Soccer Ball"/>
    <n v="3"/>
    <n v="303.48"/>
    <s v="Bank Transfer"/>
    <x v="768"/>
    <m/>
    <x v="2"/>
    <n v="48"/>
    <x v="1"/>
    <n v="910.44"/>
    <n v="273.13200000000001"/>
  </r>
  <r>
    <n v="25952"/>
    <d v="2024-12-30T00:00:00"/>
    <n v="448"/>
    <n v="20"/>
    <s v="Fashion"/>
    <s v="Pants"/>
    <n v="5"/>
    <n v="287.5"/>
    <s v="Bank Transfer"/>
    <x v="769"/>
    <m/>
    <x v="1"/>
    <n v="73"/>
    <x v="0"/>
    <n v="1437.5"/>
    <n v="431.25"/>
  </r>
  <r>
    <n v="71870"/>
    <d v="2024-12-30T00:00:00"/>
    <n v="522"/>
    <n v="10"/>
    <s v="Electronics"/>
    <s v="Smartwatch"/>
    <n v="3"/>
    <n v="286.01"/>
    <s v="Cash on Delivery"/>
    <x v="770"/>
    <n v="5"/>
    <x v="0"/>
    <n v="56"/>
    <x v="1"/>
    <n v="858.03"/>
    <n v="257.40899999999999"/>
  </r>
  <r>
    <n v="74218"/>
    <d v="2024-12-30T00:00:00"/>
    <n v="631"/>
    <n v="40"/>
    <s v="Books &amp; Stationery"/>
    <s v="Story Book"/>
    <n v="1"/>
    <n v="309.55"/>
    <s v="Bank Transfer"/>
    <x v="771"/>
    <n v="5"/>
    <x v="1"/>
    <n v="52"/>
    <x v="1"/>
    <n v="309.55"/>
    <n v="92.864999999999995"/>
  </r>
  <r>
    <n v="15625"/>
    <d v="2024-12-31T00:00:00"/>
    <n v="852"/>
    <n v="20"/>
    <s v="Fashion"/>
    <s v="T-shirt"/>
    <n v="4"/>
    <n v="380.53"/>
    <s v="Bank Transfer"/>
    <x v="34"/>
    <n v="4"/>
    <x v="1"/>
    <n v="45"/>
    <x v="2"/>
    <n v="1522.12"/>
    <n v="456.63599999999997"/>
  </r>
  <r>
    <n v="40338"/>
    <d v="2024-12-31T00:00:00"/>
    <n v="310"/>
    <n v="40"/>
    <s v="Books &amp; Stationery"/>
    <s v="Pen"/>
    <n v="5"/>
    <n v="79.66"/>
    <s v="Cash on Delivery"/>
    <x v="772"/>
    <n v="2"/>
    <x v="0"/>
    <n v="36"/>
    <x v="2"/>
    <n v="398.29999999999995"/>
    <n v="119.48999999999998"/>
  </r>
  <r>
    <n v="37729"/>
    <d v="2024-12-31T00:00:00"/>
    <n v="180"/>
    <n v="30"/>
    <s v="Home &amp; Living"/>
    <s v="Carpet"/>
    <n v="2"/>
    <n v="127.95"/>
    <s v="Cash on Delivery"/>
    <x v="773"/>
    <n v="1"/>
    <x v="1"/>
    <n v="48"/>
    <x v="1"/>
    <n v="255.9"/>
    <n v="76.77"/>
  </r>
  <r>
    <n v="82793"/>
    <d v="2025-01-01T00:00:00"/>
    <n v="261"/>
    <n v="30"/>
    <s v="Home &amp; Living"/>
    <s v="Blanket"/>
    <n v="4"/>
    <n v="321.18"/>
    <s v="Cash on Delivery"/>
    <x v="774"/>
    <n v="2"/>
    <x v="1"/>
    <n v="49"/>
    <x v="1"/>
    <n v="1284.72"/>
    <n v="385.416"/>
  </r>
  <r>
    <n v="73269"/>
    <d v="2025-01-03T00:00:00"/>
    <n v="748"/>
    <n v="10"/>
    <s v="Electronics"/>
    <s v="Smartwatch"/>
    <n v="2"/>
    <n v="301.10000000000002"/>
    <s v="Bank Transfer"/>
    <x v="775"/>
    <n v="4"/>
    <x v="1"/>
    <n v="24"/>
    <x v="3"/>
    <n v="602.20000000000005"/>
    <n v="180.66"/>
  </r>
  <r>
    <n v="35219"/>
    <d v="2025-01-03T00:00:00"/>
    <n v="739"/>
    <n v="40"/>
    <s v="Books &amp; Stationery"/>
    <s v="Notebook"/>
    <n v="4"/>
    <n v="410.06"/>
    <s v="Cash on Delivery"/>
    <x v="776"/>
    <n v="1"/>
    <x v="0"/>
    <n v="21"/>
    <x v="3"/>
    <n v="1640.24"/>
    <n v="492.072"/>
  </r>
  <r>
    <n v="59338"/>
    <d v="2025-01-03T00:00:00"/>
    <n v="937"/>
    <n v="30"/>
    <s v="Home &amp; Living"/>
    <s v="Painting"/>
    <n v="4"/>
    <n v="478.94"/>
    <s v="Credit Card"/>
    <x v="777"/>
    <n v="1"/>
    <x v="0"/>
    <n v="48"/>
    <x v="1"/>
    <n v="1915.76"/>
    <n v="574.72799999999995"/>
  </r>
  <r>
    <n v="40849"/>
    <d v="2025-01-03T00:00:00"/>
    <n v="554"/>
    <n v="10"/>
    <s v="Electronics"/>
    <s v="Tablet"/>
    <n v="4"/>
    <n v="59.93"/>
    <s v="Credit Card"/>
    <x v="778"/>
    <m/>
    <x v="0"/>
    <n v="23"/>
    <x v="3"/>
    <n v="239.72"/>
    <n v="71.915999999999997"/>
  </r>
  <r>
    <n v="13431"/>
    <d v="2025-01-03T00:00:00"/>
    <n v="591"/>
    <n v="20"/>
    <s v="Fashion"/>
    <s v="T-shirt"/>
    <n v="3"/>
    <n v="206.38"/>
    <s v="Bank Transfer"/>
    <x v="779"/>
    <n v="2"/>
    <x v="0"/>
    <n v="63"/>
    <x v="0"/>
    <n v="619.14"/>
    <n v="185.74199999999999"/>
  </r>
  <r>
    <n v="88937"/>
    <d v="2025-01-04T00:00:00"/>
    <n v="504"/>
    <n v="30"/>
    <s v="Home &amp; Living"/>
    <s v="Vase"/>
    <n v="2"/>
    <n v="240.14"/>
    <s v="Bank Transfer"/>
    <x v="780"/>
    <n v="5"/>
    <x v="0"/>
    <n v="34"/>
    <x v="2"/>
    <n v="480.28"/>
    <n v="144.08399999999997"/>
  </r>
  <r>
    <n v="99133"/>
    <d v="2025-01-05T00:00:00"/>
    <n v="928"/>
    <n v="50"/>
    <s v="Sports &amp; Outdoors"/>
    <s v="Tent"/>
    <n v="1"/>
    <n v="63.44"/>
    <s v="Cash on Delivery"/>
    <x v="781"/>
    <n v="1"/>
    <x v="1"/>
    <n v="26"/>
    <x v="3"/>
    <n v="63.44"/>
    <n v="19.032"/>
  </r>
  <r>
    <n v="16865"/>
    <d v="2025-01-06T00:00:00"/>
    <n v="991"/>
    <n v="30"/>
    <s v="Home &amp; Living"/>
    <s v="Pillow"/>
    <n v="3"/>
    <n v="208.47"/>
    <s v="Bank Transfer"/>
    <x v="782"/>
    <m/>
    <x v="2"/>
    <n v="39"/>
    <x v="2"/>
    <n v="625.41"/>
    <n v="187.62299999999999"/>
  </r>
  <r>
    <n v="24196"/>
    <d v="2025-01-06T00:00:00"/>
    <n v="229"/>
    <n v="10"/>
    <s v="Electronics"/>
    <s v="Smartphone"/>
    <n v="1"/>
    <n v="231.51"/>
    <s v="Credit Card"/>
    <x v="783"/>
    <n v="5"/>
    <x v="0"/>
    <n v="41"/>
    <x v="2"/>
    <n v="231.51"/>
    <n v="69.452999999999989"/>
  </r>
  <r>
    <n v="93038"/>
    <d v="2025-01-06T00:00:00"/>
    <n v="847"/>
    <n v="40"/>
    <s v="Books &amp; Stationery"/>
    <s v="Story Book"/>
    <n v="5"/>
    <n v="125.08"/>
    <s v="Credit Card"/>
    <x v="784"/>
    <n v="5"/>
    <x v="0"/>
    <n v="36"/>
    <x v="2"/>
    <n v="625.4"/>
    <n v="187.61999999999998"/>
  </r>
  <r>
    <n v="89875"/>
    <d v="2025-01-06T00:00:00"/>
    <n v="759"/>
    <n v="40"/>
    <s v="Books &amp; Stationery"/>
    <s v="Novel"/>
    <n v="1"/>
    <n v="233.24"/>
    <s v="Cash on Delivery"/>
    <x v="785"/>
    <n v="5"/>
    <x v="1"/>
    <n v="30"/>
    <x v="3"/>
    <n v="233.24"/>
    <n v="69.971999999999994"/>
  </r>
  <r>
    <n v="60807"/>
    <d v="2025-01-07T00:00:00"/>
    <n v="798"/>
    <n v="20"/>
    <s v="Fashion"/>
    <s v="Skirt"/>
    <n v="1"/>
    <n v="280.12"/>
    <s v="Bank Transfer"/>
    <x v="786"/>
    <m/>
    <x v="1"/>
    <n v="39"/>
    <x v="2"/>
    <n v="280.12"/>
    <n v="84.036000000000001"/>
  </r>
  <r>
    <n v="57585"/>
    <d v="2025-01-07T00:00:00"/>
    <n v="394"/>
    <n v="40"/>
    <s v="Books &amp; Stationery"/>
    <s v="Pen"/>
    <n v="4"/>
    <n v="494.32"/>
    <s v="Cash on Delivery"/>
    <x v="787"/>
    <n v="5"/>
    <x v="1"/>
    <n v="50"/>
    <x v="1"/>
    <n v="1977.28"/>
    <n v="593.18399999999997"/>
  </r>
  <r>
    <n v="51301"/>
    <d v="2025-01-07T00:00:00"/>
    <n v="398"/>
    <n v="30"/>
    <s v="Home &amp; Living"/>
    <s v="Vase"/>
    <n v="5"/>
    <n v="73.19"/>
    <s v="Cash on Delivery"/>
    <x v="788"/>
    <n v="5"/>
    <x v="0"/>
    <n v="43"/>
    <x v="2"/>
    <n v="365.95"/>
    <n v="109.785"/>
  </r>
  <r>
    <n v="77157"/>
    <d v="2025-01-07T00:00:00"/>
    <n v="635"/>
    <n v="30"/>
    <s v="Home &amp; Living"/>
    <s v="Painting"/>
    <n v="4"/>
    <n v="323.89"/>
    <s v="Bank Transfer"/>
    <x v="789"/>
    <n v="2"/>
    <x v="1"/>
    <n v="61"/>
    <x v="0"/>
    <n v="1295.56"/>
    <n v="388.66799999999995"/>
  </r>
  <r>
    <n v="27148"/>
    <d v="2025-01-07T00:00:00"/>
    <n v="635"/>
    <n v="30"/>
    <s v="Home &amp; Living"/>
    <s v="Carpet"/>
    <n v="1"/>
    <n v="235.88"/>
    <s v="Cash on Delivery"/>
    <x v="790"/>
    <n v="4"/>
    <x v="1"/>
    <n v="40"/>
    <x v="2"/>
    <n v="235.88"/>
    <n v="70.763999999999996"/>
  </r>
  <r>
    <n v="60808"/>
    <d v="2025-01-08T00:00:00"/>
    <n v="424"/>
    <n v="50"/>
    <s v="Sports &amp; Outdoors"/>
    <s v="Soccer Ball"/>
    <n v="3"/>
    <n v="63.59"/>
    <s v="Credit Card"/>
    <x v="791"/>
    <n v="5"/>
    <x v="0"/>
    <n v="19"/>
    <x v="3"/>
    <n v="190.77"/>
    <n v="57.231000000000002"/>
  </r>
  <r>
    <n v="32947"/>
    <d v="2025-01-10T00:00:00"/>
    <n v="387"/>
    <n v="40"/>
    <s v="Books &amp; Stationery"/>
    <s v="Story Book"/>
    <n v="2"/>
    <n v="308.41000000000003"/>
    <s v="Bank Transfer"/>
    <x v="792"/>
    <n v="5"/>
    <x v="2"/>
    <n v="41"/>
    <x v="2"/>
    <n v="616.82000000000005"/>
    <n v="185.04600000000002"/>
  </r>
  <r>
    <n v="27584"/>
    <d v="2025-01-10T00:00:00"/>
    <n v="366"/>
    <n v="40"/>
    <s v="Books &amp; Stationery"/>
    <s v="Eraser"/>
    <n v="1"/>
    <n v="79.8"/>
    <s v="Credit Card"/>
    <x v="793"/>
    <n v="1"/>
    <x v="1"/>
    <n v="51"/>
    <x v="1"/>
    <n v="79.8"/>
    <n v="23.939999999999998"/>
  </r>
  <r>
    <n v="71289"/>
    <d v="2025-01-11T00:00:00"/>
    <n v="815"/>
    <n v="30"/>
    <s v="Home &amp; Living"/>
    <s v="Vase"/>
    <n v="1"/>
    <n v="450.81"/>
    <s v="Bank Transfer"/>
    <x v="794"/>
    <m/>
    <x v="0"/>
    <n v="50"/>
    <x v="1"/>
    <n v="450.81"/>
    <n v="135.24299999999999"/>
  </r>
  <r>
    <n v="19238"/>
    <d v="2025-01-11T00:00:00"/>
    <n v="517"/>
    <n v="10"/>
    <s v="Electronics"/>
    <s v="Headphones"/>
    <n v="2"/>
    <n v="108.34"/>
    <s v="Cash on Delivery"/>
    <x v="795"/>
    <n v="5"/>
    <x v="0"/>
    <n v="70"/>
    <x v="0"/>
    <n v="216.68"/>
    <n v="65.004000000000005"/>
  </r>
  <r>
    <n v="21391"/>
    <d v="2025-01-11T00:00:00"/>
    <n v="143"/>
    <n v="10"/>
    <s v="Electronics"/>
    <s v="Smartwatch"/>
    <n v="1"/>
    <n v="63.56"/>
    <s v="Bank Transfer"/>
    <x v="796"/>
    <n v="5"/>
    <x v="0"/>
    <n v="28"/>
    <x v="3"/>
    <n v="63.56"/>
    <n v="19.068000000000001"/>
  </r>
  <r>
    <n v="36732"/>
    <d v="2025-01-12T00:00:00"/>
    <n v="704"/>
    <n v="40"/>
    <s v="Books &amp; Stationery"/>
    <s v="Eraser"/>
    <n v="3"/>
    <n v="90.91"/>
    <s v="Cash on Delivery"/>
    <x v="797"/>
    <n v="5"/>
    <x v="0"/>
    <n v="42"/>
    <x v="2"/>
    <n v="272.73"/>
    <n v="81.819000000000003"/>
  </r>
  <r>
    <n v="76569"/>
    <d v="2025-01-12T00:00:00"/>
    <n v="447"/>
    <n v="30"/>
    <s v="Home &amp; Living"/>
    <s v="Painting"/>
    <n v="1"/>
    <n v="428.62"/>
    <s v="Bank Transfer"/>
    <x v="798"/>
    <n v="4"/>
    <x v="1"/>
    <n v="56"/>
    <x v="1"/>
    <n v="428.62"/>
    <n v="128.58599999999998"/>
  </r>
  <r>
    <n v="18860"/>
    <d v="2025-01-13T00:00:00"/>
    <n v="860"/>
    <n v="20"/>
    <s v="Fashion"/>
    <s v="Skirt"/>
    <n v="1"/>
    <n v="145.57"/>
    <s v="Bank Transfer"/>
    <x v="799"/>
    <m/>
    <x v="1"/>
    <n v="61"/>
    <x v="0"/>
    <n v="145.57"/>
    <n v="43.670999999999999"/>
  </r>
  <r>
    <n v="81507"/>
    <d v="2025-01-13T00:00:00"/>
    <n v="611"/>
    <n v="20"/>
    <s v="Fashion"/>
    <s v="Skirt"/>
    <n v="1"/>
    <n v="124.01"/>
    <s v="Cash on Delivery"/>
    <x v="800"/>
    <n v="5"/>
    <x v="1"/>
    <n v="58"/>
    <x v="1"/>
    <n v="124.01"/>
    <n v="37.203000000000003"/>
  </r>
  <r>
    <n v="48551"/>
    <d v="2025-01-14T00:00:00"/>
    <n v="374"/>
    <n v="40"/>
    <s v="Books &amp; Stationery"/>
    <s v="Story Book"/>
    <n v="3"/>
    <n v="215.43"/>
    <s v="Cash on Delivery"/>
    <x v="801"/>
    <n v="5"/>
    <x v="1"/>
    <n v="69"/>
    <x v="0"/>
    <n v="646.29"/>
    <n v="193.88699999999997"/>
  </r>
  <r>
    <n v="45242"/>
    <d v="2025-01-14T00:00:00"/>
    <n v="471"/>
    <n v="20"/>
    <s v="Fashion"/>
    <s v="Pants"/>
    <n v="4"/>
    <n v="375.91"/>
    <s v="Cash on Delivery"/>
    <x v="802"/>
    <n v="2"/>
    <x v="1"/>
    <n v="73"/>
    <x v="0"/>
    <n v="1503.64"/>
    <n v="451.09200000000004"/>
  </r>
  <r>
    <n v="45307"/>
    <d v="2025-01-14T00:00:00"/>
    <n v="162"/>
    <n v="40"/>
    <s v="Books &amp; Stationery"/>
    <s v="Novel"/>
    <n v="1"/>
    <n v="69.760000000000005"/>
    <s v="Cash on Delivery"/>
    <x v="803"/>
    <n v="1"/>
    <x v="1"/>
    <n v="68"/>
    <x v="0"/>
    <n v="69.760000000000005"/>
    <n v="20.928000000000001"/>
  </r>
  <r>
    <n v="54476"/>
    <d v="2025-01-14T00:00:00"/>
    <n v="678"/>
    <n v="10"/>
    <s v="Electronics"/>
    <s v="Smartphone"/>
    <n v="2"/>
    <n v="184.2"/>
    <s v="Credit Card"/>
    <x v="804"/>
    <n v="5"/>
    <x v="1"/>
    <n v="21"/>
    <x v="3"/>
    <n v="368.4"/>
    <n v="110.52"/>
  </r>
  <r>
    <n v="65284"/>
    <d v="2025-01-14T00:00:00"/>
    <n v="290"/>
    <n v="20"/>
    <s v="Fashion"/>
    <s v="Skirt"/>
    <n v="3"/>
    <n v="127.78"/>
    <s v="Credit Card"/>
    <x v="805"/>
    <n v="4"/>
    <x v="0"/>
    <n v="75"/>
    <x v="0"/>
    <n v="383.34000000000003"/>
    <n v="115.00200000000001"/>
  </r>
  <r>
    <n v="62821"/>
    <d v="2025-01-15T00:00:00"/>
    <n v="146"/>
    <n v="10"/>
    <s v="Electronics"/>
    <s v="Tablet"/>
    <n v="5"/>
    <n v="184.27"/>
    <s v="Credit Card"/>
    <x v="806"/>
    <n v="2"/>
    <x v="1"/>
    <n v="36"/>
    <x v="2"/>
    <n v="921.35"/>
    <n v="276.40499999999997"/>
  </r>
  <r>
    <n v="45059"/>
    <d v="2025-01-15T00:00:00"/>
    <n v="856"/>
    <n v="50"/>
    <s v="Sports &amp; Outdoors"/>
    <s v="Yoga Mat"/>
    <n v="1"/>
    <n v="230.09"/>
    <s v="Credit Card"/>
    <x v="807"/>
    <n v="1"/>
    <x v="0"/>
    <n v="49"/>
    <x v="1"/>
    <n v="230.09"/>
    <n v="69.027000000000001"/>
  </r>
  <r>
    <n v="34358"/>
    <d v="2025-01-16T00:00:00"/>
    <n v="945"/>
    <n v="20"/>
    <s v="Fashion"/>
    <s v="Shirt"/>
    <n v="1"/>
    <n v="27.65"/>
    <s v="Bank Transfer"/>
    <x v="808"/>
    <n v="4"/>
    <x v="0"/>
    <n v="50"/>
    <x v="1"/>
    <n v="27.65"/>
    <n v="8.2949999999999999"/>
  </r>
  <r>
    <n v="77934"/>
    <d v="2025-01-16T00:00:00"/>
    <n v="695"/>
    <n v="20"/>
    <s v="Fashion"/>
    <s v="Skirt"/>
    <n v="1"/>
    <n v="66.239999999999995"/>
    <s v="Credit Card"/>
    <x v="809"/>
    <n v="5"/>
    <x v="2"/>
    <n v="27"/>
    <x v="3"/>
    <n v="66.239999999999995"/>
    <n v="19.871999999999996"/>
  </r>
  <r>
    <n v="47485"/>
    <d v="2025-01-16T00:00:00"/>
    <n v="868"/>
    <n v="30"/>
    <s v="Home &amp; Living"/>
    <s v="Carpet"/>
    <n v="1"/>
    <n v="55.6"/>
    <s v="Cash on Delivery"/>
    <x v="810"/>
    <n v="5"/>
    <x v="1"/>
    <n v="55"/>
    <x v="1"/>
    <n v="55.6"/>
    <n v="16.68"/>
  </r>
  <r>
    <n v="86737"/>
    <d v="2025-01-16T00:00:00"/>
    <n v="352"/>
    <n v="20"/>
    <s v="Fashion"/>
    <s v="Shirt"/>
    <n v="1"/>
    <n v="424.55"/>
    <s v="Credit Card"/>
    <x v="209"/>
    <n v="3"/>
    <x v="1"/>
    <n v="24"/>
    <x v="3"/>
    <n v="424.55"/>
    <n v="127.36499999999999"/>
  </r>
  <r>
    <n v="23094"/>
    <d v="2025-01-17T00:00:00"/>
    <n v="658"/>
    <n v="10"/>
    <s v="Electronics"/>
    <s v="Laptop"/>
    <n v="2"/>
    <n v="43.03"/>
    <s v="Credit Card"/>
    <x v="811"/>
    <n v="5"/>
    <x v="0"/>
    <n v="56"/>
    <x v="1"/>
    <n v="86.06"/>
    <n v="25.818000000000001"/>
  </r>
  <r>
    <n v="49956"/>
    <d v="2025-01-17T00:00:00"/>
    <n v="675"/>
    <n v="30"/>
    <s v="Home &amp; Living"/>
    <s v="Blanket"/>
    <n v="5"/>
    <n v="63.52"/>
    <s v="Cash on Delivery"/>
    <x v="812"/>
    <n v="4"/>
    <x v="0"/>
    <n v="24"/>
    <x v="3"/>
    <n v="317.60000000000002"/>
    <n v="95.28"/>
  </r>
  <r>
    <n v="79582"/>
    <d v="2025-01-17T00:00:00"/>
    <n v="388"/>
    <n v="40"/>
    <s v="Books &amp; Stationery"/>
    <s v="Pen"/>
    <n v="1"/>
    <n v="78.2"/>
    <s v="Bank Transfer"/>
    <x v="813"/>
    <n v="1"/>
    <x v="1"/>
    <n v="66"/>
    <x v="0"/>
    <n v="78.2"/>
    <n v="23.46"/>
  </r>
  <r>
    <n v="78277"/>
    <d v="2025-01-17T00:00:00"/>
    <n v="157"/>
    <n v="30"/>
    <s v="Home &amp; Living"/>
    <s v="Pillow"/>
    <n v="4"/>
    <n v="406.99"/>
    <s v="Credit Card"/>
    <x v="814"/>
    <m/>
    <x v="0"/>
    <n v="38"/>
    <x v="2"/>
    <n v="1627.96"/>
    <n v="488.38799999999998"/>
  </r>
  <r>
    <n v="21298"/>
    <d v="2025-01-17T00:00:00"/>
    <n v="479"/>
    <n v="30"/>
    <s v="Home &amp; Living"/>
    <s v="Carpet"/>
    <n v="4"/>
    <n v="276.73"/>
    <s v="Credit Card"/>
    <x v="815"/>
    <n v="3"/>
    <x v="0"/>
    <n v="55"/>
    <x v="1"/>
    <n v="1106.92"/>
    <n v="332.07600000000002"/>
  </r>
  <r>
    <n v="92942"/>
    <d v="2025-01-17T00:00:00"/>
    <n v="489"/>
    <n v="20"/>
    <s v="Fashion"/>
    <s v="Pants"/>
    <n v="3"/>
    <n v="171.95"/>
    <s v="Bank Transfer"/>
    <x v="816"/>
    <n v="5"/>
    <x v="1"/>
    <n v="29"/>
    <x v="3"/>
    <n v="515.84999999999991"/>
    <n v="154.75499999999997"/>
  </r>
  <r>
    <n v="14911"/>
    <d v="2025-01-18T00:00:00"/>
    <n v="589"/>
    <n v="30"/>
    <s v="Home &amp; Living"/>
    <s v="Painting"/>
    <n v="2"/>
    <n v="231.85"/>
    <s v="Credit Card"/>
    <x v="817"/>
    <m/>
    <x v="0"/>
    <n v="74"/>
    <x v="0"/>
    <n v="463.7"/>
    <n v="139.10999999999999"/>
  </r>
  <r>
    <n v="91976"/>
    <d v="2025-01-19T00:00:00"/>
    <n v="321"/>
    <n v="10"/>
    <s v="Electronics"/>
    <s v="Headphones"/>
    <n v="2"/>
    <n v="143.88"/>
    <s v="Bank Transfer"/>
    <x v="818"/>
    <n v="4"/>
    <x v="0"/>
    <n v="74"/>
    <x v="0"/>
    <n v="287.76"/>
    <n v="86.327999999999989"/>
  </r>
  <r>
    <n v="94108"/>
    <d v="2025-01-20T00:00:00"/>
    <n v="837"/>
    <n v="30"/>
    <s v="Home &amp; Living"/>
    <s v="Painting"/>
    <n v="2"/>
    <n v="87.3"/>
    <s v="Cash on Delivery"/>
    <x v="819"/>
    <n v="5"/>
    <x v="1"/>
    <n v="72"/>
    <x v="0"/>
    <n v="174.6"/>
    <n v="52.379999999999995"/>
  </r>
  <r>
    <n v="84063"/>
    <d v="2025-01-20T00:00:00"/>
    <n v="744"/>
    <n v="50"/>
    <s v="Sports &amp; Outdoors"/>
    <s v="Running Shoes"/>
    <n v="5"/>
    <n v="321.04000000000002"/>
    <s v="Bank Transfer"/>
    <x v="820"/>
    <n v="5"/>
    <x v="1"/>
    <n v="43"/>
    <x v="2"/>
    <n v="1605.2"/>
    <n v="481.56"/>
  </r>
  <r>
    <n v="81896"/>
    <d v="2025-01-20T00:00:00"/>
    <n v="105"/>
    <n v="40"/>
    <s v="Books &amp; Stationery"/>
    <s v="Story Book"/>
    <n v="2"/>
    <n v="307.58999999999997"/>
    <s v="Bank Transfer"/>
    <x v="821"/>
    <m/>
    <x v="0"/>
    <n v="21"/>
    <x v="3"/>
    <n v="615.17999999999995"/>
    <n v="184.55399999999997"/>
  </r>
  <r>
    <n v="54625"/>
    <d v="2025-01-21T00:00:00"/>
    <n v="539"/>
    <n v="50"/>
    <s v="Sports &amp; Outdoors"/>
    <s v="Tent"/>
    <n v="3"/>
    <n v="99.16"/>
    <s v="Credit Card"/>
    <x v="676"/>
    <n v="4"/>
    <x v="2"/>
    <n v="70"/>
    <x v="0"/>
    <n v="297.48"/>
    <n v="89.244"/>
  </r>
  <r>
    <n v="12572"/>
    <d v="2025-01-22T00:00:00"/>
    <n v="656"/>
    <n v="20"/>
    <s v="Fashion"/>
    <s v="T-shirt"/>
    <n v="4"/>
    <n v="226.45"/>
    <s v="Bank Transfer"/>
    <x v="822"/>
    <n v="5"/>
    <x v="0"/>
    <n v="46"/>
    <x v="1"/>
    <n v="905.8"/>
    <n v="271.73999999999995"/>
  </r>
  <r>
    <n v="71609"/>
    <d v="2025-01-22T00:00:00"/>
    <n v="510"/>
    <n v="20"/>
    <s v="Fashion"/>
    <s v="Shirt"/>
    <n v="2"/>
    <n v="345.89"/>
    <s v="Bank Transfer"/>
    <x v="823"/>
    <m/>
    <x v="0"/>
    <n v="24"/>
    <x v="3"/>
    <n v="691.78"/>
    <n v="207.53399999999999"/>
  </r>
  <r>
    <n v="82168"/>
    <d v="2025-01-23T00:00:00"/>
    <n v="653"/>
    <n v="40"/>
    <s v="Books &amp; Stationery"/>
    <s v="Eraser"/>
    <n v="2"/>
    <n v="473.57"/>
    <s v="Credit Card"/>
    <x v="824"/>
    <n v="5"/>
    <x v="1"/>
    <n v="44"/>
    <x v="2"/>
    <n v="947.14"/>
    <n v="284.142"/>
  </r>
  <r>
    <n v="60144"/>
    <d v="2025-01-23T00:00:00"/>
    <n v="287"/>
    <n v="10"/>
    <s v="Electronics"/>
    <s v="Smartphone"/>
    <n v="4"/>
    <n v="86.23"/>
    <s v="Cash on Delivery"/>
    <x v="825"/>
    <m/>
    <x v="0"/>
    <n v="65"/>
    <x v="0"/>
    <n v="344.92"/>
    <n v="103.476"/>
  </r>
  <r>
    <n v="32331"/>
    <d v="2025-01-23T00:00:00"/>
    <n v="241"/>
    <n v="30"/>
    <s v="Home &amp; Living"/>
    <s v="Painting"/>
    <n v="2"/>
    <n v="487.93"/>
    <s v="Credit Card"/>
    <x v="826"/>
    <n v="5"/>
    <x v="1"/>
    <n v="61"/>
    <x v="0"/>
    <n v="975.86"/>
    <n v="292.75799999999998"/>
  </r>
  <r>
    <n v="85009"/>
    <d v="2025-01-23T00:00:00"/>
    <n v="260"/>
    <n v="50"/>
    <s v="Sports &amp; Outdoors"/>
    <s v="Tent"/>
    <n v="4"/>
    <n v="109.06"/>
    <s v="Cash on Delivery"/>
    <x v="827"/>
    <m/>
    <x v="0"/>
    <n v="21"/>
    <x v="3"/>
    <n v="436.24"/>
    <n v="130.87199999999999"/>
  </r>
  <r>
    <n v="21063"/>
    <d v="2025-01-23T00:00:00"/>
    <n v="327"/>
    <n v="20"/>
    <s v="Fashion"/>
    <s v="Shirt"/>
    <n v="2"/>
    <n v="499.5"/>
    <s v="Bank Transfer"/>
    <x v="828"/>
    <m/>
    <x v="0"/>
    <n v="66"/>
    <x v="0"/>
    <n v="999"/>
    <n v="299.7"/>
  </r>
  <r>
    <n v="98627"/>
    <d v="2025-01-24T00:00:00"/>
    <n v="886"/>
    <n v="30"/>
    <s v="Home &amp; Living"/>
    <s v="Blanket"/>
    <n v="4"/>
    <n v="346.54"/>
    <s v="Bank Transfer"/>
    <x v="829"/>
    <m/>
    <x v="1"/>
    <n v="25"/>
    <x v="3"/>
    <n v="1386.16"/>
    <n v="415.84800000000001"/>
  </r>
  <r>
    <n v="52566"/>
    <d v="2025-01-24T00:00:00"/>
    <n v="799"/>
    <n v="30"/>
    <s v="Home &amp; Living"/>
    <s v="Vase"/>
    <n v="4"/>
    <n v="114.85"/>
    <s v="Cash on Delivery"/>
    <x v="830"/>
    <n v="2"/>
    <x v="1"/>
    <n v="31"/>
    <x v="2"/>
    <n v="459.4"/>
    <n v="137.82"/>
  </r>
  <r>
    <n v="51729"/>
    <d v="2025-01-24T00:00:00"/>
    <n v="713"/>
    <n v="50"/>
    <s v="Sports &amp; Outdoors"/>
    <s v="Tent"/>
    <n v="3"/>
    <n v="318.44"/>
    <s v="Cash on Delivery"/>
    <x v="831"/>
    <n v="5"/>
    <x v="1"/>
    <n v="23"/>
    <x v="3"/>
    <n v="955.31999999999994"/>
    <n v="286.59599999999995"/>
  </r>
  <r>
    <n v="58283"/>
    <d v="2025-01-25T00:00:00"/>
    <n v="787"/>
    <n v="30"/>
    <s v="Home &amp; Living"/>
    <s v="Painting"/>
    <n v="3"/>
    <n v="138.16999999999999"/>
    <s v="Cash on Delivery"/>
    <x v="832"/>
    <n v="5"/>
    <x v="1"/>
    <n v="22"/>
    <x v="3"/>
    <n v="414.51"/>
    <n v="124.35299999999999"/>
  </r>
  <r>
    <n v="99243"/>
    <d v="2025-01-25T00:00:00"/>
    <n v="739"/>
    <n v="10"/>
    <s v="Electronics"/>
    <s v="Headphones"/>
    <n v="2"/>
    <n v="10.72"/>
    <s v="Cash on Delivery"/>
    <x v="833"/>
    <n v="3"/>
    <x v="1"/>
    <n v="55"/>
    <x v="1"/>
    <n v="21.44"/>
    <n v="6.4320000000000004"/>
  </r>
  <r>
    <n v="41567"/>
    <d v="2025-01-25T00:00:00"/>
    <n v="292"/>
    <n v="20"/>
    <s v="Fashion"/>
    <s v="Dress"/>
    <n v="4"/>
    <n v="256.18"/>
    <s v="Credit Card"/>
    <x v="834"/>
    <m/>
    <x v="1"/>
    <n v="32"/>
    <x v="2"/>
    <n v="1024.72"/>
    <n v="307.416"/>
  </r>
  <r>
    <n v="47349"/>
    <d v="2025-01-26T00:00:00"/>
    <n v="517"/>
    <n v="40"/>
    <s v="Books &amp; Stationery"/>
    <s v="Pen"/>
    <n v="2"/>
    <n v="382.15"/>
    <s v="Bank Transfer"/>
    <x v="835"/>
    <n v="5"/>
    <x v="1"/>
    <n v="47"/>
    <x v="1"/>
    <n v="764.3"/>
    <n v="229.29"/>
  </r>
  <r>
    <n v="46239"/>
    <d v="2025-01-26T00:00:00"/>
    <n v="413"/>
    <n v="50"/>
    <s v="Sports &amp; Outdoors"/>
    <s v="Soccer Ball"/>
    <n v="2"/>
    <n v="433.67"/>
    <s v="Cash on Delivery"/>
    <x v="836"/>
    <m/>
    <x v="2"/>
    <n v="52"/>
    <x v="1"/>
    <n v="867.34"/>
    <n v="260.202"/>
  </r>
  <r>
    <n v="94304"/>
    <d v="2025-01-26T00:00:00"/>
    <n v="701"/>
    <n v="30"/>
    <s v="Home &amp; Living"/>
    <s v="Vase"/>
    <n v="5"/>
    <n v="248.88"/>
    <s v="Credit Card"/>
    <x v="271"/>
    <n v="4"/>
    <x v="0"/>
    <n v="56"/>
    <x v="1"/>
    <n v="1244.4000000000001"/>
    <n v="373.32"/>
  </r>
  <r>
    <n v="33859"/>
    <d v="2025-01-26T00:00:00"/>
    <n v="712"/>
    <n v="20"/>
    <s v="Fashion"/>
    <s v="Pants"/>
    <n v="4"/>
    <n v="334.68"/>
    <s v="Credit Card"/>
    <x v="837"/>
    <n v="5"/>
    <x v="1"/>
    <n v="25"/>
    <x v="3"/>
    <n v="1338.72"/>
    <n v="401.61599999999999"/>
  </r>
  <r>
    <n v="51458"/>
    <d v="2025-01-27T00:00:00"/>
    <n v="400"/>
    <n v="40"/>
    <s v="Books &amp; Stationery"/>
    <s v="Pen"/>
    <n v="1"/>
    <n v="389.49"/>
    <s v="Cash on Delivery"/>
    <x v="838"/>
    <n v="4"/>
    <x v="1"/>
    <n v="19"/>
    <x v="3"/>
    <n v="389.49"/>
    <n v="116.84699999999999"/>
  </r>
  <r>
    <n v="96947"/>
    <d v="2025-01-27T00:00:00"/>
    <n v="148"/>
    <n v="40"/>
    <s v="Books &amp; Stationery"/>
    <s v="Novel"/>
    <n v="5"/>
    <n v="291.22000000000003"/>
    <s v="Cash on Delivery"/>
    <x v="839"/>
    <n v="3"/>
    <x v="0"/>
    <n v="35"/>
    <x v="2"/>
    <n v="1456.1000000000001"/>
    <n v="436.83000000000004"/>
  </r>
  <r>
    <n v="46059"/>
    <d v="2025-01-27T00:00:00"/>
    <n v="266"/>
    <n v="20"/>
    <s v="Fashion"/>
    <s v="Dress"/>
    <n v="4"/>
    <n v="474.27"/>
    <s v="Cash on Delivery"/>
    <x v="840"/>
    <n v="5"/>
    <x v="1"/>
    <n v="40"/>
    <x v="2"/>
    <n v="1897.08"/>
    <n v="569.12399999999991"/>
  </r>
  <r>
    <n v="34224"/>
    <d v="2025-01-27T00:00:00"/>
    <n v="347"/>
    <n v="10"/>
    <s v="Electronics"/>
    <s v="Headphones"/>
    <n v="5"/>
    <n v="410.38"/>
    <s v="Bank Transfer"/>
    <x v="841"/>
    <n v="5"/>
    <x v="1"/>
    <n v="35"/>
    <x v="2"/>
    <n v="2051.9"/>
    <n v="615.57000000000005"/>
  </r>
  <r>
    <n v="77523"/>
    <d v="2025-01-28T00:00:00"/>
    <n v="543"/>
    <n v="30"/>
    <s v="Home &amp; Living"/>
    <s v="Carpet"/>
    <n v="5"/>
    <n v="355.65"/>
    <s v="Bank Transfer"/>
    <x v="842"/>
    <n v="5"/>
    <x v="2"/>
    <n v="21"/>
    <x v="3"/>
    <n v="1778.25"/>
    <n v="533.47500000000002"/>
  </r>
  <r>
    <n v="26392"/>
    <d v="2025-01-28T00:00:00"/>
    <n v="282"/>
    <n v="20"/>
    <s v="Fashion"/>
    <s v="Dress"/>
    <n v="1"/>
    <n v="467.54"/>
    <s v="Cash on Delivery"/>
    <x v="843"/>
    <n v="3"/>
    <x v="1"/>
    <n v="73"/>
    <x v="0"/>
    <n v="467.54"/>
    <n v="140.262"/>
  </r>
  <r>
    <n v="22599"/>
    <d v="2025-01-28T00:00:00"/>
    <n v="888"/>
    <n v="40"/>
    <s v="Books &amp; Stationery"/>
    <s v="Eraser"/>
    <n v="4"/>
    <n v="36.270000000000003"/>
    <s v="Bank Transfer"/>
    <x v="844"/>
    <n v="5"/>
    <x v="1"/>
    <n v="18"/>
    <x v="3"/>
    <n v="145.08000000000001"/>
    <n v="43.524000000000001"/>
  </r>
  <r>
    <n v="56948"/>
    <d v="2025-01-28T00:00:00"/>
    <n v="349"/>
    <n v="20"/>
    <s v="Fashion"/>
    <s v="Pants"/>
    <n v="3"/>
    <n v="350.64"/>
    <s v="Cash on Delivery"/>
    <x v="200"/>
    <m/>
    <x v="0"/>
    <n v="55"/>
    <x v="1"/>
    <n v="1051.92"/>
    <n v="315.57600000000002"/>
  </r>
  <r>
    <n v="54453"/>
    <d v="2025-01-28T00:00:00"/>
    <n v="246"/>
    <n v="30"/>
    <s v="Home &amp; Living"/>
    <s v="Carpet"/>
    <n v="2"/>
    <n v="117.78"/>
    <s v="Credit Card"/>
    <x v="845"/>
    <n v="4"/>
    <x v="1"/>
    <n v="19"/>
    <x v="3"/>
    <n v="235.56"/>
    <n v="70.667999999999992"/>
  </r>
  <r>
    <n v="93036"/>
    <d v="2025-01-28T00:00:00"/>
    <n v="964"/>
    <n v="50"/>
    <s v="Sports &amp; Outdoors"/>
    <s v="Yoga Mat"/>
    <n v="4"/>
    <n v="189.3"/>
    <s v="Bank Transfer"/>
    <x v="846"/>
    <n v="4"/>
    <x v="0"/>
    <n v="30"/>
    <x v="3"/>
    <n v="757.2"/>
    <n v="227.16"/>
  </r>
  <r>
    <n v="43949"/>
    <d v="2025-01-28T00:00:00"/>
    <n v="346"/>
    <n v="30"/>
    <s v="Home &amp; Living"/>
    <s v="Blanket"/>
    <n v="3"/>
    <n v="158.75"/>
    <s v="Credit Card"/>
    <x v="847"/>
    <n v="4"/>
    <x v="1"/>
    <n v="27"/>
    <x v="3"/>
    <n v="476.25"/>
    <n v="142.875"/>
  </r>
  <r>
    <n v="11479"/>
    <d v="2025-01-28T00:00:00"/>
    <n v="331"/>
    <n v="20"/>
    <s v="Fashion"/>
    <s v="Shirt"/>
    <n v="2"/>
    <n v="452.6"/>
    <s v="Cash on Delivery"/>
    <x v="848"/>
    <n v="5"/>
    <x v="1"/>
    <n v="48"/>
    <x v="1"/>
    <n v="905.2"/>
    <n v="271.56"/>
  </r>
  <r>
    <n v="58103"/>
    <d v="2025-01-29T00:00:00"/>
    <n v="389"/>
    <n v="30"/>
    <s v="Home &amp; Living"/>
    <s v="Vase"/>
    <n v="3"/>
    <n v="435.37"/>
    <s v="Cash on Delivery"/>
    <x v="849"/>
    <m/>
    <x v="0"/>
    <n v="18"/>
    <x v="3"/>
    <n v="1306.1100000000001"/>
    <n v="391.83300000000003"/>
  </r>
  <r>
    <n v="50813"/>
    <d v="2025-01-29T00:00:00"/>
    <n v="481"/>
    <n v="50"/>
    <s v="Sports &amp; Outdoors"/>
    <s v="Basketball"/>
    <n v="4"/>
    <n v="173.35"/>
    <s v="Cash on Delivery"/>
    <x v="850"/>
    <n v="5"/>
    <x v="2"/>
    <n v="70"/>
    <x v="0"/>
    <n v="693.4"/>
    <n v="208.01999999999998"/>
  </r>
  <r>
    <n v="19925"/>
    <d v="2025-01-29T00:00:00"/>
    <n v="747"/>
    <n v="20"/>
    <s v="Fashion"/>
    <s v="T-shirt"/>
    <n v="3"/>
    <n v="364.55"/>
    <s v="Bank Transfer"/>
    <x v="851"/>
    <m/>
    <x v="1"/>
    <n v="51"/>
    <x v="1"/>
    <n v="1093.6500000000001"/>
    <n v="328.09500000000003"/>
  </r>
  <r>
    <n v="91017"/>
    <d v="2025-01-29T00:00:00"/>
    <n v="408"/>
    <n v="40"/>
    <s v="Books &amp; Stationery"/>
    <s v="Novel"/>
    <n v="2"/>
    <n v="436.2"/>
    <s v="Credit Card"/>
    <x v="852"/>
    <n v="5"/>
    <x v="1"/>
    <n v="26"/>
    <x v="3"/>
    <n v="872.4"/>
    <n v="261.71999999999997"/>
  </r>
  <r>
    <n v="66073"/>
    <d v="2025-01-30T00:00:00"/>
    <n v="983"/>
    <n v="30"/>
    <s v="Home &amp; Living"/>
    <s v="Blanket"/>
    <n v="2"/>
    <n v="469.33"/>
    <s v="Cash on Delivery"/>
    <x v="853"/>
    <n v="5"/>
    <x v="0"/>
    <n v="40"/>
    <x v="2"/>
    <n v="938.66"/>
    <n v="281.59799999999996"/>
  </r>
  <r>
    <n v="25091"/>
    <d v="2025-01-30T00:00:00"/>
    <n v="766"/>
    <n v="50"/>
    <s v="Sports &amp; Outdoors"/>
    <s v="Tent"/>
    <n v="5"/>
    <n v="119.75"/>
    <s v="Cash on Delivery"/>
    <x v="854"/>
    <n v="5"/>
    <x v="1"/>
    <n v="20"/>
    <x v="3"/>
    <n v="598.75"/>
    <n v="179.625"/>
  </r>
  <r>
    <n v="98363"/>
    <d v="2025-01-30T00:00:00"/>
    <n v="332"/>
    <n v="40"/>
    <s v="Books &amp; Stationery"/>
    <s v="Story Book"/>
    <n v="2"/>
    <n v="160.94"/>
    <s v="Bank Transfer"/>
    <x v="855"/>
    <m/>
    <x v="0"/>
    <n v="27"/>
    <x v="3"/>
    <n v="321.88"/>
    <n v="96.563999999999993"/>
  </r>
  <r>
    <n v="27389"/>
    <d v="2025-01-31T00:00:00"/>
    <n v="549"/>
    <n v="10"/>
    <s v="Electronics"/>
    <s v="Smartwatch"/>
    <n v="2"/>
    <n v="321.14"/>
    <s v="Cash on Delivery"/>
    <x v="856"/>
    <n v="5"/>
    <x v="0"/>
    <n v="26"/>
    <x v="3"/>
    <n v="642.28"/>
    <n v="192.684"/>
  </r>
  <r>
    <n v="47548"/>
    <d v="2025-01-31T00:00:00"/>
    <n v="381"/>
    <n v="30"/>
    <s v="Home &amp; Living"/>
    <s v="Vase"/>
    <n v="2"/>
    <n v="226.48"/>
    <s v="Cash on Delivery"/>
    <x v="857"/>
    <n v="1"/>
    <x v="1"/>
    <n v="36"/>
    <x v="2"/>
    <n v="452.96"/>
    <n v="135.88799999999998"/>
  </r>
  <r>
    <n v="93644"/>
    <d v="2025-01-31T00:00:00"/>
    <n v="734"/>
    <n v="20"/>
    <s v="Fashion"/>
    <s v="Shirt"/>
    <n v="2"/>
    <n v="361.74"/>
    <s v="Credit Card"/>
    <x v="858"/>
    <n v="5"/>
    <x v="0"/>
    <n v="33"/>
    <x v="2"/>
    <n v="723.48"/>
    <n v="217.04400000000001"/>
  </r>
  <r>
    <n v="67837"/>
    <d v="2025-02-02T00:00:00"/>
    <n v="671"/>
    <n v="40"/>
    <s v="Books &amp; Stationery"/>
    <s v="Notebook"/>
    <n v="1"/>
    <n v="281.72000000000003"/>
    <s v="Credit Card"/>
    <x v="859"/>
    <n v="5"/>
    <x v="1"/>
    <n v="39"/>
    <x v="2"/>
    <n v="281.72000000000003"/>
    <n v="84.516000000000005"/>
  </r>
  <r>
    <n v="45699"/>
    <d v="2025-02-03T00:00:00"/>
    <n v="200"/>
    <n v="20"/>
    <s v="Fashion"/>
    <s v="Pants"/>
    <n v="3"/>
    <n v="17.95"/>
    <s v="Cash on Delivery"/>
    <x v="860"/>
    <n v="5"/>
    <x v="1"/>
    <n v="26"/>
    <x v="3"/>
    <n v="53.849999999999994"/>
    <n v="16.154999999999998"/>
  </r>
  <r>
    <n v="55098"/>
    <d v="2025-02-04T00:00:00"/>
    <n v="684"/>
    <n v="50"/>
    <s v="Sports &amp; Outdoors"/>
    <s v="Tent"/>
    <n v="5"/>
    <n v="23"/>
    <s v="Credit Card"/>
    <x v="861"/>
    <n v="5"/>
    <x v="1"/>
    <n v="64"/>
    <x v="0"/>
    <n v="115"/>
    <n v="34.5"/>
  </r>
  <r>
    <n v="66682"/>
    <d v="2025-02-04T00:00:00"/>
    <n v="632"/>
    <n v="50"/>
    <s v="Sports &amp; Outdoors"/>
    <s v="Yoga Mat"/>
    <n v="1"/>
    <n v="315.08999999999997"/>
    <s v="Bank Transfer"/>
    <x v="862"/>
    <n v="5"/>
    <x v="1"/>
    <n v="42"/>
    <x v="2"/>
    <n v="315.08999999999997"/>
    <n v="94.526999999999987"/>
  </r>
  <r>
    <n v="25852"/>
    <d v="2025-02-04T00:00:00"/>
    <n v="544"/>
    <n v="20"/>
    <s v="Fashion"/>
    <s v="T-shirt"/>
    <n v="3"/>
    <n v="79.959999999999994"/>
    <s v="Cash on Delivery"/>
    <x v="863"/>
    <n v="5"/>
    <x v="0"/>
    <n v="21"/>
    <x v="3"/>
    <n v="239.88"/>
    <n v="71.963999999999999"/>
  </r>
  <r>
    <n v="88218"/>
    <d v="2025-02-04T00:00:00"/>
    <n v="299"/>
    <n v="20"/>
    <s v="Fashion"/>
    <s v="Skirt"/>
    <n v="3"/>
    <n v="225.1"/>
    <s v="Credit Card"/>
    <x v="864"/>
    <n v="5"/>
    <x v="2"/>
    <n v="40"/>
    <x v="2"/>
    <n v="675.3"/>
    <n v="202.58999999999997"/>
  </r>
  <r>
    <n v="45081"/>
    <d v="2025-02-05T00:00:00"/>
    <n v="721"/>
    <n v="20"/>
    <s v="Fashion"/>
    <s v="Dress"/>
    <n v="4"/>
    <n v="31.75"/>
    <s v="Bank Transfer"/>
    <x v="865"/>
    <m/>
    <x v="2"/>
    <n v="55"/>
    <x v="1"/>
    <n v="127"/>
    <n v="38.1"/>
  </r>
  <r>
    <n v="54630"/>
    <d v="2025-02-05T00:00:00"/>
    <n v="967"/>
    <n v="30"/>
    <s v="Home &amp; Living"/>
    <s v="Blanket"/>
    <n v="4"/>
    <n v="416.89"/>
    <s v="Cash on Delivery"/>
    <x v="866"/>
    <n v="4"/>
    <x v="1"/>
    <n v="64"/>
    <x v="0"/>
    <n v="1667.56"/>
    <n v="500.26799999999997"/>
  </r>
  <r>
    <n v="98713"/>
    <d v="2025-02-05T00:00:00"/>
    <n v="260"/>
    <n v="20"/>
    <s v="Fashion"/>
    <s v="Skirt"/>
    <n v="1"/>
    <n v="463.67"/>
    <s v="Bank Transfer"/>
    <x v="867"/>
    <m/>
    <x v="0"/>
    <n v="37"/>
    <x v="2"/>
    <n v="463.67"/>
    <n v="139.101"/>
  </r>
  <r>
    <n v="54371"/>
    <d v="2025-02-05T00:00:00"/>
    <n v="325"/>
    <n v="20"/>
    <s v="Fashion"/>
    <s v="Dress"/>
    <n v="4"/>
    <n v="156.87"/>
    <s v="Cash on Delivery"/>
    <x v="868"/>
    <n v="3"/>
    <x v="2"/>
    <n v="37"/>
    <x v="2"/>
    <n v="627.48"/>
    <n v="188.244"/>
  </r>
  <r>
    <n v="59944"/>
    <d v="2025-02-06T00:00:00"/>
    <n v="293"/>
    <n v="50"/>
    <s v="Sports &amp; Outdoors"/>
    <s v="Basketball"/>
    <n v="2"/>
    <n v="361.99"/>
    <s v="Bank Transfer"/>
    <x v="869"/>
    <n v="4"/>
    <x v="0"/>
    <n v="51"/>
    <x v="1"/>
    <n v="723.98"/>
    <n v="217.19399999999999"/>
  </r>
  <r>
    <n v="32569"/>
    <d v="2025-02-06T00:00:00"/>
    <n v="336"/>
    <n v="40"/>
    <s v="Books &amp; Stationery"/>
    <s v="Eraser"/>
    <n v="2"/>
    <n v="336.89"/>
    <s v="Credit Card"/>
    <x v="870"/>
    <n v="1"/>
    <x v="2"/>
    <n v="26"/>
    <x v="3"/>
    <n v="673.78"/>
    <n v="202.13399999999999"/>
  </r>
  <r>
    <n v="84328"/>
    <d v="2025-02-06T00:00:00"/>
    <n v="122"/>
    <n v="10"/>
    <s v="Electronics"/>
    <s v="Smartwatch"/>
    <n v="1"/>
    <n v="420.63"/>
    <s v="Bank Transfer"/>
    <x v="871"/>
    <n v="3"/>
    <x v="0"/>
    <n v="54"/>
    <x v="1"/>
    <n v="420.63"/>
    <n v="126.18899999999999"/>
  </r>
  <r>
    <n v="24426"/>
    <d v="2025-02-07T00:00:00"/>
    <n v="943"/>
    <n v="40"/>
    <s v="Books &amp; Stationery"/>
    <s v="Pen"/>
    <n v="2"/>
    <n v="443.49"/>
    <s v="Cash on Delivery"/>
    <x v="469"/>
    <n v="4"/>
    <x v="0"/>
    <n v="67"/>
    <x v="0"/>
    <n v="886.98"/>
    <n v="266.09399999999999"/>
  </r>
  <r>
    <n v="58706"/>
    <d v="2025-02-07T00:00:00"/>
    <n v="613"/>
    <n v="20"/>
    <s v="Fashion"/>
    <s v="T-shirt"/>
    <n v="4"/>
    <n v="351.62"/>
    <s v="Bank Transfer"/>
    <x v="872"/>
    <n v="5"/>
    <x v="1"/>
    <n v="65"/>
    <x v="0"/>
    <n v="1406.48"/>
    <n v="421.94400000000002"/>
  </r>
  <r>
    <n v="68850"/>
    <d v="2025-02-07T00:00:00"/>
    <n v="484"/>
    <n v="40"/>
    <s v="Books &amp; Stationery"/>
    <s v="Notebook"/>
    <n v="1"/>
    <n v="53.18"/>
    <s v="Credit Card"/>
    <x v="873"/>
    <n v="1"/>
    <x v="1"/>
    <n v="58"/>
    <x v="1"/>
    <n v="53.18"/>
    <n v="15.953999999999999"/>
  </r>
  <r>
    <n v="45831"/>
    <d v="2025-02-07T00:00:00"/>
    <n v="685"/>
    <n v="40"/>
    <s v="Books &amp; Stationery"/>
    <s v="Eraser"/>
    <n v="1"/>
    <n v="151.94"/>
    <s v="Bank Transfer"/>
    <x v="874"/>
    <n v="4"/>
    <x v="1"/>
    <n v="74"/>
    <x v="0"/>
    <n v="151.94"/>
    <n v="45.582000000000001"/>
  </r>
  <r>
    <n v="72286"/>
    <d v="2025-02-07T00:00:00"/>
    <n v="702"/>
    <n v="10"/>
    <s v="Electronics"/>
    <s v="Headphones"/>
    <n v="5"/>
    <n v="128.44999999999999"/>
    <s v="Credit Card"/>
    <x v="875"/>
    <n v="2"/>
    <x v="0"/>
    <n v="58"/>
    <x v="1"/>
    <n v="642.25"/>
    <n v="192.67499999999998"/>
  </r>
  <r>
    <n v="48904"/>
    <d v="2025-02-07T00:00:00"/>
    <n v="931"/>
    <n v="10"/>
    <s v="Electronics"/>
    <s v="Tablet"/>
    <n v="3"/>
    <n v="439.51"/>
    <s v="Bank Transfer"/>
    <x v="876"/>
    <n v="5"/>
    <x v="1"/>
    <n v="63"/>
    <x v="0"/>
    <n v="1318.53"/>
    <n v="395.55899999999997"/>
  </r>
  <r>
    <n v="25985"/>
    <d v="2025-02-07T00:00:00"/>
    <n v="480"/>
    <n v="40"/>
    <s v="Books &amp; Stationery"/>
    <s v="Notebook"/>
    <n v="2"/>
    <n v="353.23"/>
    <s v="Bank Transfer"/>
    <x v="877"/>
    <m/>
    <x v="0"/>
    <n v="65"/>
    <x v="0"/>
    <n v="706.46"/>
    <n v="211.93800000000002"/>
  </r>
  <r>
    <n v="22604"/>
    <d v="2025-02-08T00:00:00"/>
    <n v="351"/>
    <n v="30"/>
    <s v="Home &amp; Living"/>
    <s v="Carpet"/>
    <n v="1"/>
    <n v="247.45"/>
    <s v="Credit Card"/>
    <x v="878"/>
    <n v="2"/>
    <x v="0"/>
    <n v="47"/>
    <x v="1"/>
    <n v="247.45"/>
    <n v="74.234999999999999"/>
  </r>
  <r>
    <n v="22228"/>
    <d v="2025-02-08T00:00:00"/>
    <n v="789"/>
    <n v="20"/>
    <s v="Fashion"/>
    <s v="Skirt"/>
    <n v="1"/>
    <n v="54.94"/>
    <s v="Credit Card"/>
    <x v="879"/>
    <n v="5"/>
    <x v="1"/>
    <n v="62"/>
    <x v="0"/>
    <n v="54.94"/>
    <n v="16.481999999999999"/>
  </r>
  <r>
    <n v="45679"/>
    <d v="2025-02-08T00:00:00"/>
    <n v="470"/>
    <n v="10"/>
    <s v="Electronics"/>
    <s v="Smartwatch"/>
    <n v="4"/>
    <n v="431.73"/>
    <s v="Credit Card"/>
    <x v="880"/>
    <n v="3"/>
    <x v="2"/>
    <n v="75"/>
    <x v="0"/>
    <n v="1726.92"/>
    <n v="518.07600000000002"/>
  </r>
  <r>
    <n v="60712"/>
    <d v="2025-02-09T00:00:00"/>
    <n v="775"/>
    <n v="50"/>
    <s v="Sports &amp; Outdoors"/>
    <s v="Tent"/>
    <n v="5"/>
    <n v="24.18"/>
    <s v="Credit Card"/>
    <x v="881"/>
    <n v="5"/>
    <x v="0"/>
    <n v="57"/>
    <x v="1"/>
    <n v="120.9"/>
    <n v="36.270000000000003"/>
  </r>
  <r>
    <n v="72072"/>
    <d v="2025-02-09T00:00:00"/>
    <n v="349"/>
    <n v="20"/>
    <s v="Fashion"/>
    <s v="Skirt"/>
    <n v="3"/>
    <n v="475.67"/>
    <s v="Bank Transfer"/>
    <x v="882"/>
    <n v="5"/>
    <x v="1"/>
    <n v="51"/>
    <x v="1"/>
    <n v="1427.01"/>
    <n v="428.10300000000001"/>
  </r>
  <r>
    <n v="92246"/>
    <d v="2025-02-11T00:00:00"/>
    <n v="988"/>
    <n v="20"/>
    <s v="Fashion"/>
    <s v="Dress"/>
    <n v="3"/>
    <n v="345.18"/>
    <s v="Credit Card"/>
    <x v="510"/>
    <n v="5"/>
    <x v="1"/>
    <n v="21"/>
    <x v="3"/>
    <n v="1035.54"/>
    <n v="310.66199999999998"/>
  </r>
  <r>
    <n v="49769"/>
    <d v="2025-02-11T00:00:00"/>
    <n v="295"/>
    <n v="50"/>
    <s v="Sports &amp; Outdoors"/>
    <s v="Yoga Mat"/>
    <n v="5"/>
    <n v="405.77"/>
    <s v="Bank Transfer"/>
    <x v="883"/>
    <m/>
    <x v="0"/>
    <n v="26"/>
    <x v="3"/>
    <n v="2028.85"/>
    <n v="608.65499999999997"/>
  </r>
  <r>
    <n v="87200"/>
    <d v="2025-02-11T00:00:00"/>
    <n v="937"/>
    <n v="10"/>
    <s v="Electronics"/>
    <s v="Laptop"/>
    <n v="1"/>
    <n v="391.58"/>
    <s v="Cash on Delivery"/>
    <x v="884"/>
    <n v="4"/>
    <x v="0"/>
    <n v="68"/>
    <x v="0"/>
    <n v="391.58"/>
    <n v="117.47399999999999"/>
  </r>
  <r>
    <n v="25974"/>
    <d v="2025-02-12T00:00:00"/>
    <n v="123"/>
    <n v="40"/>
    <s v="Books &amp; Stationery"/>
    <s v="Eraser"/>
    <n v="1"/>
    <n v="65.69"/>
    <s v="Credit Card"/>
    <x v="885"/>
    <n v="4"/>
    <x v="1"/>
    <n v="71"/>
    <x v="0"/>
    <n v="65.69"/>
    <n v="19.706999999999997"/>
  </r>
  <r>
    <n v="39828"/>
    <d v="2025-02-12T00:00:00"/>
    <n v="953"/>
    <n v="40"/>
    <s v="Books &amp; Stationery"/>
    <s v="Novel"/>
    <n v="3"/>
    <n v="58.91"/>
    <s v="Credit Card"/>
    <x v="886"/>
    <n v="5"/>
    <x v="1"/>
    <n v="75"/>
    <x v="0"/>
    <n v="176.73"/>
    <n v="53.018999999999998"/>
  </r>
  <r>
    <n v="38645"/>
    <d v="2025-02-12T00:00:00"/>
    <n v="851"/>
    <n v="20"/>
    <s v="Fashion"/>
    <s v="Shirt"/>
    <n v="2"/>
    <n v="325.23"/>
    <s v="Bank Transfer"/>
    <x v="887"/>
    <n v="5"/>
    <x v="0"/>
    <n v="27"/>
    <x v="3"/>
    <n v="650.46"/>
    <n v="195.13800000000001"/>
  </r>
  <r>
    <n v="51408"/>
    <d v="2025-02-14T00:00:00"/>
    <n v="511"/>
    <n v="40"/>
    <s v="Books &amp; Stationery"/>
    <s v="Story Book"/>
    <n v="2"/>
    <n v="212.48"/>
    <s v="Cash on Delivery"/>
    <x v="888"/>
    <n v="4"/>
    <x v="0"/>
    <n v="59"/>
    <x v="1"/>
    <n v="424.96"/>
    <n v="127.48799999999999"/>
  </r>
  <r>
    <n v="96221"/>
    <d v="2025-02-14T00:00:00"/>
    <n v="136"/>
    <n v="50"/>
    <s v="Sports &amp; Outdoors"/>
    <s v="Soccer Ball"/>
    <n v="1"/>
    <n v="88.76"/>
    <s v="Cash on Delivery"/>
    <x v="889"/>
    <m/>
    <x v="0"/>
    <n v="31"/>
    <x v="2"/>
    <n v="88.76"/>
    <n v="26.628"/>
  </r>
  <r>
    <n v="67596"/>
    <d v="2025-02-15T00:00:00"/>
    <n v="348"/>
    <n v="50"/>
    <s v="Sports &amp; Outdoors"/>
    <s v="Running Shoes"/>
    <n v="2"/>
    <n v="276.39"/>
    <s v="Bank Transfer"/>
    <x v="890"/>
    <n v="5"/>
    <x v="1"/>
    <n v="41"/>
    <x v="2"/>
    <n v="552.78"/>
    <n v="165.83399999999997"/>
  </r>
  <r>
    <n v="99677"/>
    <d v="2025-02-15T00:00:00"/>
    <n v="622"/>
    <n v="10"/>
    <s v="Electronics"/>
    <s v="Headphones"/>
    <n v="4"/>
    <n v="325.73"/>
    <s v="Bank Transfer"/>
    <x v="891"/>
    <n v="5"/>
    <x v="0"/>
    <n v="70"/>
    <x v="0"/>
    <n v="1302.92"/>
    <n v="390.87600000000003"/>
  </r>
  <r>
    <n v="14376"/>
    <d v="2025-02-15T00:00:00"/>
    <n v="840"/>
    <n v="40"/>
    <s v="Books &amp; Stationery"/>
    <s v="Story Book"/>
    <n v="5"/>
    <n v="20.46"/>
    <s v="Bank Transfer"/>
    <x v="892"/>
    <n v="3"/>
    <x v="0"/>
    <n v="34"/>
    <x v="2"/>
    <n v="102.30000000000001"/>
    <n v="30.69"/>
  </r>
  <r>
    <n v="51391"/>
    <d v="2025-02-15T00:00:00"/>
    <n v="418"/>
    <n v="30"/>
    <s v="Home &amp; Living"/>
    <s v="Carpet"/>
    <n v="5"/>
    <n v="246.68"/>
    <s v="Cash on Delivery"/>
    <x v="893"/>
    <n v="5"/>
    <x v="1"/>
    <n v="31"/>
    <x v="2"/>
    <n v="1233.4000000000001"/>
    <n v="370.02000000000004"/>
  </r>
  <r>
    <n v="31593"/>
    <d v="2025-02-16T00:00:00"/>
    <n v="343"/>
    <n v="50"/>
    <s v="Sports &amp; Outdoors"/>
    <s v="Tent"/>
    <n v="1"/>
    <n v="415.49"/>
    <s v="Cash on Delivery"/>
    <x v="894"/>
    <n v="5"/>
    <x v="1"/>
    <n v="44"/>
    <x v="2"/>
    <n v="415.49"/>
    <n v="124.64699999999999"/>
  </r>
  <r>
    <n v="17937"/>
    <d v="2025-02-17T00:00:00"/>
    <n v="787"/>
    <n v="10"/>
    <s v="Electronics"/>
    <s v="Smartphone"/>
    <n v="4"/>
    <n v="260.64"/>
    <s v="Cash on Delivery"/>
    <x v="895"/>
    <n v="5"/>
    <x v="1"/>
    <n v="53"/>
    <x v="1"/>
    <n v="1042.56"/>
    <n v="312.76799999999997"/>
  </r>
  <r>
    <n v="77318"/>
    <d v="2025-02-18T00:00:00"/>
    <n v="305"/>
    <n v="40"/>
    <s v="Books &amp; Stationery"/>
    <s v="Novel"/>
    <n v="2"/>
    <n v="203.94"/>
    <s v="Bank Transfer"/>
    <x v="896"/>
    <n v="5"/>
    <x v="0"/>
    <n v="23"/>
    <x v="3"/>
    <n v="407.88"/>
    <n v="122.36399999999999"/>
  </r>
  <r>
    <n v="31600"/>
    <d v="2025-02-19T00:00:00"/>
    <n v="775"/>
    <n v="50"/>
    <s v="Sports &amp; Outdoors"/>
    <s v="Basketball"/>
    <n v="2"/>
    <n v="367.94"/>
    <s v="Credit Card"/>
    <x v="897"/>
    <m/>
    <x v="1"/>
    <n v="32"/>
    <x v="2"/>
    <n v="735.88"/>
    <n v="220.76399999999998"/>
  </r>
  <r>
    <n v="30282"/>
    <d v="2025-02-19T00:00:00"/>
    <n v="411"/>
    <n v="10"/>
    <s v="Electronics"/>
    <s v="Laptop"/>
    <n v="3"/>
    <n v="91.79"/>
    <s v="Credit Card"/>
    <x v="898"/>
    <m/>
    <x v="2"/>
    <n v="68"/>
    <x v="0"/>
    <n v="275.37"/>
    <n v="82.611000000000004"/>
  </r>
  <r>
    <n v="65011"/>
    <d v="2025-02-20T00:00:00"/>
    <n v="938"/>
    <n v="30"/>
    <s v="Home &amp; Living"/>
    <s v="Carpet"/>
    <n v="4"/>
    <n v="383.36"/>
    <s v="Cash on Delivery"/>
    <x v="610"/>
    <n v="5"/>
    <x v="1"/>
    <n v="42"/>
    <x v="2"/>
    <n v="1533.44"/>
    <n v="460.03199999999998"/>
  </r>
  <r>
    <n v="97353"/>
    <d v="2025-02-20T00:00:00"/>
    <n v="626"/>
    <n v="40"/>
    <s v="Books &amp; Stationery"/>
    <s v="Eraser"/>
    <n v="2"/>
    <n v="117.09"/>
    <s v="Bank Transfer"/>
    <x v="899"/>
    <m/>
    <x v="1"/>
    <n v="31"/>
    <x v="2"/>
    <n v="234.18"/>
    <n v="70.254000000000005"/>
  </r>
  <r>
    <n v="14029"/>
    <d v="2025-02-20T00:00:00"/>
    <n v="436"/>
    <n v="50"/>
    <s v="Sports &amp; Outdoors"/>
    <s v="Yoga Mat"/>
    <n v="4"/>
    <n v="113.64"/>
    <s v="Credit Card"/>
    <x v="900"/>
    <m/>
    <x v="1"/>
    <n v="57"/>
    <x v="1"/>
    <n v="454.56"/>
    <n v="136.36799999999999"/>
  </r>
  <r>
    <n v="66492"/>
    <d v="2025-02-21T00:00:00"/>
    <n v="112"/>
    <n v="10"/>
    <s v="Electronics"/>
    <s v="Smartwatch"/>
    <n v="4"/>
    <n v="375.13"/>
    <s v="Bank Transfer"/>
    <x v="901"/>
    <n v="5"/>
    <x v="0"/>
    <n v="30"/>
    <x v="3"/>
    <n v="1500.52"/>
    <n v="450.15600000000001"/>
  </r>
  <r>
    <n v="52213"/>
    <d v="2025-02-21T00:00:00"/>
    <n v="648"/>
    <n v="30"/>
    <s v="Home &amp; Living"/>
    <s v="Blanket"/>
    <n v="1"/>
    <n v="202.55"/>
    <s v="Cash on Delivery"/>
    <x v="902"/>
    <n v="5"/>
    <x v="0"/>
    <n v="57"/>
    <x v="1"/>
    <n v="202.55"/>
    <n v="60.765000000000001"/>
  </r>
  <r>
    <n v="11911"/>
    <d v="2025-02-21T00:00:00"/>
    <n v="572"/>
    <n v="30"/>
    <s v="Home &amp; Living"/>
    <s v="Vase"/>
    <n v="3"/>
    <n v="395.04"/>
    <s v="Bank Transfer"/>
    <x v="903"/>
    <n v="5"/>
    <x v="0"/>
    <n v="44"/>
    <x v="2"/>
    <n v="1185.1200000000001"/>
    <n v="355.536"/>
  </r>
  <r>
    <n v="41613"/>
    <d v="2025-02-21T00:00:00"/>
    <n v="159"/>
    <n v="30"/>
    <s v="Home &amp; Living"/>
    <s v="Vase"/>
    <n v="5"/>
    <n v="487.53"/>
    <s v="Credit Card"/>
    <x v="802"/>
    <n v="4"/>
    <x v="1"/>
    <n v="19"/>
    <x v="3"/>
    <n v="2437.6499999999996"/>
    <n v="731.29499999999985"/>
  </r>
  <r>
    <n v="62189"/>
    <d v="2025-02-21T00:00:00"/>
    <n v="650"/>
    <n v="10"/>
    <s v="Electronics"/>
    <s v="Smartphone"/>
    <n v="3"/>
    <n v="87.23"/>
    <s v="Cash on Delivery"/>
    <x v="904"/>
    <n v="3"/>
    <x v="1"/>
    <n v="54"/>
    <x v="1"/>
    <n v="261.69"/>
    <n v="78.506999999999991"/>
  </r>
  <r>
    <n v="36683"/>
    <d v="2025-02-21T00:00:00"/>
    <n v="125"/>
    <n v="10"/>
    <s v="Electronics"/>
    <s v="Headphones"/>
    <n v="2"/>
    <n v="95.77"/>
    <s v="Cash on Delivery"/>
    <x v="905"/>
    <m/>
    <x v="0"/>
    <n v="68"/>
    <x v="0"/>
    <n v="191.54"/>
    <n v="57.461999999999996"/>
  </r>
  <r>
    <n v="46965"/>
    <d v="2025-02-21T00:00:00"/>
    <n v="329"/>
    <n v="30"/>
    <s v="Home &amp; Living"/>
    <s v="Vase"/>
    <n v="3"/>
    <n v="343.98"/>
    <s v="Cash on Delivery"/>
    <x v="906"/>
    <n v="5"/>
    <x v="1"/>
    <n v="47"/>
    <x v="1"/>
    <n v="1031.94"/>
    <n v="309.58199999999999"/>
  </r>
  <r>
    <n v="86183"/>
    <d v="2025-02-21T00:00:00"/>
    <n v="263"/>
    <n v="50"/>
    <s v="Sports &amp; Outdoors"/>
    <s v="Yoga Mat"/>
    <n v="3"/>
    <n v="204.96"/>
    <s v="Cash on Delivery"/>
    <x v="907"/>
    <m/>
    <x v="1"/>
    <n v="72"/>
    <x v="0"/>
    <n v="614.88"/>
    <n v="184.464"/>
  </r>
  <r>
    <n v="66861"/>
    <d v="2025-02-23T00:00:00"/>
    <n v="360"/>
    <n v="20"/>
    <s v="Fashion"/>
    <s v="T-shirt"/>
    <n v="3"/>
    <n v="146.66999999999999"/>
    <s v="Bank Transfer"/>
    <x v="908"/>
    <n v="1"/>
    <x v="1"/>
    <n v="20"/>
    <x v="3"/>
    <n v="440.01"/>
    <n v="132.00299999999999"/>
  </r>
  <r>
    <n v="35117"/>
    <d v="2025-02-24T00:00:00"/>
    <n v="391"/>
    <n v="40"/>
    <s v="Books &amp; Stationery"/>
    <s v="Story Book"/>
    <n v="5"/>
    <n v="224.84"/>
    <s v="Bank Transfer"/>
    <x v="909"/>
    <n v="5"/>
    <x v="0"/>
    <n v="60"/>
    <x v="1"/>
    <n v="1124.2"/>
    <n v="337.26"/>
  </r>
  <r>
    <n v="97274"/>
    <d v="2025-02-24T00:00:00"/>
    <n v="560"/>
    <n v="10"/>
    <s v="Electronics"/>
    <s v="Smartphone"/>
    <n v="3"/>
    <n v="78.61"/>
    <s v="Credit Card"/>
    <x v="910"/>
    <n v="4"/>
    <x v="0"/>
    <n v="55"/>
    <x v="1"/>
    <n v="235.82999999999998"/>
    <n v="70.748999999999995"/>
  </r>
  <r>
    <n v="91509"/>
    <d v="2025-02-24T00:00:00"/>
    <n v="113"/>
    <n v="50"/>
    <s v="Sports &amp; Outdoors"/>
    <s v="Running Shoes"/>
    <n v="3"/>
    <n v="459.41"/>
    <s v="Credit Card"/>
    <x v="911"/>
    <n v="5"/>
    <x v="1"/>
    <n v="43"/>
    <x v="2"/>
    <n v="1378.23"/>
    <n v="413.46899999999999"/>
  </r>
  <r>
    <n v="40188"/>
    <d v="2025-02-24T00:00:00"/>
    <n v="533"/>
    <n v="10"/>
    <s v="Electronics"/>
    <s v="Smartwatch"/>
    <n v="1"/>
    <n v="475.07"/>
    <s v="Credit Card"/>
    <x v="912"/>
    <m/>
    <x v="1"/>
    <n v="75"/>
    <x v="0"/>
    <n v="475.07"/>
    <n v="142.52099999999999"/>
  </r>
  <r>
    <n v="44704"/>
    <d v="2025-02-25T00:00:00"/>
    <n v="911"/>
    <n v="30"/>
    <s v="Home &amp; Living"/>
    <s v="Carpet"/>
    <n v="4"/>
    <n v="37.520000000000003"/>
    <s v="Cash on Delivery"/>
    <x v="913"/>
    <m/>
    <x v="1"/>
    <n v="62"/>
    <x v="0"/>
    <n v="150.08000000000001"/>
    <n v="45.024000000000001"/>
  </r>
  <r>
    <n v="93539"/>
    <d v="2025-02-25T00:00:00"/>
    <n v="907"/>
    <n v="10"/>
    <s v="Electronics"/>
    <s v="Tablet"/>
    <n v="2"/>
    <n v="77.37"/>
    <s v="Cash on Delivery"/>
    <x v="914"/>
    <n v="1"/>
    <x v="1"/>
    <n v="43"/>
    <x v="2"/>
    <n v="154.74"/>
    <n v="46.422000000000004"/>
  </r>
  <r>
    <n v="61358"/>
    <d v="2025-02-26T00:00:00"/>
    <n v="439"/>
    <n v="20"/>
    <s v="Fashion"/>
    <s v="T-shirt"/>
    <n v="5"/>
    <n v="476.53"/>
    <s v="Bank Transfer"/>
    <x v="915"/>
    <n v="4"/>
    <x v="1"/>
    <n v="51"/>
    <x v="1"/>
    <n v="2382.6499999999996"/>
    <n v="714.79499999999985"/>
  </r>
  <r>
    <n v="39659"/>
    <d v="2025-02-26T00:00:00"/>
    <n v="881"/>
    <n v="20"/>
    <s v="Fashion"/>
    <s v="Shirt"/>
    <n v="2"/>
    <n v="311.83999999999997"/>
    <s v="Cash on Delivery"/>
    <x v="916"/>
    <n v="4"/>
    <x v="0"/>
    <n v="75"/>
    <x v="0"/>
    <n v="623.67999999999995"/>
    <n v="187.10399999999998"/>
  </r>
  <r>
    <n v="43043"/>
    <d v="2025-02-27T00:00:00"/>
    <n v="203"/>
    <n v="10"/>
    <s v="Electronics"/>
    <s v="Headphones"/>
    <n v="5"/>
    <n v="185.65"/>
    <s v="Bank Transfer"/>
    <x v="917"/>
    <m/>
    <x v="1"/>
    <n v="24"/>
    <x v="3"/>
    <n v="928.25"/>
    <n v="278.47499999999997"/>
  </r>
  <r>
    <n v="80882"/>
    <d v="2025-02-27T00:00:00"/>
    <n v="511"/>
    <n v="10"/>
    <s v="Electronics"/>
    <s v="Smartphone"/>
    <n v="3"/>
    <n v="375.59"/>
    <s v="Credit Card"/>
    <x v="918"/>
    <n v="3"/>
    <x v="1"/>
    <n v="32"/>
    <x v="2"/>
    <n v="1126.77"/>
    <n v="338.03100000000001"/>
  </r>
  <r>
    <n v="76603"/>
    <d v="2025-02-27T00:00:00"/>
    <n v="511"/>
    <n v="10"/>
    <s v="Electronics"/>
    <s v="Smartwatch"/>
    <n v="2"/>
    <n v="289.89999999999998"/>
    <s v="Cash on Delivery"/>
    <x v="919"/>
    <n v="5"/>
    <x v="1"/>
    <n v="36"/>
    <x v="2"/>
    <n v="579.79999999999995"/>
    <n v="173.93999999999997"/>
  </r>
  <r>
    <n v="99850"/>
    <d v="2025-02-27T00:00:00"/>
    <n v="453"/>
    <n v="40"/>
    <s v="Books &amp; Stationery"/>
    <s v="Novel"/>
    <n v="3"/>
    <n v="392.26"/>
    <s v="Bank Transfer"/>
    <x v="920"/>
    <n v="3"/>
    <x v="1"/>
    <n v="50"/>
    <x v="1"/>
    <n v="1176.78"/>
    <n v="353.03399999999999"/>
  </r>
  <r>
    <n v="20393"/>
    <d v="2025-02-28T00:00:00"/>
    <n v="133"/>
    <n v="40"/>
    <s v="Books &amp; Stationery"/>
    <s v="Notebook"/>
    <n v="5"/>
    <n v="468.55"/>
    <s v="Credit Card"/>
    <x v="921"/>
    <n v="2"/>
    <x v="0"/>
    <n v="68"/>
    <x v="0"/>
    <n v="2342.75"/>
    <n v="702.82499999999993"/>
  </r>
  <r>
    <n v="35152"/>
    <d v="2025-03-01T00:00:00"/>
    <n v="106"/>
    <n v="20"/>
    <s v="Fashion"/>
    <s v="Dress"/>
    <n v="1"/>
    <n v="87.9"/>
    <s v="Bank Transfer"/>
    <x v="922"/>
    <m/>
    <x v="0"/>
    <n v="64"/>
    <x v="0"/>
    <n v="87.9"/>
    <n v="26.37"/>
  </r>
  <r>
    <n v="89618"/>
    <d v="2025-03-01T00:00:00"/>
    <n v="567"/>
    <n v="20"/>
    <s v="Fashion"/>
    <s v="T-shirt"/>
    <n v="1"/>
    <n v="98.87"/>
    <s v="Cash on Delivery"/>
    <x v="923"/>
    <n v="5"/>
    <x v="1"/>
    <n v="42"/>
    <x v="2"/>
    <n v="98.87"/>
    <n v="29.661000000000001"/>
  </r>
  <r>
    <n v="55905"/>
    <d v="2025-03-02T00:00:00"/>
    <n v="550"/>
    <n v="30"/>
    <s v="Home &amp; Living"/>
    <s v="Vase"/>
    <n v="1"/>
    <n v="99.84"/>
    <s v="Cash on Delivery"/>
    <x v="924"/>
    <n v="3"/>
    <x v="1"/>
    <n v="73"/>
    <x v="0"/>
    <n v="99.84"/>
    <n v="29.951999999999998"/>
  </r>
  <r>
    <n v="51106"/>
    <d v="2025-03-03T00:00:00"/>
    <n v="222"/>
    <n v="50"/>
    <s v="Sports &amp; Outdoors"/>
    <s v="Tent"/>
    <n v="2"/>
    <n v="148.66999999999999"/>
    <s v="Credit Card"/>
    <x v="925"/>
    <n v="5"/>
    <x v="0"/>
    <n v="38"/>
    <x v="2"/>
    <n v="297.33999999999997"/>
    <n v="89.201999999999984"/>
  </r>
  <r>
    <n v="23687"/>
    <d v="2025-03-03T00:00:00"/>
    <n v="371"/>
    <n v="10"/>
    <s v="Electronics"/>
    <s v="Headphones"/>
    <n v="2"/>
    <n v="308.07"/>
    <s v="Credit Card"/>
    <x v="926"/>
    <m/>
    <x v="1"/>
    <n v="68"/>
    <x v="0"/>
    <n v="616.14"/>
    <n v="184.84199999999998"/>
  </r>
  <r>
    <n v="75278"/>
    <d v="2025-03-03T00:00:00"/>
    <n v="538"/>
    <n v="40"/>
    <s v="Books &amp; Stationery"/>
    <s v="Eraser"/>
    <n v="3"/>
    <n v="266.14999999999998"/>
    <s v="Credit Card"/>
    <x v="927"/>
    <n v="3"/>
    <x v="2"/>
    <n v="59"/>
    <x v="1"/>
    <n v="798.44999999999993"/>
    <n v="239.53499999999997"/>
  </r>
  <r>
    <n v="26160"/>
    <d v="2025-03-04T00:00:00"/>
    <n v="374"/>
    <n v="20"/>
    <s v="Fashion"/>
    <s v="Skirt"/>
    <n v="2"/>
    <n v="452.2"/>
    <s v="Credit Card"/>
    <x v="928"/>
    <n v="3"/>
    <x v="2"/>
    <n v="25"/>
    <x v="3"/>
    <n v="904.4"/>
    <n v="271.32"/>
  </r>
  <r>
    <n v="20019"/>
    <d v="2025-03-04T00:00:00"/>
    <n v="886"/>
    <n v="40"/>
    <s v="Books &amp; Stationery"/>
    <s v="Novel"/>
    <n v="4"/>
    <n v="300.02999999999997"/>
    <s v="Credit Card"/>
    <x v="929"/>
    <n v="4"/>
    <x v="2"/>
    <n v="34"/>
    <x v="2"/>
    <n v="1200.1199999999999"/>
    <n v="360.03599999999994"/>
  </r>
  <r>
    <n v="24734"/>
    <d v="2025-03-05T00:00:00"/>
    <n v="674"/>
    <n v="50"/>
    <s v="Sports &amp; Outdoors"/>
    <s v="Basketball"/>
    <n v="2"/>
    <n v="95.99"/>
    <s v="Cash on Delivery"/>
    <x v="930"/>
    <n v="5"/>
    <x v="1"/>
    <n v="39"/>
    <x v="2"/>
    <n v="191.98"/>
    <n v="57.593999999999994"/>
  </r>
  <r>
    <n v="62120"/>
    <d v="2025-03-05T00:00:00"/>
    <n v="501"/>
    <n v="50"/>
    <s v="Sports &amp; Outdoors"/>
    <s v="Basketball"/>
    <n v="3"/>
    <n v="456.38"/>
    <s v="Bank Transfer"/>
    <x v="931"/>
    <n v="3"/>
    <x v="1"/>
    <n v="50"/>
    <x v="1"/>
    <n v="1369.1399999999999"/>
    <n v="410.74199999999996"/>
  </r>
  <r>
    <n v="11655"/>
    <d v="2025-03-05T00:00:00"/>
    <n v="961"/>
    <n v="10"/>
    <s v="Electronics"/>
    <s v="Laptop"/>
    <n v="4"/>
    <n v="365.54"/>
    <s v="Bank Transfer"/>
    <x v="932"/>
    <n v="5"/>
    <x v="0"/>
    <n v="61"/>
    <x v="0"/>
    <n v="1462.16"/>
    <n v="438.64800000000002"/>
  </r>
  <r>
    <n v="97350"/>
    <d v="2025-03-06T00:00:00"/>
    <n v="770"/>
    <n v="40"/>
    <s v="Books &amp; Stationery"/>
    <s v="Story Book"/>
    <n v="4"/>
    <n v="143.74"/>
    <s v="Bank Transfer"/>
    <x v="933"/>
    <m/>
    <x v="0"/>
    <n v="70"/>
    <x v="0"/>
    <n v="574.96"/>
    <n v="172.488"/>
  </r>
  <r>
    <n v="18555"/>
    <d v="2025-03-06T00:00:00"/>
    <n v="287"/>
    <n v="50"/>
    <s v="Sports &amp; Outdoors"/>
    <s v="Tent"/>
    <n v="2"/>
    <n v="332.47"/>
    <s v="Credit Card"/>
    <x v="934"/>
    <n v="5"/>
    <x v="0"/>
    <n v="68"/>
    <x v="0"/>
    <n v="664.94"/>
    <n v="199.482"/>
  </r>
  <r>
    <n v="53993"/>
    <d v="2025-03-06T00:00:00"/>
    <n v="268"/>
    <n v="20"/>
    <s v="Fashion"/>
    <s v="T-shirt"/>
    <n v="3"/>
    <n v="280.89999999999998"/>
    <s v="Cash on Delivery"/>
    <x v="935"/>
    <n v="5"/>
    <x v="0"/>
    <n v="47"/>
    <x v="1"/>
    <n v="842.69999999999993"/>
    <n v="252.80999999999997"/>
  </r>
  <r>
    <n v="37762"/>
    <d v="2025-03-07T00:00:00"/>
    <n v="442"/>
    <n v="10"/>
    <s v="Electronics"/>
    <s v="Tablet"/>
    <n v="1"/>
    <n v="94.6"/>
    <s v="Cash on Delivery"/>
    <x v="936"/>
    <n v="4"/>
    <x v="0"/>
    <n v="32"/>
    <x v="2"/>
    <n v="94.6"/>
    <n v="28.38"/>
  </r>
  <r>
    <n v="37624"/>
    <d v="2025-03-08T00:00:00"/>
    <n v="681"/>
    <n v="20"/>
    <s v="Fashion"/>
    <s v="Skirt"/>
    <n v="1"/>
    <n v="461"/>
    <s v="Credit Card"/>
    <x v="937"/>
    <n v="5"/>
    <x v="0"/>
    <n v="20"/>
    <x v="3"/>
    <n v="461"/>
    <n v="138.29999999999998"/>
  </r>
  <r>
    <n v="38512"/>
    <d v="2025-03-09T00:00:00"/>
    <n v="976"/>
    <n v="20"/>
    <s v="Fashion"/>
    <s v="Skirt"/>
    <n v="5"/>
    <n v="229.81"/>
    <s v="Credit Card"/>
    <x v="938"/>
    <n v="5"/>
    <x v="0"/>
    <n v="34"/>
    <x v="2"/>
    <n v="1149.05"/>
    <n v="344.71499999999997"/>
  </r>
  <r>
    <n v="56081"/>
    <d v="2025-03-09T00:00:00"/>
    <n v="502"/>
    <n v="10"/>
    <s v="Electronics"/>
    <s v="Smartwatch"/>
    <n v="5"/>
    <n v="370.24"/>
    <s v="Bank Transfer"/>
    <x v="939"/>
    <m/>
    <x v="0"/>
    <n v="38"/>
    <x v="2"/>
    <n v="1851.2"/>
    <n v="555.36"/>
  </r>
  <r>
    <n v="33770"/>
    <d v="2025-03-10T00:00:00"/>
    <n v="716"/>
    <n v="10"/>
    <s v="Electronics"/>
    <s v="Tablet"/>
    <n v="1"/>
    <n v="433.99"/>
    <s v="Credit Card"/>
    <x v="940"/>
    <n v="5"/>
    <x v="0"/>
    <n v="42"/>
    <x v="2"/>
    <n v="433.99"/>
    <n v="130.197"/>
  </r>
  <r>
    <n v="86727"/>
    <d v="2025-03-10T00:00:00"/>
    <n v="102"/>
    <n v="50"/>
    <s v="Sports &amp; Outdoors"/>
    <s v="Soccer Ball"/>
    <n v="4"/>
    <n v="380.42"/>
    <s v="Cash on Delivery"/>
    <x v="941"/>
    <m/>
    <x v="1"/>
    <n v="46"/>
    <x v="1"/>
    <n v="1521.68"/>
    <n v="456.50400000000002"/>
  </r>
  <r>
    <n v="35717"/>
    <d v="2025-03-10T00:00:00"/>
    <n v="374"/>
    <n v="40"/>
    <s v="Books &amp; Stationery"/>
    <s v="Novel"/>
    <n v="1"/>
    <n v="239.35"/>
    <s v="Cash on Delivery"/>
    <x v="942"/>
    <m/>
    <x v="1"/>
    <n v="34"/>
    <x v="2"/>
    <n v="239.35"/>
    <n v="71.804999999999993"/>
  </r>
  <r>
    <n v="39860"/>
    <d v="2025-03-11T00:00:00"/>
    <n v="967"/>
    <n v="30"/>
    <s v="Home &amp; Living"/>
    <s v="Blanket"/>
    <n v="1"/>
    <n v="77.42"/>
    <s v="Bank Transfer"/>
    <x v="943"/>
    <n v="5"/>
    <x v="1"/>
    <n v="53"/>
    <x v="1"/>
    <n v="77.42"/>
    <n v="23.225999999999999"/>
  </r>
  <r>
    <n v="85518"/>
    <d v="2025-03-11T00:00:00"/>
    <n v="519"/>
    <n v="50"/>
    <s v="Sports &amp; Outdoors"/>
    <s v="Basketball"/>
    <n v="1"/>
    <n v="292.66000000000003"/>
    <s v="Cash on Delivery"/>
    <x v="944"/>
    <n v="5"/>
    <x v="0"/>
    <n v="75"/>
    <x v="0"/>
    <n v="292.66000000000003"/>
    <n v="87.798000000000002"/>
  </r>
  <r>
    <n v="25702"/>
    <d v="2025-03-12T00:00:00"/>
    <n v="423"/>
    <n v="40"/>
    <s v="Books &amp; Stationery"/>
    <s v="Eraser"/>
    <n v="4"/>
    <n v="306.66000000000003"/>
    <s v="Credit Card"/>
    <x v="945"/>
    <n v="5"/>
    <x v="0"/>
    <n v="40"/>
    <x v="2"/>
    <n v="1226.6400000000001"/>
    <n v="367.99200000000002"/>
  </r>
  <r>
    <n v="79470"/>
    <d v="2025-03-12T00:00:00"/>
    <n v="247"/>
    <n v="40"/>
    <s v="Books &amp; Stationery"/>
    <s v="Novel"/>
    <n v="2"/>
    <n v="190.5"/>
    <s v="Cash on Delivery"/>
    <x v="946"/>
    <m/>
    <x v="0"/>
    <n v="41"/>
    <x v="2"/>
    <n v="381"/>
    <n v="114.3"/>
  </r>
  <r>
    <n v="92393"/>
    <d v="2025-03-12T00:00:00"/>
    <n v="344"/>
    <n v="50"/>
    <s v="Sports &amp; Outdoors"/>
    <s v="Yoga Mat"/>
    <n v="5"/>
    <n v="372.39"/>
    <s v="Credit Card"/>
    <x v="947"/>
    <n v="4"/>
    <x v="1"/>
    <n v="63"/>
    <x v="0"/>
    <n v="1861.9499999999998"/>
    <n v="558.58499999999992"/>
  </r>
  <r>
    <n v="63014"/>
    <d v="2025-03-12T00:00:00"/>
    <n v="323"/>
    <n v="20"/>
    <s v="Fashion"/>
    <s v="Dress"/>
    <n v="3"/>
    <n v="62.81"/>
    <s v="Bank Transfer"/>
    <x v="278"/>
    <m/>
    <x v="1"/>
    <n v="39"/>
    <x v="2"/>
    <n v="188.43"/>
    <n v="56.529000000000003"/>
  </r>
  <r>
    <n v="85614"/>
    <d v="2025-03-13T00:00:00"/>
    <n v="189"/>
    <n v="20"/>
    <s v="Fashion"/>
    <s v="T-shirt"/>
    <n v="5"/>
    <n v="452.67"/>
    <s v="Cash on Delivery"/>
    <x v="948"/>
    <m/>
    <x v="1"/>
    <n v="70"/>
    <x v="0"/>
    <n v="2263.35"/>
    <n v="679.005"/>
  </r>
  <r>
    <n v="82817"/>
    <d v="2025-03-13T00:00:00"/>
    <n v="486"/>
    <n v="50"/>
    <s v="Sports &amp; Outdoors"/>
    <s v="Yoga Mat"/>
    <n v="4"/>
    <n v="431.91"/>
    <s v="Cash on Delivery"/>
    <x v="22"/>
    <n v="5"/>
    <x v="0"/>
    <n v="29"/>
    <x v="3"/>
    <n v="1727.64"/>
    <n v="518.29200000000003"/>
  </r>
  <r>
    <n v="81959"/>
    <d v="2025-03-13T00:00:00"/>
    <n v="433"/>
    <n v="20"/>
    <s v="Fashion"/>
    <s v="Pants"/>
    <n v="2"/>
    <n v="369.7"/>
    <s v="Cash on Delivery"/>
    <x v="949"/>
    <n v="4"/>
    <x v="0"/>
    <n v="19"/>
    <x v="3"/>
    <n v="739.4"/>
    <n v="221.82"/>
  </r>
  <r>
    <n v="95322"/>
    <d v="2025-03-14T00:00:00"/>
    <n v="621"/>
    <n v="50"/>
    <s v="Sports &amp; Outdoors"/>
    <s v="Running Shoes"/>
    <n v="2"/>
    <n v="34.61"/>
    <s v="Credit Card"/>
    <x v="950"/>
    <n v="5"/>
    <x v="0"/>
    <n v="43"/>
    <x v="2"/>
    <n v="69.22"/>
    <n v="20.765999999999998"/>
  </r>
  <r>
    <n v="48813"/>
    <d v="2025-03-14T00:00:00"/>
    <n v="395"/>
    <n v="10"/>
    <s v="Electronics"/>
    <s v="Headphones"/>
    <n v="1"/>
    <n v="191.02"/>
    <s v="Credit Card"/>
    <x v="951"/>
    <n v="5"/>
    <x v="1"/>
    <n v="75"/>
    <x v="0"/>
    <n v="191.02"/>
    <n v="57.306000000000004"/>
  </r>
  <r>
    <n v="15872"/>
    <d v="2025-03-14T00:00:00"/>
    <n v="733"/>
    <n v="10"/>
    <s v="Electronics"/>
    <s v="Smartwatch"/>
    <n v="2"/>
    <n v="185.4"/>
    <s v="Bank Transfer"/>
    <x v="952"/>
    <n v="5"/>
    <x v="0"/>
    <n v="39"/>
    <x v="2"/>
    <n v="370.8"/>
    <n v="111.24"/>
  </r>
  <r>
    <n v="55698"/>
    <d v="2025-03-16T00:00:00"/>
    <n v="776"/>
    <n v="40"/>
    <s v="Books &amp; Stationery"/>
    <s v="Pen"/>
    <n v="4"/>
    <n v="101.01"/>
    <s v="Cash on Delivery"/>
    <x v="953"/>
    <n v="5"/>
    <x v="0"/>
    <n v="48"/>
    <x v="1"/>
    <n v="404.04"/>
    <n v="121.212"/>
  </r>
  <r>
    <n v="33156"/>
    <d v="2025-03-16T00:00:00"/>
    <n v="855"/>
    <n v="10"/>
    <s v="Electronics"/>
    <s v="Headphones"/>
    <n v="3"/>
    <n v="301.07"/>
    <s v="Cash on Delivery"/>
    <x v="954"/>
    <n v="5"/>
    <x v="1"/>
    <n v="60"/>
    <x v="1"/>
    <n v="903.21"/>
    <n v="270.96300000000002"/>
  </r>
  <r>
    <n v="55421"/>
    <d v="2025-03-16T00:00:00"/>
    <n v="315"/>
    <n v="30"/>
    <s v="Home &amp; Living"/>
    <s v="Blanket"/>
    <n v="2"/>
    <n v="307.12"/>
    <s v="Credit Card"/>
    <x v="955"/>
    <n v="4"/>
    <x v="0"/>
    <n v="26"/>
    <x v="3"/>
    <n v="614.24"/>
    <n v="184.27199999999999"/>
  </r>
  <r>
    <n v="10539"/>
    <d v="2025-03-17T00:00:00"/>
    <n v="142"/>
    <n v="40"/>
    <s v="Books &amp; Stationery"/>
    <s v="Story Book"/>
    <n v="1"/>
    <n v="34.64"/>
    <s v="Bank Transfer"/>
    <x v="956"/>
    <n v="3"/>
    <x v="1"/>
    <n v="44"/>
    <x v="2"/>
    <n v="34.64"/>
    <n v="10.391999999999999"/>
  </r>
  <r>
    <n v="68238"/>
    <d v="2025-03-17T00:00:00"/>
    <n v="261"/>
    <n v="50"/>
    <s v="Sports &amp; Outdoors"/>
    <s v="Soccer Ball"/>
    <n v="3"/>
    <n v="332.25"/>
    <s v="Cash on Delivery"/>
    <x v="957"/>
    <n v="4"/>
    <x v="0"/>
    <n v="68"/>
    <x v="0"/>
    <n v="996.75"/>
    <n v="299.02499999999998"/>
  </r>
  <r>
    <n v="25747"/>
    <d v="2025-03-18T00:00:00"/>
    <n v="874"/>
    <n v="30"/>
    <s v="Home &amp; Living"/>
    <s v="Painting"/>
    <n v="4"/>
    <n v="60.76"/>
    <s v="Cash on Delivery"/>
    <x v="958"/>
    <n v="1"/>
    <x v="1"/>
    <n v="64"/>
    <x v="0"/>
    <n v="243.04"/>
    <n v="72.911999999999992"/>
  </r>
  <r>
    <n v="66977"/>
    <d v="2025-03-18T00:00:00"/>
    <n v="568"/>
    <n v="20"/>
    <s v="Fashion"/>
    <s v="Dress"/>
    <n v="1"/>
    <n v="354.32"/>
    <s v="Bank Transfer"/>
    <x v="109"/>
    <n v="5"/>
    <x v="0"/>
    <n v="67"/>
    <x v="0"/>
    <n v="354.32"/>
    <n v="106.29599999999999"/>
  </r>
  <r>
    <n v="24175"/>
    <d v="2025-03-19T00:00:00"/>
    <n v="122"/>
    <n v="40"/>
    <s v="Books &amp; Stationery"/>
    <s v="Pen"/>
    <n v="5"/>
    <n v="470.43"/>
    <s v="Credit Card"/>
    <x v="959"/>
    <n v="4"/>
    <x v="0"/>
    <n v="25"/>
    <x v="3"/>
    <n v="2352.15"/>
    <n v="705.64499999999998"/>
  </r>
  <r>
    <n v="27730"/>
    <d v="2025-03-19T00:00:00"/>
    <n v="385"/>
    <n v="30"/>
    <s v="Home &amp; Living"/>
    <s v="Blanket"/>
    <n v="1"/>
    <n v="366.27"/>
    <s v="Bank Transfer"/>
    <x v="960"/>
    <n v="5"/>
    <x v="0"/>
    <n v="44"/>
    <x v="2"/>
    <n v="366.27"/>
    <n v="109.88099999999999"/>
  </r>
  <r>
    <n v="75395"/>
    <d v="2025-03-19T00:00:00"/>
    <n v="175"/>
    <n v="40"/>
    <s v="Books &amp; Stationery"/>
    <s v="Novel"/>
    <n v="2"/>
    <n v="300.16000000000003"/>
    <s v="Bank Transfer"/>
    <x v="961"/>
    <n v="3"/>
    <x v="0"/>
    <n v="64"/>
    <x v="0"/>
    <n v="600.32000000000005"/>
    <n v="180.096"/>
  </r>
  <r>
    <m/>
    <m/>
    <m/>
    <m/>
    <m/>
    <m/>
    <m/>
    <m/>
    <m/>
    <x v="962"/>
    <m/>
    <x v="2"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0F8CA-E944-484F-AF39-3F24688CB6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U4:V22" firstHeaderRow="1" firstDataRow="1" firstDataCol="1"/>
  <pivotFields count="17">
    <pivotField showAll="0"/>
    <pivotField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15"/>
  </rowFields>
  <rowItems count="18">
    <i>
      <x/>
    </i>
    <i r="1">
      <x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7D6C2-1F46-49D4-BE8C-0AF235AF50F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:V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Total Revenue" fld="14" baseField="0" baseItem="0"/>
  </dataFields>
  <formats count="1">
    <format dxfId="0">
      <pivotArea collapsedLevelsAreSubtotals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BA486-5FCA-4738-8706-F9F448E59C0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dataField="1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4" baseField="0" baseItem="0"/>
  </dataFields>
  <formats count="1">
    <format dxfId="1">
      <pivotArea collapsedLevelsAreSubtotals="1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FFB6-5DD7-4EAB-AEE5-ADDAC336A2F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:Y96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64">
        <item x="194"/>
        <item x="27"/>
        <item x="453"/>
        <item x="699"/>
        <item x="753"/>
        <item x="326"/>
        <item x="170"/>
        <item x="384"/>
        <item x="722"/>
        <item x="705"/>
        <item x="958"/>
        <item x="769"/>
        <item x="701"/>
        <item x="121"/>
        <item x="720"/>
        <item x="744"/>
        <item x="732"/>
        <item x="340"/>
        <item x="853"/>
        <item x="297"/>
        <item x="487"/>
        <item x="59"/>
        <item x="582"/>
        <item x="559"/>
        <item x="956"/>
        <item x="561"/>
        <item x="37"/>
        <item x="609"/>
        <item x="584"/>
        <item x="708"/>
        <item x="696"/>
        <item x="292"/>
        <item x="816"/>
        <item x="812"/>
        <item x="24"/>
        <item x="408"/>
        <item x="920"/>
        <item x="536"/>
        <item x="451"/>
        <item x="879"/>
        <item x="441"/>
        <item x="756"/>
        <item x="215"/>
        <item x="660"/>
        <item x="372"/>
        <item x="819"/>
        <item x="253"/>
        <item x="740"/>
        <item x="394"/>
        <item x="658"/>
        <item x="488"/>
        <item x="176"/>
        <item x="141"/>
        <item x="463"/>
        <item x="671"/>
        <item x="781"/>
        <item x="339"/>
        <item x="287"/>
        <item x="745"/>
        <item x="580"/>
        <item x="128"/>
        <item x="896"/>
        <item x="759"/>
        <item x="642"/>
        <item x="733"/>
        <item x="229"/>
        <item x="241"/>
        <item x="338"/>
        <item x="760"/>
        <item x="171"/>
        <item x="93"/>
        <item x="729"/>
        <item x="379"/>
        <item x="635"/>
        <item x="862"/>
        <item x="159"/>
        <item x="391"/>
        <item x="867"/>
        <item x="553"/>
        <item x="556"/>
        <item x="263"/>
        <item x="725"/>
        <item x="213"/>
        <item x="761"/>
        <item x="368"/>
        <item x="697"/>
        <item x="922"/>
        <item x="355"/>
        <item x="256"/>
        <item x="682"/>
        <item x="832"/>
        <item x="120"/>
        <item x="554"/>
        <item x="63"/>
        <item x="242"/>
        <item x="775"/>
        <item x="470"/>
        <item x="264"/>
        <item x="687"/>
        <item x="791"/>
        <item x="86"/>
        <item x="562"/>
        <item x="279"/>
        <item x="604"/>
        <item x="38"/>
        <item x="842"/>
        <item x="942"/>
        <item x="519"/>
        <item x="21"/>
        <item x="350"/>
        <item x="909"/>
        <item x="41"/>
        <item x="436"/>
        <item x="801"/>
        <item x="273"/>
        <item x="937"/>
        <item x="285"/>
        <item x="193"/>
        <item x="161"/>
        <item x="795"/>
        <item x="828"/>
        <item x="102"/>
        <item x="61"/>
        <item x="484"/>
        <item x="129"/>
        <item x="309"/>
        <item x="456"/>
        <item x="421"/>
        <item x="298"/>
        <item x="786"/>
        <item x="377"/>
        <item x="882"/>
        <item x="438"/>
        <item x="661"/>
        <item x="281"/>
        <item x="468"/>
        <item x="931"/>
        <item x="262"/>
        <item x="865"/>
        <item x="723"/>
        <item x="610"/>
        <item x="768"/>
        <item x="190"/>
        <item x="657"/>
        <item x="148"/>
        <item x="483"/>
        <item x="150"/>
        <item x="278"/>
        <item x="51"/>
        <item x="910"/>
        <item x="312"/>
        <item x="773"/>
        <item x="940"/>
        <item x="850"/>
        <item x="197"/>
        <item x="868"/>
        <item x="380"/>
        <item x="785"/>
        <item x="336"/>
        <item x="764"/>
        <item x="700"/>
        <item x="746"/>
        <item x="181"/>
        <item x="917"/>
        <item x="518"/>
        <item x="327"/>
        <item x="60"/>
        <item x="653"/>
        <item x="794"/>
        <item x="96"/>
        <item x="117"/>
        <item x="776"/>
        <item x="219"/>
        <item x="944"/>
        <item x="1"/>
        <item x="885"/>
        <item x="49"/>
        <item x="250"/>
        <item x="524"/>
        <item x="486"/>
        <item x="343"/>
        <item x="497"/>
        <item x="878"/>
        <item x="356"/>
        <item x="490"/>
        <item x="889"/>
        <item x="685"/>
        <item x="780"/>
        <item x="592"/>
        <item x="396"/>
        <item x="311"/>
        <item x="251"/>
        <item x="13"/>
        <item x="856"/>
        <item x="431"/>
        <item x="589"/>
        <item x="905"/>
        <item x="644"/>
        <item x="98"/>
        <item x="892"/>
        <item x="649"/>
        <item x="818"/>
        <item x="73"/>
        <item x="548"/>
        <item x="177"/>
        <item x="240"/>
        <item x="638"/>
        <item x="959"/>
        <item x="629"/>
        <item x="752"/>
        <item x="670"/>
        <item x="0"/>
        <item x="883"/>
        <item x="735"/>
        <item x="94"/>
        <item x="160"/>
        <item x="672"/>
        <item x="149"/>
        <item x="440"/>
        <item x="244"/>
        <item x="206"/>
        <item x="881"/>
        <item x="203"/>
        <item x="912"/>
        <item x="105"/>
        <item x="808"/>
        <item x="529"/>
        <item x="847"/>
        <item x="89"/>
        <item x="226"/>
        <item x="914"/>
        <item x="766"/>
        <item x="934"/>
        <item x="880"/>
        <item x="146"/>
        <item x="694"/>
        <item x="855"/>
        <item x="299"/>
        <item x="948"/>
        <item x="569"/>
        <item x="557"/>
        <item x="572"/>
        <item x="109"/>
        <item x="788"/>
        <item x="602"/>
        <item x="835"/>
        <item x="494"/>
        <item x="288"/>
        <item x="246"/>
        <item x="131"/>
        <item x="809"/>
        <item x="317"/>
        <item x="88"/>
        <item x="813"/>
        <item x="249"/>
        <item x="70"/>
        <item x="938"/>
        <item x="714"/>
        <item x="683"/>
        <item x="424"/>
        <item x="492"/>
        <item x="531"/>
        <item x="23"/>
        <item x="739"/>
        <item x="505"/>
        <item x="189"/>
        <item x="365"/>
        <item x="188"/>
        <item x="863"/>
        <item x="848"/>
        <item x="595"/>
        <item x="827"/>
        <item x="712"/>
        <item x="118"/>
        <item x="48"/>
        <item x="927"/>
        <item x="590"/>
        <item x="884"/>
        <item x="659"/>
        <item x="388"/>
        <item x="100"/>
        <item x="140"/>
        <item x="710"/>
        <item x="664"/>
        <item x="52"/>
        <item x="541"/>
        <item x="92"/>
        <item x="929"/>
        <item x="961"/>
        <item x="447"/>
        <item x="895"/>
        <item x="530"/>
        <item x="472"/>
        <item x="543"/>
        <item x="361"/>
        <item x="245"/>
        <item x="82"/>
        <item x="74"/>
        <item x="533"/>
        <item x="721"/>
        <item x="461"/>
        <item x="516"/>
        <item x="715"/>
        <item x="839"/>
        <item x="506"/>
        <item x="591"/>
        <item x="777"/>
        <item x="551"/>
        <item x="491"/>
        <item x="367"/>
        <item x="20"/>
        <item x="211"/>
        <item x="293"/>
        <item x="550"/>
        <item x="12"/>
        <item x="184"/>
        <item x="537"/>
        <item x="318"/>
        <item x="5"/>
        <item x="64"/>
        <item x="168"/>
        <item x="289"/>
        <item x="586"/>
        <item x="814"/>
        <item x="465"/>
        <item x="748"/>
        <item x="303"/>
        <item x="891"/>
        <item x="939"/>
        <item x="31"/>
        <item x="634"/>
        <item x="888"/>
        <item x="751"/>
        <item x="512"/>
        <item x="716"/>
        <item x="811"/>
        <item x="183"/>
        <item x="790"/>
        <item x="371"/>
        <item x="347"/>
        <item x="560"/>
        <item x="429"/>
        <item x="269"/>
        <item x="717"/>
        <item x="426"/>
        <item x="411"/>
        <item x="322"/>
        <item x="444"/>
        <item x="581"/>
        <item x="588"/>
        <item x="758"/>
        <item x="80"/>
        <item x="869"/>
        <item x="872"/>
        <item x="953"/>
        <item x="345"/>
        <item x="417"/>
        <item x="344"/>
        <item x="187"/>
        <item x="900"/>
        <item x="71"/>
        <item x="91"/>
        <item x="99"/>
        <item x="509"/>
        <item x="415"/>
        <item x="122"/>
        <item x="302"/>
        <item x="257"/>
        <item x="413"/>
        <item x="386"/>
        <item x="673"/>
        <item x="902"/>
        <item x="871"/>
        <item x="125"/>
        <item x="284"/>
        <item x="114"/>
        <item x="423"/>
        <item x="807"/>
        <item x="403"/>
        <item x="163"/>
        <item x="897"/>
        <item x="205"/>
        <item x="346"/>
        <item x="620"/>
        <item x="587"/>
        <item x="647"/>
        <item x="179"/>
        <item x="65"/>
        <item x="598"/>
        <item x="382"/>
        <item x="227"/>
        <item x="496"/>
        <item x="348"/>
        <item x="385"/>
        <item x="103"/>
        <item x="46"/>
        <item x="525"/>
        <item x="254"/>
        <item x="523"/>
        <item x="637"/>
        <item x="903"/>
        <item x="56"/>
        <item x="919"/>
        <item x="840"/>
        <item x="2"/>
        <item x="527"/>
        <item x="860"/>
        <item x="542"/>
        <item x="383"/>
        <item x="836"/>
        <item x="806"/>
        <item x="286"/>
        <item x="787"/>
        <item x="416"/>
        <item x="837"/>
        <item x="443"/>
        <item x="573"/>
        <item x="540"/>
        <item x="174"/>
        <item x="510"/>
        <item x="271"/>
        <item x="693"/>
        <item x="235"/>
        <item x="107"/>
        <item x="585"/>
        <item x="366"/>
        <item x="841"/>
        <item x="448"/>
        <item x="950"/>
        <item x="767"/>
        <item x="397"/>
        <item x="511"/>
        <item x="886"/>
        <item x="236"/>
        <item x="825"/>
        <item x="690"/>
        <item x="33"/>
        <item x="949"/>
        <item x="864"/>
        <item x="47"/>
        <item x="404"/>
        <item x="158"/>
        <item x="363"/>
        <item x="50"/>
        <item x="433"/>
        <item x="180"/>
        <item x="913"/>
        <item x="645"/>
        <item x="515"/>
        <item x="838"/>
        <item x="157"/>
        <item x="272"/>
        <item x="445"/>
        <item x="890"/>
        <item x="15"/>
        <item x="398"/>
        <item x="199"/>
        <item x="68"/>
        <item x="78"/>
        <item x="7"/>
        <item x="360"/>
        <item x="175"/>
        <item x="395"/>
        <item x="549"/>
        <item x="681"/>
        <item x="134"/>
        <item x="852"/>
        <item x="918"/>
        <item x="826"/>
        <item x="930"/>
        <item x="611"/>
        <item x="123"/>
        <item x="564"/>
        <item x="612"/>
        <item x="480"/>
        <item x="792"/>
        <item x="72"/>
        <item x="500"/>
        <item x="686"/>
        <item x="182"/>
        <item x="932"/>
        <item x="437"/>
        <item x="625"/>
        <item x="142"/>
        <item x="389"/>
        <item x="957"/>
        <item x="945"/>
        <item x="499"/>
        <item x="652"/>
        <item x="925"/>
        <item x="201"/>
        <item x="798"/>
        <item x="707"/>
        <item x="954"/>
        <item x="54"/>
        <item x="198"/>
        <item x="323"/>
        <item x="191"/>
        <item x="19"/>
        <item x="29"/>
        <item x="834"/>
        <item x="718"/>
        <item x="750"/>
        <item x="294"/>
        <item x="800"/>
        <item x="684"/>
        <item x="502"/>
        <item x="643"/>
        <item x="535"/>
        <item x="916"/>
        <item x="195"/>
        <item x="422"/>
        <item x="459"/>
        <item x="817"/>
        <item x="821"/>
        <item x="172"/>
        <item x="600"/>
        <item x="923"/>
        <item x="28"/>
        <item x="571"/>
        <item x="771"/>
        <item x="650"/>
        <item x="726"/>
        <item x="501"/>
        <item x="926"/>
        <item x="354"/>
        <item x="296"/>
        <item x="736"/>
        <item x="498"/>
        <item x="418"/>
        <item x="955"/>
        <item x="936"/>
        <item x="618"/>
        <item x="276"/>
        <item x="252"/>
        <item x="260"/>
        <item x="849"/>
        <item x="460"/>
        <item x="605"/>
        <item x="58"/>
        <item x="738"/>
        <item x="221"/>
        <item x="603"/>
        <item x="601"/>
        <item x="218"/>
        <item x="797"/>
        <item x="220"/>
        <item x="503"/>
        <item x="204"/>
        <item x="545"/>
        <item x="851"/>
        <item x="475"/>
        <item x="67"/>
        <item x="742"/>
        <item x="833"/>
        <item x="53"/>
        <item x="873"/>
        <item x="258"/>
        <item x="238"/>
        <item x="420"/>
        <item x="899"/>
        <item x="402"/>
        <item x="337"/>
        <item x="654"/>
        <item x="578"/>
        <item x="458"/>
        <item x="387"/>
        <item x="446"/>
        <item x="224"/>
        <item x="596"/>
        <item x="633"/>
        <item x="295"/>
        <item x="77"/>
        <item x="568"/>
        <item x="778"/>
        <item x="119"/>
        <item x="626"/>
        <item x="358"/>
        <item x="42"/>
        <item x="283"/>
        <item x="79"/>
        <item x="576"/>
        <item x="784"/>
        <item x="359"/>
        <item x="646"/>
        <item x="546"/>
        <item x="185"/>
        <item x="169"/>
        <item x="928"/>
        <item x="4"/>
        <item x="526"/>
        <item x="749"/>
        <item x="822"/>
        <item x="217"/>
        <item x="10"/>
        <item x="290"/>
        <item x="941"/>
        <item x="482"/>
        <item x="547"/>
        <item x="617"/>
        <item x="210"/>
        <item x="946"/>
        <item x="599"/>
        <item x="464"/>
        <item x="334"/>
        <item x="616"/>
        <item x="3"/>
        <item x="208"/>
        <item x="425"/>
        <item x="376"/>
        <item x="362"/>
        <item x="333"/>
        <item x="267"/>
        <item x="331"/>
        <item x="430"/>
        <item x="390"/>
        <item x="485"/>
        <item x="144"/>
        <item x="239"/>
        <item x="248"/>
        <item x="870"/>
        <item x="477"/>
        <item x="200"/>
        <item x="162"/>
        <item x="675"/>
        <item x="507"/>
        <item x="796"/>
        <item x="357"/>
        <item x="924"/>
        <item x="831"/>
        <item x="737"/>
        <item x="877"/>
        <item x="225"/>
        <item x="893"/>
        <item x="793"/>
        <item x="228"/>
        <item x="640"/>
        <item x="713"/>
        <item x="308"/>
        <item x="520"/>
        <item x="304"/>
        <item x="300"/>
        <item x="648"/>
        <item x="435"/>
        <item x="504"/>
        <item x="706"/>
        <item x="779"/>
        <item x="45"/>
        <item x="230"/>
        <item x="167"/>
        <item x="514"/>
        <item x="62"/>
        <item x="30"/>
        <item x="234"/>
        <item x="943"/>
        <item x="449"/>
        <item x="32"/>
        <item x="583"/>
        <item x="136"/>
        <item x="40"/>
        <item x="282"/>
        <item x="854"/>
        <item x="528"/>
        <item x="622"/>
        <item x="489"/>
        <item x="474"/>
        <item x="476"/>
        <item x="178"/>
        <item x="209"/>
        <item x="400"/>
        <item x="84"/>
        <item x="8"/>
        <item x="802"/>
        <item x="457"/>
        <item x="407"/>
        <item x="789"/>
        <item x="202"/>
        <item x="915"/>
        <item x="166"/>
        <item x="316"/>
        <item x="479"/>
        <item x="471"/>
        <item x="669"/>
        <item x="36"/>
        <item x="844"/>
        <item x="575"/>
        <item x="782"/>
        <item x="866"/>
        <item x="432"/>
        <item x="454"/>
        <item x="349"/>
        <item x="901"/>
        <item x="765"/>
        <item x="115"/>
        <item x="724"/>
        <item x="392"/>
        <item x="656"/>
        <item x="667"/>
        <item x="907"/>
        <item x="704"/>
        <item x="843"/>
        <item x="763"/>
        <item x="401"/>
        <item x="462"/>
        <item x="409"/>
        <item x="97"/>
        <item x="81"/>
        <item x="695"/>
        <item x="419"/>
        <item x="665"/>
        <item x="774"/>
        <item x="887"/>
        <item x="876"/>
        <item x="110"/>
        <item x="192"/>
        <item x="743"/>
        <item x="116"/>
        <item x="636"/>
        <item x="952"/>
        <item x="130"/>
        <item x="908"/>
        <item x="495"/>
        <item x="538"/>
        <item x="613"/>
        <item x="261"/>
        <item x="709"/>
        <item x="911"/>
        <item x="237"/>
        <item x="124"/>
        <item x="101"/>
        <item x="875"/>
        <item x="594"/>
        <item x="255"/>
        <item x="607"/>
        <item x="593"/>
        <item x="570"/>
        <item x="335"/>
        <item x="111"/>
        <item x="145"/>
        <item x="223"/>
        <item x="301"/>
        <item x="728"/>
        <item x="757"/>
        <item x="623"/>
        <item x="132"/>
        <item x="874"/>
        <item x="641"/>
        <item x="154"/>
        <item x="762"/>
        <item x="608"/>
        <item x="265"/>
        <item x="747"/>
        <item x="212"/>
        <item x="820"/>
        <item x="369"/>
        <item x="14"/>
        <item x="332"/>
        <item x="138"/>
        <item x="320"/>
        <item x="364"/>
        <item x="133"/>
        <item x="207"/>
        <item x="393"/>
        <item x="375"/>
        <item x="692"/>
        <item x="324"/>
        <item x="35"/>
        <item x="233"/>
        <item x="846"/>
        <item x="904"/>
        <item x="674"/>
        <item x="805"/>
        <item x="165"/>
        <item x="147"/>
        <item x="25"/>
        <item x="43"/>
        <item x="399"/>
        <item x="370"/>
        <item x="106"/>
        <item x="139"/>
        <item x="478"/>
        <item x="406"/>
        <item x="113"/>
        <item x="574"/>
        <item x="517"/>
        <item x="947"/>
        <item x="280"/>
        <item x="95"/>
        <item x="108"/>
        <item x="632"/>
        <item x="126"/>
        <item x="378"/>
        <item x="921"/>
        <item x="628"/>
        <item x="152"/>
        <item x="266"/>
        <item x="268"/>
        <item x="481"/>
        <item x="342"/>
        <item x="493"/>
        <item x="270"/>
        <item x="467"/>
        <item x="631"/>
        <item x="678"/>
        <item x="719"/>
        <item x="534"/>
        <item x="823"/>
        <item x="307"/>
        <item x="112"/>
        <item x="305"/>
        <item x="734"/>
        <item x="325"/>
        <item x="508"/>
        <item x="772"/>
        <item x="328"/>
        <item x="614"/>
        <item x="731"/>
        <item x="22"/>
        <item x="275"/>
        <item x="173"/>
        <item x="532"/>
        <item x="405"/>
        <item x="143"/>
        <item x="668"/>
        <item x="577"/>
        <item x="689"/>
        <item x="730"/>
        <item x="156"/>
        <item x="469"/>
        <item x="17"/>
        <item x="9"/>
        <item x="414"/>
        <item x="16"/>
        <item x="259"/>
        <item x="216"/>
        <item x="702"/>
        <item x="651"/>
        <item x="521"/>
        <item x="439"/>
        <item x="619"/>
        <item x="624"/>
        <item x="741"/>
        <item x="412"/>
        <item x="427"/>
        <item x="810"/>
        <item x="83"/>
        <item x="829"/>
        <item x="127"/>
        <item x="677"/>
        <item x="85"/>
        <item x="314"/>
        <item x="804"/>
        <item x="960"/>
        <item x="558"/>
        <item x="783"/>
        <item x="630"/>
        <item x="627"/>
        <item x="455"/>
        <item x="579"/>
        <item x="442"/>
        <item x="274"/>
        <item x="352"/>
        <item x="373"/>
        <item x="6"/>
        <item x="452"/>
        <item x="306"/>
        <item x="186"/>
        <item x="552"/>
        <item x="754"/>
        <item x="44"/>
        <item x="894"/>
        <item x="621"/>
        <item x="755"/>
        <item x="815"/>
        <item x="243"/>
        <item x="11"/>
        <item x="898"/>
        <item x="291"/>
        <item x="232"/>
        <item x="565"/>
        <item x="247"/>
        <item x="544"/>
        <item x="310"/>
        <item x="55"/>
        <item x="214"/>
        <item x="567"/>
        <item x="859"/>
        <item x="803"/>
        <item x="428"/>
        <item x="330"/>
        <item x="799"/>
        <item x="906"/>
        <item x="353"/>
        <item x="231"/>
        <item x="703"/>
        <item x="666"/>
        <item x="691"/>
        <item x="135"/>
        <item x="434"/>
        <item x="315"/>
        <item x="858"/>
        <item x="57"/>
        <item x="66"/>
        <item x="857"/>
        <item x="951"/>
        <item x="663"/>
        <item x="711"/>
        <item x="76"/>
        <item x="513"/>
        <item x="830"/>
        <item x="313"/>
        <item x="680"/>
        <item x="450"/>
        <item x="679"/>
        <item x="555"/>
        <item x="137"/>
        <item x="770"/>
        <item x="381"/>
        <item x="933"/>
        <item x="639"/>
        <item x="18"/>
        <item x="522"/>
        <item x="727"/>
        <item x="563"/>
        <item x="277"/>
        <item x="374"/>
        <item x="539"/>
        <item x="615"/>
        <item x="824"/>
        <item x="410"/>
        <item x="164"/>
        <item x="26"/>
        <item x="606"/>
        <item x="196"/>
        <item x="90"/>
        <item x="319"/>
        <item x="39"/>
        <item x="329"/>
        <item x="155"/>
        <item x="69"/>
        <item x="845"/>
        <item x="597"/>
        <item x="861"/>
        <item x="151"/>
        <item x="466"/>
        <item x="473"/>
        <item x="153"/>
        <item x="222"/>
        <item x="676"/>
        <item x="321"/>
        <item x="935"/>
        <item x="698"/>
        <item x="34"/>
        <item x="688"/>
        <item x="104"/>
        <item x="87"/>
        <item x="351"/>
        <item x="655"/>
        <item x="75"/>
        <item x="566"/>
        <item x="341"/>
        <item x="662"/>
        <item h="1" x="96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9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 t="grand">
      <x/>
    </i>
  </rowItems>
  <colItems count="1">
    <i/>
  </colItems>
  <dataFields count="1">
    <dataField name="Sum of Total Revenue" fld="14" baseField="0" baseItem="0"/>
  </dataFields>
  <formats count="1">
    <format dxfId="2">
      <pivotArea collapsedLevelsAreSubtotals="1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0945-B150-4973-BDE1-1A79332122FC}">
  <dimension ref="B2:D10"/>
  <sheetViews>
    <sheetView workbookViewId="0">
      <selection activeCell="D8" sqref="D8"/>
    </sheetView>
  </sheetViews>
  <sheetFormatPr defaultRowHeight="14.4" x14ac:dyDescent="0.3"/>
  <cols>
    <col min="2" max="2" width="13.77734375" customWidth="1"/>
    <col min="3" max="3" width="20.109375" customWidth="1"/>
    <col min="4" max="4" width="67.77734375" customWidth="1"/>
  </cols>
  <sheetData>
    <row r="2" spans="2:4" x14ac:dyDescent="0.3">
      <c r="B2" s="9" t="s">
        <v>1014</v>
      </c>
      <c r="C2" s="9" t="s">
        <v>1010</v>
      </c>
      <c r="D2" s="9" t="s">
        <v>1011</v>
      </c>
    </row>
    <row r="3" spans="2:4" x14ac:dyDescent="0.3">
      <c r="B3" s="7" t="s">
        <v>10</v>
      </c>
      <c r="C3" s="7">
        <f>COUNTBLANK('Exploratory Data Analysis (EDA)'!$K$2:$K$1001)</f>
        <v>201</v>
      </c>
      <c r="D3" s="7" t="s">
        <v>1012</v>
      </c>
    </row>
    <row r="4" spans="2:4" x14ac:dyDescent="0.3">
      <c r="B4" s="7" t="s">
        <v>11</v>
      </c>
      <c r="C4" s="7">
        <f>COUNTBLANK('Exploratory Data Analysis (EDA)'!$L$2:$L$1001)</f>
        <v>103</v>
      </c>
      <c r="D4" s="7" t="s">
        <v>1013</v>
      </c>
    </row>
    <row r="8" spans="2:4" x14ac:dyDescent="0.3">
      <c r="B8" s="3" t="s">
        <v>1015</v>
      </c>
      <c r="C8" s="3"/>
    </row>
    <row r="9" spans="2:4" x14ac:dyDescent="0.3">
      <c r="B9" s="3" t="s">
        <v>1016</v>
      </c>
      <c r="C9" s="3" t="s">
        <v>1017</v>
      </c>
    </row>
    <row r="10" spans="2:4" x14ac:dyDescent="0.3">
      <c r="B10" s="3" t="s">
        <v>1018</v>
      </c>
      <c r="C10" s="3" t="s">
        <v>1019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4851-00FB-4C31-9808-652896673CA9}">
  <dimension ref="C3:D6"/>
  <sheetViews>
    <sheetView workbookViewId="0">
      <selection activeCell="D6" sqref="D6"/>
    </sheetView>
  </sheetViews>
  <sheetFormatPr defaultRowHeight="14.4" x14ac:dyDescent="0.3"/>
  <cols>
    <col min="3" max="3" width="14.21875" bestFit="1" customWidth="1"/>
    <col min="4" max="4" width="5.5546875" bestFit="1" customWidth="1"/>
  </cols>
  <sheetData>
    <row r="3" spans="3:4" x14ac:dyDescent="0.3">
      <c r="C3" s="22" t="s">
        <v>1020</v>
      </c>
      <c r="D3" s="23"/>
    </row>
    <row r="4" spans="3:4" x14ac:dyDescent="0.3">
      <c r="C4" s="4" t="s">
        <v>1021</v>
      </c>
      <c r="D4" s="4" t="s">
        <v>1022</v>
      </c>
    </row>
    <row r="5" spans="3:4" x14ac:dyDescent="0.3">
      <c r="C5" s="3" t="s">
        <v>1023</v>
      </c>
      <c r="D5" s="3">
        <v>1000</v>
      </c>
    </row>
    <row r="6" spans="3:4" x14ac:dyDescent="0.3">
      <c r="C6" s="3" t="s">
        <v>1024</v>
      </c>
      <c r="D6" s="3">
        <v>0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8C24-9116-4790-99E7-133B7E1CD7A4}">
  <dimension ref="B3:C18"/>
  <sheetViews>
    <sheetView topLeftCell="A4" workbookViewId="0">
      <selection activeCell="C8" sqref="C8"/>
    </sheetView>
  </sheetViews>
  <sheetFormatPr defaultRowHeight="14.4" x14ac:dyDescent="0.3"/>
  <cols>
    <col min="2" max="2" width="12.88671875" customWidth="1"/>
    <col min="3" max="4" width="46.88671875" bestFit="1" customWidth="1"/>
  </cols>
  <sheetData>
    <row r="3" spans="2:3" x14ac:dyDescent="0.3">
      <c r="B3" s="24" t="s">
        <v>1025</v>
      </c>
      <c r="C3" s="24"/>
    </row>
    <row r="5" spans="2:3" ht="18" x14ac:dyDescent="0.3">
      <c r="B5" s="27" t="s">
        <v>1026</v>
      </c>
      <c r="C5" s="27"/>
    </row>
    <row r="6" spans="2:3" x14ac:dyDescent="0.3">
      <c r="B6" s="5" t="s">
        <v>1027</v>
      </c>
    </row>
    <row r="7" spans="2:3" x14ac:dyDescent="0.3">
      <c r="B7" s="5" t="s">
        <v>1028</v>
      </c>
    </row>
    <row r="8" spans="2:3" x14ac:dyDescent="0.3">
      <c r="B8" s="5" t="s">
        <v>1029</v>
      </c>
    </row>
    <row r="9" spans="2:3" x14ac:dyDescent="0.3">
      <c r="B9" s="5" t="s">
        <v>1030</v>
      </c>
    </row>
    <row r="11" spans="2:3" x14ac:dyDescent="0.3">
      <c r="B11" s="6" t="s">
        <v>1031</v>
      </c>
      <c r="C11" s="6" t="s">
        <v>1032</v>
      </c>
    </row>
    <row r="12" spans="2:3" x14ac:dyDescent="0.3">
      <c r="B12" s="7" t="s">
        <v>1027</v>
      </c>
      <c r="C12" s="7" t="s">
        <v>1033</v>
      </c>
    </row>
    <row r="13" spans="2:3" x14ac:dyDescent="0.3">
      <c r="B13" s="7" t="s">
        <v>1028</v>
      </c>
      <c r="C13" s="7" t="s">
        <v>1034</v>
      </c>
    </row>
    <row r="14" spans="2:3" x14ac:dyDescent="0.3">
      <c r="B14" s="7" t="s">
        <v>1029</v>
      </c>
      <c r="C14" s="7" t="s">
        <v>1035</v>
      </c>
    </row>
    <row r="15" spans="2:3" x14ac:dyDescent="0.3">
      <c r="B15" s="7" t="s">
        <v>1030</v>
      </c>
      <c r="C15" s="8" t="s">
        <v>1036</v>
      </c>
    </row>
    <row r="17" spans="2:3" x14ac:dyDescent="0.3">
      <c r="B17">
        <v>1</v>
      </c>
      <c r="C17" t="s">
        <v>1037</v>
      </c>
    </row>
    <row r="18" spans="2:3" x14ac:dyDescent="0.3">
      <c r="B18">
        <v>2</v>
      </c>
      <c r="C18" t="s">
        <v>1038</v>
      </c>
    </row>
  </sheetData>
  <mergeCells count="2">
    <mergeCell ref="B3:C3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D2B-3EBF-4CFC-9290-4A2776207383}">
  <dimension ref="B2:E16"/>
  <sheetViews>
    <sheetView workbookViewId="0">
      <selection activeCell="E4" sqref="E4"/>
    </sheetView>
  </sheetViews>
  <sheetFormatPr defaultRowHeight="14.4" x14ac:dyDescent="0.3"/>
  <cols>
    <col min="2" max="2" width="15" customWidth="1"/>
    <col min="3" max="3" width="29.44140625" customWidth="1"/>
    <col min="4" max="4" width="14.88671875" customWidth="1"/>
    <col min="5" max="5" width="26.44140625" customWidth="1"/>
    <col min="6" max="6" width="6.44140625" customWidth="1"/>
  </cols>
  <sheetData>
    <row r="2" spans="2:5" ht="18" x14ac:dyDescent="0.3">
      <c r="B2" s="28" t="s">
        <v>1077</v>
      </c>
      <c r="C2" s="28"/>
    </row>
    <row r="3" spans="2:5" x14ac:dyDescent="0.3">
      <c r="B3" s="9" t="s">
        <v>1014</v>
      </c>
      <c r="C3" s="9" t="s">
        <v>1039</v>
      </c>
      <c r="D3" s="9" t="s">
        <v>1040</v>
      </c>
      <c r="E3" s="9" t="s">
        <v>1041</v>
      </c>
    </row>
    <row r="4" spans="2:5" x14ac:dyDescent="0.3">
      <c r="B4" s="7" t="s">
        <v>0</v>
      </c>
      <c r="C4" s="7" t="s">
        <v>1042</v>
      </c>
      <c r="D4" s="7" t="s">
        <v>1043</v>
      </c>
      <c r="E4" s="7" t="s">
        <v>1044</v>
      </c>
    </row>
    <row r="5" spans="2:5" x14ac:dyDescent="0.3">
      <c r="B5" s="7" t="s">
        <v>1</v>
      </c>
      <c r="C5" s="7" t="s">
        <v>1045</v>
      </c>
      <c r="D5" s="7" t="s">
        <v>1046</v>
      </c>
      <c r="E5" s="7" t="s">
        <v>1047</v>
      </c>
    </row>
    <row r="6" spans="2:5" x14ac:dyDescent="0.3">
      <c r="B6" s="7" t="s">
        <v>2</v>
      </c>
      <c r="C6" s="7" t="s">
        <v>1048</v>
      </c>
      <c r="D6" s="7" t="s">
        <v>1043</v>
      </c>
      <c r="E6" s="7" t="s">
        <v>1044</v>
      </c>
    </row>
    <row r="7" spans="2:5" x14ac:dyDescent="0.3">
      <c r="B7" s="7" t="s">
        <v>3</v>
      </c>
      <c r="C7" s="7" t="s">
        <v>1049</v>
      </c>
      <c r="D7" s="7" t="s">
        <v>1043</v>
      </c>
      <c r="E7" s="7" t="s">
        <v>1044</v>
      </c>
    </row>
    <row r="8" spans="2:5" x14ac:dyDescent="0.3">
      <c r="B8" s="7" t="s">
        <v>4</v>
      </c>
      <c r="C8" s="7" t="s">
        <v>1050</v>
      </c>
      <c r="D8" s="7" t="s">
        <v>1051</v>
      </c>
      <c r="E8" s="7" t="s">
        <v>1044</v>
      </c>
    </row>
    <row r="9" spans="2:5" x14ac:dyDescent="0.3">
      <c r="B9" s="7" t="s">
        <v>5</v>
      </c>
      <c r="C9" s="7" t="s">
        <v>1052</v>
      </c>
      <c r="D9" s="7" t="s">
        <v>1051</v>
      </c>
      <c r="E9" s="7" t="s">
        <v>1044</v>
      </c>
    </row>
    <row r="10" spans="2:5" x14ac:dyDescent="0.3">
      <c r="B10" s="7" t="s">
        <v>6</v>
      </c>
      <c r="C10" s="7" t="s">
        <v>1053</v>
      </c>
      <c r="D10" s="7" t="s">
        <v>1043</v>
      </c>
      <c r="E10" s="7" t="s">
        <v>1044</v>
      </c>
    </row>
    <row r="11" spans="2:5" x14ac:dyDescent="0.3">
      <c r="B11" s="7" t="s">
        <v>7</v>
      </c>
      <c r="C11" s="7" t="s">
        <v>1054</v>
      </c>
      <c r="D11" s="7" t="s">
        <v>1055</v>
      </c>
      <c r="E11" s="7" t="s">
        <v>1044</v>
      </c>
    </row>
    <row r="12" spans="2:5" x14ac:dyDescent="0.3">
      <c r="B12" s="7" t="s">
        <v>8</v>
      </c>
      <c r="C12" s="7" t="s">
        <v>1056</v>
      </c>
      <c r="D12" s="7" t="s">
        <v>1051</v>
      </c>
      <c r="E12" s="7" t="s">
        <v>1057</v>
      </c>
    </row>
    <row r="13" spans="2:5" x14ac:dyDescent="0.3">
      <c r="B13" s="7" t="s">
        <v>9</v>
      </c>
      <c r="C13" s="7" t="s">
        <v>1058</v>
      </c>
      <c r="D13" s="7" t="s">
        <v>1051</v>
      </c>
      <c r="E13" s="7" t="s">
        <v>1044</v>
      </c>
    </row>
    <row r="14" spans="2:5" x14ac:dyDescent="0.3">
      <c r="B14" s="7" t="s">
        <v>10</v>
      </c>
      <c r="C14" s="7" t="s">
        <v>1059</v>
      </c>
      <c r="D14" s="7" t="s">
        <v>1055</v>
      </c>
      <c r="E14" s="7" t="s">
        <v>1060</v>
      </c>
    </row>
    <row r="15" spans="2:5" x14ac:dyDescent="0.3">
      <c r="B15" s="7" t="s">
        <v>11</v>
      </c>
      <c r="C15" s="7" t="s">
        <v>1061</v>
      </c>
      <c r="D15" s="7" t="s">
        <v>1051</v>
      </c>
      <c r="E15" s="7" t="s">
        <v>1062</v>
      </c>
    </row>
    <row r="16" spans="2:5" x14ac:dyDescent="0.3">
      <c r="B16" s="7" t="s">
        <v>12</v>
      </c>
      <c r="C16" s="7" t="s">
        <v>1063</v>
      </c>
      <c r="D16" s="7" t="s">
        <v>1043</v>
      </c>
      <c r="E16" s="7" t="s">
        <v>1044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FA31-C668-4FE8-9FE0-3775ED69E5B8}">
  <dimension ref="B3:D8"/>
  <sheetViews>
    <sheetView workbookViewId="0">
      <selection activeCell="B3" sqref="B3:C3"/>
    </sheetView>
  </sheetViews>
  <sheetFormatPr defaultRowHeight="14.4" x14ac:dyDescent="0.3"/>
  <cols>
    <col min="2" max="2" width="27.44140625" bestFit="1" customWidth="1"/>
    <col min="3" max="3" width="24.6640625" bestFit="1" customWidth="1"/>
    <col min="4" max="4" width="30.6640625" bestFit="1" customWidth="1"/>
  </cols>
  <sheetData>
    <row r="3" spans="2:4" ht="18" x14ac:dyDescent="0.3">
      <c r="B3" s="27" t="s">
        <v>1064</v>
      </c>
      <c r="C3" s="27"/>
    </row>
    <row r="5" spans="2:4" x14ac:dyDescent="0.3">
      <c r="B5" s="9" t="s">
        <v>1065</v>
      </c>
      <c r="C5" s="9" t="s">
        <v>1066</v>
      </c>
      <c r="D5" s="9" t="s">
        <v>1067</v>
      </c>
    </row>
    <row r="6" spans="2:4" x14ac:dyDescent="0.3">
      <c r="B6" s="7" t="s">
        <v>1068</v>
      </c>
      <c r="C6" s="7" t="s">
        <v>1069</v>
      </c>
      <c r="D6" s="7" t="s">
        <v>1070</v>
      </c>
    </row>
    <row r="7" spans="2:4" x14ac:dyDescent="0.3">
      <c r="B7" s="7" t="s">
        <v>1071</v>
      </c>
      <c r="C7" s="7" t="s">
        <v>1072</v>
      </c>
      <c r="D7" s="7" t="s">
        <v>1073</v>
      </c>
    </row>
    <row r="8" spans="2:4" x14ac:dyDescent="0.3">
      <c r="B8" s="7" t="s">
        <v>1074</v>
      </c>
      <c r="C8" s="7" t="s">
        <v>1075</v>
      </c>
      <c r="D8" s="7" t="s">
        <v>1076</v>
      </c>
    </row>
  </sheetData>
  <mergeCells count="1"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56A1-0202-451B-943F-E8D0C6D338D9}">
  <dimension ref="A1:V1001"/>
  <sheetViews>
    <sheetView tabSelected="1" topLeftCell="F1" zoomScale="89" zoomScaleNormal="89" workbookViewId="0">
      <selection activeCell="I2" sqref="I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0" bestFit="1" customWidth="1"/>
    <col min="4" max="4" width="10.5546875" bestFit="1" customWidth="1"/>
    <col min="5" max="5" width="15.88671875" bestFit="1" customWidth="1"/>
    <col min="6" max="6" width="13.109375" bestFit="1" customWidth="1"/>
    <col min="7" max="7" width="7.88671875" bestFit="1" customWidth="1"/>
    <col min="8" max="8" width="7.6640625" bestFit="1" customWidth="1"/>
    <col min="9" max="9" width="15.6640625" bestFit="1" customWidth="1"/>
    <col min="10" max="10" width="21" bestFit="1" customWidth="1"/>
    <col min="11" max="11" width="11.77734375" bestFit="1" customWidth="1"/>
    <col min="12" max="12" width="6.6640625" bestFit="1" customWidth="1"/>
    <col min="13" max="13" width="3.88671875" bestFit="1" customWidth="1"/>
    <col min="14" max="14" width="14.88671875" bestFit="1" customWidth="1"/>
    <col min="15" max="15" width="16.33203125" bestFit="1" customWidth="1"/>
    <col min="16" max="16" width="22.6640625" bestFit="1" customWidth="1"/>
    <col min="18" max="18" width="22.6640625" bestFit="1" customWidth="1"/>
    <col min="19" max="19" width="12.21875" bestFit="1" customWidth="1"/>
    <col min="21" max="21" width="13.44140625" bestFit="1" customWidth="1"/>
    <col min="22" max="22" width="18.664062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1113</v>
      </c>
      <c r="O1" s="2" t="s">
        <v>1114</v>
      </c>
    </row>
    <row r="2" spans="1:22" ht="18" x14ac:dyDescent="0.35">
      <c r="A2">
        <v>79898</v>
      </c>
      <c r="B2" s="1">
        <v>45370</v>
      </c>
      <c r="C2">
        <v>871</v>
      </c>
      <c r="D2">
        <v>10</v>
      </c>
      <c r="E2" t="s">
        <v>13</v>
      </c>
      <c r="F2" t="s">
        <v>14</v>
      </c>
      <c r="G2">
        <v>5</v>
      </c>
      <c r="H2" s="12">
        <v>84.89</v>
      </c>
      <c r="I2" t="s">
        <v>15</v>
      </c>
      <c r="J2" t="s">
        <v>54</v>
      </c>
      <c r="K2">
        <v>5</v>
      </c>
      <c r="L2" t="s">
        <v>21</v>
      </c>
      <c r="M2">
        <v>68</v>
      </c>
      <c r="N2" s="21">
        <f>H2*G2</f>
        <v>424.45</v>
      </c>
      <c r="O2" s="21">
        <f>N2*0.3</f>
        <v>127.33499999999999</v>
      </c>
      <c r="P2" s="10" t="s">
        <v>1080</v>
      </c>
      <c r="R2" s="4" t="s">
        <v>1078</v>
      </c>
      <c r="S2" s="20">
        <f>SUM(N2:N1001)</f>
        <v>737326.87999999907</v>
      </c>
      <c r="U2" s="16" t="s">
        <v>1084</v>
      </c>
    </row>
    <row r="3" spans="1:22" x14ac:dyDescent="0.3">
      <c r="A3">
        <v>94899</v>
      </c>
      <c r="B3" s="1">
        <v>45370</v>
      </c>
      <c r="C3">
        <v>853</v>
      </c>
      <c r="D3">
        <v>30</v>
      </c>
      <c r="E3" t="s">
        <v>37</v>
      </c>
      <c r="F3" t="s">
        <v>68</v>
      </c>
      <c r="G3">
        <v>5</v>
      </c>
      <c r="H3" s="12">
        <v>309.64</v>
      </c>
      <c r="I3" t="s">
        <v>35</v>
      </c>
      <c r="J3" t="s">
        <v>935</v>
      </c>
      <c r="K3">
        <v>4</v>
      </c>
      <c r="L3" t="s">
        <v>17</v>
      </c>
      <c r="M3">
        <v>47</v>
      </c>
      <c r="N3" s="21">
        <f t="shared" ref="N3:N66" si="0">H3*G3</f>
        <v>1548.1999999999998</v>
      </c>
      <c r="O3" s="21">
        <f t="shared" ref="O3:O66" si="1">N3*0.3</f>
        <v>464.45999999999992</v>
      </c>
      <c r="P3" s="11" t="s">
        <v>1081</v>
      </c>
      <c r="R3" s="4" t="s">
        <v>1082</v>
      </c>
      <c r="S3" s="20">
        <f>AVERAGE(N2:N1001)</f>
        <v>737.32687999999905</v>
      </c>
    </row>
    <row r="4" spans="1:22" x14ac:dyDescent="0.3">
      <c r="A4">
        <v>44470</v>
      </c>
      <c r="B4" s="1">
        <v>45371</v>
      </c>
      <c r="C4">
        <v>188</v>
      </c>
      <c r="D4">
        <v>50</v>
      </c>
      <c r="E4" t="s">
        <v>18</v>
      </c>
      <c r="F4" t="s">
        <v>22</v>
      </c>
      <c r="G4">
        <v>5</v>
      </c>
      <c r="H4" s="12">
        <v>28.5</v>
      </c>
      <c r="I4" t="s">
        <v>26</v>
      </c>
      <c r="J4" t="s">
        <v>296</v>
      </c>
      <c r="K4">
        <v>5</v>
      </c>
      <c r="L4" t="s">
        <v>17</v>
      </c>
      <c r="M4">
        <v>61</v>
      </c>
      <c r="N4" s="21">
        <f t="shared" si="0"/>
        <v>142.5</v>
      </c>
      <c r="O4" s="21">
        <f t="shared" si="1"/>
        <v>42.75</v>
      </c>
      <c r="R4" s="4" t="s">
        <v>1083</v>
      </c>
      <c r="S4" s="20">
        <f>SUM(O2:O1001)</f>
        <v>221198.06399999998</v>
      </c>
      <c r="U4" s="13" t="s">
        <v>1085</v>
      </c>
      <c r="V4" t="s">
        <v>1087</v>
      </c>
    </row>
    <row r="5" spans="1:22" x14ac:dyDescent="0.3">
      <c r="A5">
        <v>14447</v>
      </c>
      <c r="B5" s="1">
        <v>45371</v>
      </c>
      <c r="C5">
        <v>761</v>
      </c>
      <c r="D5">
        <v>40</v>
      </c>
      <c r="E5" t="s">
        <v>24</v>
      </c>
      <c r="F5" t="s">
        <v>49</v>
      </c>
      <c r="G5">
        <v>2</v>
      </c>
      <c r="H5" s="12">
        <v>109.97</v>
      </c>
      <c r="I5" t="s">
        <v>35</v>
      </c>
      <c r="J5" t="s">
        <v>354</v>
      </c>
      <c r="L5" t="s">
        <v>17</v>
      </c>
      <c r="M5">
        <v>69</v>
      </c>
      <c r="N5" s="21">
        <f t="shared" si="0"/>
        <v>219.94</v>
      </c>
      <c r="O5" s="21">
        <f t="shared" si="1"/>
        <v>65.981999999999999</v>
      </c>
      <c r="S5" s="1"/>
      <c r="U5" s="14" t="s">
        <v>1088</v>
      </c>
    </row>
    <row r="6" spans="1:22" x14ac:dyDescent="0.3">
      <c r="A6">
        <v>91781</v>
      </c>
      <c r="B6" s="1">
        <v>45371</v>
      </c>
      <c r="C6">
        <v>497</v>
      </c>
      <c r="D6">
        <v>10</v>
      </c>
      <c r="E6" t="s">
        <v>13</v>
      </c>
      <c r="F6" t="s">
        <v>42</v>
      </c>
      <c r="G6">
        <v>3</v>
      </c>
      <c r="H6" s="12">
        <v>481.95</v>
      </c>
      <c r="I6" t="s">
        <v>35</v>
      </c>
      <c r="J6" t="s">
        <v>702</v>
      </c>
      <c r="K6">
        <v>3</v>
      </c>
      <c r="L6" t="s">
        <v>17</v>
      </c>
      <c r="M6">
        <v>42</v>
      </c>
      <c r="N6" s="21">
        <f t="shared" si="0"/>
        <v>1445.85</v>
      </c>
      <c r="O6" s="21">
        <f t="shared" si="1"/>
        <v>433.75499999999994</v>
      </c>
      <c r="S6" s="1"/>
      <c r="U6" s="15" t="s">
        <v>1088</v>
      </c>
    </row>
    <row r="7" spans="1:22" x14ac:dyDescent="0.3">
      <c r="A7">
        <v>52849</v>
      </c>
      <c r="B7" s="1">
        <v>45371</v>
      </c>
      <c r="C7">
        <v>829</v>
      </c>
      <c r="D7">
        <v>20</v>
      </c>
      <c r="E7" t="s">
        <v>28</v>
      </c>
      <c r="F7" t="s">
        <v>79</v>
      </c>
      <c r="G7">
        <v>3</v>
      </c>
      <c r="H7" s="12">
        <v>99.38</v>
      </c>
      <c r="I7" t="s">
        <v>26</v>
      </c>
      <c r="J7" t="s">
        <v>849</v>
      </c>
      <c r="L7" t="s">
        <v>17</v>
      </c>
      <c r="M7">
        <v>19</v>
      </c>
      <c r="N7" s="21">
        <f t="shared" si="0"/>
        <v>298.14</v>
      </c>
      <c r="O7" s="21">
        <f t="shared" si="1"/>
        <v>89.441999999999993</v>
      </c>
      <c r="S7" s="1"/>
      <c r="U7" s="14" t="s">
        <v>1089</v>
      </c>
      <c r="V7">
        <v>597071.68999999994</v>
      </c>
    </row>
    <row r="8" spans="1:22" x14ac:dyDescent="0.3">
      <c r="A8">
        <v>98156</v>
      </c>
      <c r="B8" s="1">
        <v>45371</v>
      </c>
      <c r="C8">
        <v>759</v>
      </c>
      <c r="D8">
        <v>40</v>
      </c>
      <c r="E8" t="s">
        <v>24</v>
      </c>
      <c r="F8" t="s">
        <v>25</v>
      </c>
      <c r="G8">
        <v>3</v>
      </c>
      <c r="H8" s="12">
        <v>371.43</v>
      </c>
      <c r="I8" t="s">
        <v>15</v>
      </c>
      <c r="J8" t="s">
        <v>857</v>
      </c>
      <c r="L8" t="s">
        <v>17</v>
      </c>
      <c r="M8">
        <v>48</v>
      </c>
      <c r="N8" s="21">
        <f t="shared" si="0"/>
        <v>1114.29</v>
      </c>
      <c r="O8" s="21">
        <f t="shared" si="1"/>
        <v>334.28699999999998</v>
      </c>
      <c r="S8" s="1"/>
      <c r="U8" s="15" t="s">
        <v>1091</v>
      </c>
      <c r="V8">
        <v>30620.98</v>
      </c>
    </row>
    <row r="9" spans="1:22" x14ac:dyDescent="0.3">
      <c r="A9">
        <v>65571</v>
      </c>
      <c r="B9" s="1">
        <v>45371</v>
      </c>
      <c r="C9">
        <v>646</v>
      </c>
      <c r="D9">
        <v>20</v>
      </c>
      <c r="E9" t="s">
        <v>28</v>
      </c>
      <c r="F9" t="s">
        <v>77</v>
      </c>
      <c r="G9">
        <v>1</v>
      </c>
      <c r="H9" s="12">
        <v>135.56</v>
      </c>
      <c r="I9" t="s">
        <v>26</v>
      </c>
      <c r="J9" t="s">
        <v>336</v>
      </c>
      <c r="L9" t="s">
        <v>21</v>
      </c>
      <c r="M9">
        <v>20</v>
      </c>
      <c r="N9" s="21">
        <f t="shared" si="0"/>
        <v>135.56</v>
      </c>
      <c r="O9" s="21">
        <f t="shared" si="1"/>
        <v>40.667999999999999</v>
      </c>
      <c r="S9" s="1"/>
      <c r="U9" s="15" t="s">
        <v>1092</v>
      </c>
      <c r="V9">
        <v>50375.399999999987</v>
      </c>
    </row>
    <row r="10" spans="1:22" x14ac:dyDescent="0.3">
      <c r="A10">
        <v>96568</v>
      </c>
      <c r="B10" s="1">
        <v>45372</v>
      </c>
      <c r="C10">
        <v>842</v>
      </c>
      <c r="D10">
        <v>20</v>
      </c>
      <c r="E10" t="s">
        <v>28</v>
      </c>
      <c r="F10" t="s">
        <v>72</v>
      </c>
      <c r="G10">
        <v>1</v>
      </c>
      <c r="H10" s="12">
        <v>284.33</v>
      </c>
      <c r="I10" t="s">
        <v>26</v>
      </c>
      <c r="J10" t="s">
        <v>493</v>
      </c>
      <c r="K10">
        <v>1</v>
      </c>
      <c r="L10" t="s">
        <v>21</v>
      </c>
      <c r="M10">
        <v>62</v>
      </c>
      <c r="N10" s="21">
        <f t="shared" si="0"/>
        <v>284.33</v>
      </c>
      <c r="O10" s="21">
        <f t="shared" si="1"/>
        <v>85.298999999999992</v>
      </c>
      <c r="S10" s="1"/>
      <c r="U10" s="15" t="s">
        <v>1093</v>
      </c>
      <c r="V10">
        <v>61448.18</v>
      </c>
    </row>
    <row r="11" spans="1:22" x14ac:dyDescent="0.3">
      <c r="A11">
        <v>91997</v>
      </c>
      <c r="B11" s="1">
        <v>45372</v>
      </c>
      <c r="C11">
        <v>118</v>
      </c>
      <c r="D11">
        <v>30</v>
      </c>
      <c r="E11" t="s">
        <v>37</v>
      </c>
      <c r="F11" t="s">
        <v>68</v>
      </c>
      <c r="G11">
        <v>4</v>
      </c>
      <c r="H11" s="12">
        <v>445.11</v>
      </c>
      <c r="I11" t="s">
        <v>15</v>
      </c>
      <c r="J11" t="s">
        <v>670</v>
      </c>
      <c r="K11">
        <v>3</v>
      </c>
      <c r="M11">
        <v>47</v>
      </c>
      <c r="N11" s="21">
        <f t="shared" si="0"/>
        <v>1780.44</v>
      </c>
      <c r="O11" s="21">
        <f t="shared" si="1"/>
        <v>534.13199999999995</v>
      </c>
      <c r="S11" s="1"/>
      <c r="U11" s="15" t="s">
        <v>1094</v>
      </c>
      <c r="V11">
        <v>59127.399999999994</v>
      </c>
    </row>
    <row r="12" spans="1:22" x14ac:dyDescent="0.3">
      <c r="A12">
        <v>20636</v>
      </c>
      <c r="B12" s="1">
        <v>45373</v>
      </c>
      <c r="C12">
        <v>707</v>
      </c>
      <c r="D12">
        <v>10</v>
      </c>
      <c r="E12" t="s">
        <v>13</v>
      </c>
      <c r="F12" t="s">
        <v>47</v>
      </c>
      <c r="G12">
        <v>2</v>
      </c>
      <c r="H12" s="12">
        <v>257.81</v>
      </c>
      <c r="I12" t="s">
        <v>26</v>
      </c>
      <c r="J12" t="s">
        <v>446</v>
      </c>
      <c r="L12" t="s">
        <v>17</v>
      </c>
      <c r="M12">
        <v>31</v>
      </c>
      <c r="N12" s="21">
        <f t="shared" si="0"/>
        <v>515.62</v>
      </c>
      <c r="O12" s="21">
        <f t="shared" si="1"/>
        <v>154.68600000000001</v>
      </c>
      <c r="S12" s="1"/>
      <c r="U12" s="15" t="s">
        <v>1095</v>
      </c>
      <c r="V12">
        <v>57939.859999999993</v>
      </c>
    </row>
    <row r="13" spans="1:22" x14ac:dyDescent="0.3">
      <c r="A13">
        <v>72701</v>
      </c>
      <c r="B13" s="1">
        <v>45373</v>
      </c>
      <c r="C13">
        <v>828</v>
      </c>
      <c r="D13">
        <v>50</v>
      </c>
      <c r="E13" t="s">
        <v>18</v>
      </c>
      <c r="F13" t="s">
        <v>22</v>
      </c>
      <c r="G13">
        <v>5</v>
      </c>
      <c r="H13" s="12">
        <v>395.78</v>
      </c>
      <c r="I13" t="s">
        <v>15</v>
      </c>
      <c r="J13" t="s">
        <v>955</v>
      </c>
      <c r="K13">
        <v>5</v>
      </c>
      <c r="L13" t="s">
        <v>17</v>
      </c>
      <c r="M13">
        <v>56</v>
      </c>
      <c r="N13" s="21">
        <f t="shared" si="0"/>
        <v>1978.8999999999999</v>
      </c>
      <c r="O13" s="21">
        <f t="shared" si="1"/>
        <v>593.66999999999996</v>
      </c>
      <c r="S13" s="1"/>
      <c r="U13" s="15" t="s">
        <v>1096</v>
      </c>
      <c r="V13">
        <v>79070.119999999981</v>
      </c>
    </row>
    <row r="14" spans="1:22" x14ac:dyDescent="0.3">
      <c r="A14">
        <v>77729</v>
      </c>
      <c r="B14" s="1">
        <v>45374</v>
      </c>
      <c r="C14">
        <v>744</v>
      </c>
      <c r="D14">
        <v>50</v>
      </c>
      <c r="E14" t="s">
        <v>18</v>
      </c>
      <c r="F14" t="s">
        <v>87</v>
      </c>
      <c r="G14">
        <v>3</v>
      </c>
      <c r="H14" s="12">
        <v>243.37</v>
      </c>
      <c r="I14" t="s">
        <v>15</v>
      </c>
      <c r="J14" t="s">
        <v>621</v>
      </c>
      <c r="K14">
        <v>3</v>
      </c>
      <c r="L14" t="s">
        <v>17</v>
      </c>
      <c r="M14">
        <v>64</v>
      </c>
      <c r="N14" s="21">
        <f t="shared" si="0"/>
        <v>730.11</v>
      </c>
      <c r="O14" s="21">
        <f t="shared" si="1"/>
        <v>219.03299999999999</v>
      </c>
      <c r="S14" s="1"/>
      <c r="U14" s="15" t="s">
        <v>1097</v>
      </c>
      <c r="V14">
        <v>69323.09</v>
      </c>
    </row>
    <row r="15" spans="1:22" x14ac:dyDescent="0.3">
      <c r="A15">
        <v>85934</v>
      </c>
      <c r="B15" s="1">
        <v>45374</v>
      </c>
      <c r="C15">
        <v>141</v>
      </c>
      <c r="D15">
        <v>10</v>
      </c>
      <c r="E15" t="s">
        <v>13</v>
      </c>
      <c r="F15" t="s">
        <v>14</v>
      </c>
      <c r="G15">
        <v>2</v>
      </c>
      <c r="H15" s="12">
        <v>200.17</v>
      </c>
      <c r="I15" t="s">
        <v>26</v>
      </c>
      <c r="J15" t="s">
        <v>625</v>
      </c>
      <c r="K15">
        <v>4</v>
      </c>
      <c r="L15" t="s">
        <v>17</v>
      </c>
      <c r="M15">
        <v>60</v>
      </c>
      <c r="N15" s="21">
        <f t="shared" si="0"/>
        <v>400.34</v>
      </c>
      <c r="O15" s="21">
        <f t="shared" si="1"/>
        <v>120.10199999999999</v>
      </c>
      <c r="S15" s="1"/>
      <c r="U15" s="15" t="s">
        <v>1098</v>
      </c>
      <c r="V15">
        <v>55328.98000000001</v>
      </c>
    </row>
    <row r="16" spans="1:22" x14ac:dyDescent="0.3">
      <c r="A16">
        <v>49993</v>
      </c>
      <c r="B16" s="1">
        <v>45374</v>
      </c>
      <c r="C16">
        <v>880</v>
      </c>
      <c r="D16">
        <v>10</v>
      </c>
      <c r="E16" t="s">
        <v>13</v>
      </c>
      <c r="F16" t="s">
        <v>14</v>
      </c>
      <c r="G16">
        <v>1</v>
      </c>
      <c r="H16" s="12">
        <v>162.38</v>
      </c>
      <c r="I16" t="s">
        <v>15</v>
      </c>
      <c r="J16" t="s">
        <v>979</v>
      </c>
      <c r="K16">
        <v>5</v>
      </c>
      <c r="L16" t="s">
        <v>17</v>
      </c>
      <c r="M16">
        <v>73</v>
      </c>
      <c r="N16" s="21">
        <f t="shared" si="0"/>
        <v>162.38</v>
      </c>
      <c r="O16" s="21">
        <f t="shared" si="1"/>
        <v>48.713999999999999</v>
      </c>
      <c r="S16" s="1"/>
      <c r="U16" s="15" t="s">
        <v>1099</v>
      </c>
      <c r="V16">
        <v>55404.740000000013</v>
      </c>
    </row>
    <row r="17" spans="1:22" x14ac:dyDescent="0.3">
      <c r="A17">
        <v>86746</v>
      </c>
      <c r="B17" s="1">
        <v>45375</v>
      </c>
      <c r="C17">
        <v>768</v>
      </c>
      <c r="D17">
        <v>30</v>
      </c>
      <c r="E17" t="s">
        <v>37</v>
      </c>
      <c r="F17" t="s">
        <v>38</v>
      </c>
      <c r="G17">
        <v>3</v>
      </c>
      <c r="H17" s="12">
        <v>298.27</v>
      </c>
      <c r="I17" t="s">
        <v>15</v>
      </c>
      <c r="J17" t="s">
        <v>70</v>
      </c>
      <c r="K17">
        <v>4</v>
      </c>
      <c r="L17" t="s">
        <v>21</v>
      </c>
      <c r="M17">
        <v>62</v>
      </c>
      <c r="N17" s="21">
        <f t="shared" si="0"/>
        <v>894.81</v>
      </c>
      <c r="O17" s="21">
        <f t="shared" si="1"/>
        <v>268.44299999999998</v>
      </c>
      <c r="S17" s="1"/>
      <c r="U17" s="15" t="s">
        <v>1100</v>
      </c>
      <c r="V17">
        <v>78432.940000000017</v>
      </c>
    </row>
    <row r="18" spans="1:22" x14ac:dyDescent="0.3">
      <c r="A18">
        <v>80803</v>
      </c>
      <c r="B18" s="1">
        <v>45375</v>
      </c>
      <c r="C18">
        <v>882</v>
      </c>
      <c r="D18">
        <v>30</v>
      </c>
      <c r="E18" t="s">
        <v>37</v>
      </c>
      <c r="F18" t="s">
        <v>38</v>
      </c>
      <c r="G18">
        <v>1</v>
      </c>
      <c r="H18" s="12">
        <v>293</v>
      </c>
      <c r="I18" t="s">
        <v>26</v>
      </c>
      <c r="J18" t="s">
        <v>981</v>
      </c>
      <c r="K18">
        <v>5</v>
      </c>
      <c r="L18" t="s">
        <v>21</v>
      </c>
      <c r="M18">
        <v>26</v>
      </c>
      <c r="N18" s="21">
        <f t="shared" si="0"/>
        <v>293</v>
      </c>
      <c r="O18" s="21">
        <f t="shared" si="1"/>
        <v>87.899999999999991</v>
      </c>
      <c r="S18" s="1"/>
      <c r="U18" s="14" t="s">
        <v>1090</v>
      </c>
      <c r="V18">
        <v>140255.19</v>
      </c>
    </row>
    <row r="19" spans="1:22" x14ac:dyDescent="0.3">
      <c r="A19">
        <v>21588</v>
      </c>
      <c r="B19" s="1">
        <v>45376</v>
      </c>
      <c r="C19">
        <v>112</v>
      </c>
      <c r="D19">
        <v>40</v>
      </c>
      <c r="E19" t="s">
        <v>24</v>
      </c>
      <c r="F19" t="s">
        <v>44</v>
      </c>
      <c r="G19">
        <v>2</v>
      </c>
      <c r="H19" s="12">
        <v>298.63</v>
      </c>
      <c r="I19" t="s">
        <v>35</v>
      </c>
      <c r="J19" t="s">
        <v>782</v>
      </c>
      <c r="K19">
        <v>5</v>
      </c>
      <c r="L19" t="s">
        <v>17</v>
      </c>
      <c r="M19">
        <v>33</v>
      </c>
      <c r="N19" s="21">
        <f t="shared" si="0"/>
        <v>597.26</v>
      </c>
      <c r="O19" s="21">
        <f t="shared" si="1"/>
        <v>179.178</v>
      </c>
      <c r="S19" s="1"/>
      <c r="U19" s="15" t="s">
        <v>1101</v>
      </c>
      <c r="V19">
        <v>60210.83</v>
      </c>
    </row>
    <row r="20" spans="1:22" x14ac:dyDescent="0.3">
      <c r="A20">
        <v>65624</v>
      </c>
      <c r="B20" s="1">
        <v>45377</v>
      </c>
      <c r="C20">
        <v>732</v>
      </c>
      <c r="D20">
        <v>50</v>
      </c>
      <c r="E20" t="s">
        <v>18</v>
      </c>
      <c r="F20" t="s">
        <v>87</v>
      </c>
      <c r="G20">
        <v>2</v>
      </c>
      <c r="H20" s="12">
        <v>188.47</v>
      </c>
      <c r="I20" t="s">
        <v>15</v>
      </c>
      <c r="J20" t="s">
        <v>117</v>
      </c>
      <c r="K20">
        <v>5</v>
      </c>
      <c r="M20">
        <v>63</v>
      </c>
      <c r="N20" s="21">
        <f t="shared" si="0"/>
        <v>376.94</v>
      </c>
      <c r="O20" s="21">
        <f t="shared" si="1"/>
        <v>113.08199999999999</v>
      </c>
      <c r="S20" s="1"/>
      <c r="U20" s="15" t="s">
        <v>1102</v>
      </c>
      <c r="V20">
        <v>48826.040000000008</v>
      </c>
    </row>
    <row r="21" spans="1:22" x14ac:dyDescent="0.3">
      <c r="A21">
        <v>55865</v>
      </c>
      <c r="B21" s="1">
        <v>45377</v>
      </c>
      <c r="C21">
        <v>915</v>
      </c>
      <c r="D21">
        <v>40</v>
      </c>
      <c r="E21" t="s">
        <v>24</v>
      </c>
      <c r="F21" t="s">
        <v>49</v>
      </c>
      <c r="G21">
        <v>1</v>
      </c>
      <c r="H21" s="12">
        <v>341.89</v>
      </c>
      <c r="I21" t="s">
        <v>15</v>
      </c>
      <c r="J21" t="s">
        <v>120</v>
      </c>
      <c r="K21">
        <v>5</v>
      </c>
      <c r="L21" t="s">
        <v>21</v>
      </c>
      <c r="M21">
        <v>64</v>
      </c>
      <c r="N21" s="21">
        <f t="shared" si="0"/>
        <v>341.89</v>
      </c>
      <c r="O21" s="21">
        <f t="shared" si="1"/>
        <v>102.56699999999999</v>
      </c>
      <c r="S21" s="1"/>
      <c r="U21" s="15" t="s">
        <v>1091</v>
      </c>
      <c r="V21">
        <v>31218.320000000003</v>
      </c>
    </row>
    <row r="22" spans="1:22" x14ac:dyDescent="0.3">
      <c r="A22">
        <v>30090</v>
      </c>
      <c r="B22" s="1">
        <v>45377</v>
      </c>
      <c r="C22">
        <v>493</v>
      </c>
      <c r="D22">
        <v>30</v>
      </c>
      <c r="E22" t="s">
        <v>37</v>
      </c>
      <c r="F22" t="s">
        <v>40</v>
      </c>
      <c r="G22">
        <v>3</v>
      </c>
      <c r="H22" s="12">
        <v>29.52</v>
      </c>
      <c r="I22" t="s">
        <v>15</v>
      </c>
      <c r="J22" t="s">
        <v>238</v>
      </c>
      <c r="K22">
        <v>5</v>
      </c>
      <c r="L22" t="s">
        <v>21</v>
      </c>
      <c r="M22">
        <v>20</v>
      </c>
      <c r="N22" s="21">
        <f t="shared" si="0"/>
        <v>88.56</v>
      </c>
      <c r="O22" s="21">
        <f t="shared" si="1"/>
        <v>26.568000000000001</v>
      </c>
      <c r="S22" s="1"/>
      <c r="U22" s="14" t="s">
        <v>1086</v>
      </c>
      <c r="V22">
        <v>737326.87999999989</v>
      </c>
    </row>
    <row r="23" spans="1:22" x14ac:dyDescent="0.3">
      <c r="A23">
        <v>22264</v>
      </c>
      <c r="B23" s="1">
        <v>45377</v>
      </c>
      <c r="C23">
        <v>870</v>
      </c>
      <c r="D23">
        <v>50</v>
      </c>
      <c r="E23" t="s">
        <v>18</v>
      </c>
      <c r="F23" t="s">
        <v>19</v>
      </c>
      <c r="G23">
        <v>1</v>
      </c>
      <c r="H23" s="12">
        <v>138.85</v>
      </c>
      <c r="I23" t="s">
        <v>35</v>
      </c>
      <c r="J23" t="s">
        <v>549</v>
      </c>
      <c r="K23">
        <v>5</v>
      </c>
      <c r="L23" t="s">
        <v>17</v>
      </c>
      <c r="M23">
        <v>63</v>
      </c>
      <c r="N23" s="21">
        <f t="shared" si="0"/>
        <v>138.85</v>
      </c>
      <c r="O23" s="21">
        <f t="shared" si="1"/>
        <v>41.654999999999994</v>
      </c>
      <c r="S23" s="1"/>
    </row>
    <row r="24" spans="1:22" x14ac:dyDescent="0.3">
      <c r="A24">
        <v>92087</v>
      </c>
      <c r="B24" s="1">
        <v>45377</v>
      </c>
      <c r="C24">
        <v>888</v>
      </c>
      <c r="D24">
        <v>10</v>
      </c>
      <c r="E24" t="s">
        <v>13</v>
      </c>
      <c r="F24" t="s">
        <v>47</v>
      </c>
      <c r="G24">
        <v>4</v>
      </c>
      <c r="H24" s="12">
        <v>26.2</v>
      </c>
      <c r="I24" t="s">
        <v>15</v>
      </c>
      <c r="J24" t="s">
        <v>513</v>
      </c>
      <c r="K24">
        <v>5</v>
      </c>
      <c r="L24" t="s">
        <v>17</v>
      </c>
      <c r="M24">
        <v>21</v>
      </c>
      <c r="N24" s="21">
        <f t="shared" si="0"/>
        <v>104.8</v>
      </c>
      <c r="O24" s="21">
        <f t="shared" si="1"/>
        <v>31.439999999999998</v>
      </c>
      <c r="S24" s="1"/>
    </row>
    <row r="25" spans="1:22" x14ac:dyDescent="0.3">
      <c r="A25">
        <v>73009</v>
      </c>
      <c r="B25" s="1">
        <v>45378</v>
      </c>
      <c r="C25">
        <v>569</v>
      </c>
      <c r="D25">
        <v>30</v>
      </c>
      <c r="E25" t="s">
        <v>37</v>
      </c>
      <c r="F25" t="s">
        <v>68</v>
      </c>
      <c r="G25">
        <v>4</v>
      </c>
      <c r="H25" s="12">
        <v>169.83</v>
      </c>
      <c r="I25" t="s">
        <v>35</v>
      </c>
      <c r="J25" t="s">
        <v>119</v>
      </c>
      <c r="K25">
        <v>2</v>
      </c>
      <c r="L25" t="s">
        <v>21</v>
      </c>
      <c r="M25">
        <v>29</v>
      </c>
      <c r="N25" s="21">
        <f t="shared" si="0"/>
        <v>679.32</v>
      </c>
      <c r="O25" s="21">
        <f t="shared" si="1"/>
        <v>203.79600000000002</v>
      </c>
      <c r="S25" s="1"/>
    </row>
    <row r="26" spans="1:22" x14ac:dyDescent="0.3">
      <c r="A26">
        <v>92950</v>
      </c>
      <c r="B26" s="1">
        <v>45378</v>
      </c>
      <c r="C26">
        <v>265</v>
      </c>
      <c r="D26">
        <v>30</v>
      </c>
      <c r="E26" t="s">
        <v>37</v>
      </c>
      <c r="F26" t="s">
        <v>95</v>
      </c>
      <c r="G26">
        <v>2</v>
      </c>
      <c r="H26" s="12">
        <v>217.67</v>
      </c>
      <c r="I26" t="s">
        <v>26</v>
      </c>
      <c r="J26" t="s">
        <v>646</v>
      </c>
      <c r="K26">
        <v>5</v>
      </c>
      <c r="L26" t="s">
        <v>17</v>
      </c>
      <c r="M26">
        <v>37</v>
      </c>
      <c r="N26" s="21">
        <f t="shared" si="0"/>
        <v>435.34</v>
      </c>
      <c r="O26" s="21">
        <f t="shared" si="1"/>
        <v>130.60199999999998</v>
      </c>
    </row>
    <row r="27" spans="1:22" x14ac:dyDescent="0.3">
      <c r="A27">
        <v>96700</v>
      </c>
      <c r="B27" s="1">
        <v>45378</v>
      </c>
      <c r="C27">
        <v>598</v>
      </c>
      <c r="D27">
        <v>30</v>
      </c>
      <c r="E27" t="s">
        <v>37</v>
      </c>
      <c r="F27" t="s">
        <v>95</v>
      </c>
      <c r="G27">
        <v>4</v>
      </c>
      <c r="H27" s="12">
        <v>474.04</v>
      </c>
      <c r="I27" t="s">
        <v>35</v>
      </c>
      <c r="J27" t="s">
        <v>802</v>
      </c>
      <c r="K27">
        <v>5</v>
      </c>
      <c r="L27" t="s">
        <v>17</v>
      </c>
      <c r="M27">
        <v>64</v>
      </c>
      <c r="N27" s="21">
        <f t="shared" si="0"/>
        <v>1896.16</v>
      </c>
      <c r="O27" s="21">
        <f t="shared" si="1"/>
        <v>568.84799999999996</v>
      </c>
    </row>
    <row r="28" spans="1:22" x14ac:dyDescent="0.3">
      <c r="A28">
        <v>37330</v>
      </c>
      <c r="B28" s="1">
        <v>45378</v>
      </c>
      <c r="C28">
        <v>881</v>
      </c>
      <c r="D28">
        <v>50</v>
      </c>
      <c r="E28" t="s">
        <v>18</v>
      </c>
      <c r="F28" t="s">
        <v>34</v>
      </c>
      <c r="G28">
        <v>5</v>
      </c>
      <c r="H28" s="12">
        <v>219.26</v>
      </c>
      <c r="I28" t="s">
        <v>26</v>
      </c>
      <c r="J28" t="s">
        <v>960</v>
      </c>
      <c r="K28">
        <v>2</v>
      </c>
      <c r="L28" t="s">
        <v>17</v>
      </c>
      <c r="M28">
        <v>49</v>
      </c>
      <c r="N28" s="21">
        <f t="shared" si="0"/>
        <v>1096.3</v>
      </c>
      <c r="O28" s="21">
        <f t="shared" si="1"/>
        <v>328.89</v>
      </c>
    </row>
    <row r="29" spans="1:22" x14ac:dyDescent="0.3">
      <c r="A29">
        <v>92232</v>
      </c>
      <c r="B29" s="1">
        <v>45379</v>
      </c>
      <c r="C29">
        <v>961</v>
      </c>
      <c r="D29">
        <v>40</v>
      </c>
      <c r="E29" t="s">
        <v>24</v>
      </c>
      <c r="F29" t="s">
        <v>25</v>
      </c>
      <c r="G29">
        <v>4</v>
      </c>
      <c r="H29" s="12">
        <v>410.28</v>
      </c>
      <c r="I29" t="s">
        <v>35</v>
      </c>
      <c r="J29" t="s">
        <v>302</v>
      </c>
      <c r="L29" t="s">
        <v>21</v>
      </c>
      <c r="M29">
        <v>33</v>
      </c>
      <c r="N29" s="21">
        <f t="shared" si="0"/>
        <v>1641.12</v>
      </c>
      <c r="O29" s="21">
        <f t="shared" si="1"/>
        <v>492.33599999999996</v>
      </c>
    </row>
    <row r="30" spans="1:22" x14ac:dyDescent="0.3">
      <c r="A30">
        <v>17044</v>
      </c>
      <c r="B30" s="1">
        <v>45379</v>
      </c>
      <c r="C30">
        <v>502</v>
      </c>
      <c r="D30">
        <v>50</v>
      </c>
      <c r="E30" t="s">
        <v>18</v>
      </c>
      <c r="F30" t="s">
        <v>19</v>
      </c>
      <c r="G30">
        <v>1</v>
      </c>
      <c r="H30" s="12">
        <v>306.5</v>
      </c>
      <c r="I30" t="s">
        <v>35</v>
      </c>
      <c r="J30" t="s">
        <v>332</v>
      </c>
      <c r="K30">
        <v>4</v>
      </c>
      <c r="L30" t="s">
        <v>21</v>
      </c>
      <c r="M30">
        <v>47</v>
      </c>
      <c r="N30" s="21">
        <f t="shared" si="0"/>
        <v>306.5</v>
      </c>
      <c r="O30" s="21">
        <f t="shared" si="1"/>
        <v>91.95</v>
      </c>
    </row>
    <row r="31" spans="1:22" x14ac:dyDescent="0.3">
      <c r="A31">
        <v>39825</v>
      </c>
      <c r="B31" s="1">
        <v>45379</v>
      </c>
      <c r="C31">
        <v>301</v>
      </c>
      <c r="D31">
        <v>40</v>
      </c>
      <c r="E31" t="s">
        <v>24</v>
      </c>
      <c r="F31" t="s">
        <v>44</v>
      </c>
      <c r="G31">
        <v>5</v>
      </c>
      <c r="H31" s="12">
        <v>353.19</v>
      </c>
      <c r="I31" t="s">
        <v>35</v>
      </c>
      <c r="J31" t="s">
        <v>413</v>
      </c>
      <c r="K31">
        <v>5</v>
      </c>
      <c r="M31">
        <v>50</v>
      </c>
      <c r="N31" s="21">
        <f t="shared" si="0"/>
        <v>1765.95</v>
      </c>
      <c r="O31" s="21">
        <f t="shared" si="1"/>
        <v>529.78499999999997</v>
      </c>
    </row>
    <row r="32" spans="1:22" x14ac:dyDescent="0.3">
      <c r="A32">
        <v>47212</v>
      </c>
      <c r="B32" s="1">
        <v>45379</v>
      </c>
      <c r="C32">
        <v>856</v>
      </c>
      <c r="D32">
        <v>20</v>
      </c>
      <c r="E32" t="s">
        <v>28</v>
      </c>
      <c r="F32" t="s">
        <v>29</v>
      </c>
      <c r="G32">
        <v>4</v>
      </c>
      <c r="H32" s="12">
        <v>477.68</v>
      </c>
      <c r="I32" t="s">
        <v>15</v>
      </c>
      <c r="J32" t="s">
        <v>540</v>
      </c>
      <c r="L32" t="s">
        <v>21</v>
      </c>
      <c r="M32">
        <v>29</v>
      </c>
      <c r="N32" s="21">
        <f t="shared" si="0"/>
        <v>1910.72</v>
      </c>
      <c r="O32" s="21">
        <f t="shared" si="1"/>
        <v>573.21600000000001</v>
      </c>
    </row>
    <row r="33" spans="1:15" x14ac:dyDescent="0.3">
      <c r="A33">
        <v>72238</v>
      </c>
      <c r="B33" s="1">
        <v>45379</v>
      </c>
      <c r="C33">
        <v>435</v>
      </c>
      <c r="D33">
        <v>20</v>
      </c>
      <c r="E33" t="s">
        <v>28</v>
      </c>
      <c r="F33" t="s">
        <v>79</v>
      </c>
      <c r="G33">
        <v>2</v>
      </c>
      <c r="H33" s="12">
        <v>74.459999999999994</v>
      </c>
      <c r="I33" t="s">
        <v>15</v>
      </c>
      <c r="J33" t="s">
        <v>928</v>
      </c>
      <c r="K33">
        <v>5</v>
      </c>
      <c r="L33" t="s">
        <v>17</v>
      </c>
      <c r="M33">
        <v>74</v>
      </c>
      <c r="N33" s="21">
        <f t="shared" si="0"/>
        <v>148.91999999999999</v>
      </c>
      <c r="O33" s="21">
        <f t="shared" si="1"/>
        <v>44.675999999999995</v>
      </c>
    </row>
    <row r="34" spans="1:15" x14ac:dyDescent="0.3">
      <c r="A34">
        <v>97102</v>
      </c>
      <c r="B34" s="1">
        <v>45379</v>
      </c>
      <c r="C34">
        <v>663</v>
      </c>
      <c r="D34">
        <v>50</v>
      </c>
      <c r="E34" t="s">
        <v>18</v>
      </c>
      <c r="F34" t="s">
        <v>34</v>
      </c>
      <c r="G34">
        <v>4</v>
      </c>
      <c r="H34" s="12">
        <v>286.82</v>
      </c>
      <c r="I34" t="s">
        <v>35</v>
      </c>
      <c r="J34" t="s">
        <v>969</v>
      </c>
      <c r="K34">
        <v>3</v>
      </c>
      <c r="L34" t="s">
        <v>17</v>
      </c>
      <c r="M34">
        <v>55</v>
      </c>
      <c r="N34" s="21">
        <f t="shared" si="0"/>
        <v>1147.28</v>
      </c>
      <c r="O34" s="21">
        <f t="shared" si="1"/>
        <v>344.18399999999997</v>
      </c>
    </row>
    <row r="35" spans="1:15" x14ac:dyDescent="0.3">
      <c r="A35">
        <v>54869</v>
      </c>
      <c r="B35" s="1">
        <v>45380</v>
      </c>
      <c r="C35">
        <v>369</v>
      </c>
      <c r="D35">
        <v>10</v>
      </c>
      <c r="E35" t="s">
        <v>13</v>
      </c>
      <c r="F35" t="s">
        <v>14</v>
      </c>
      <c r="G35">
        <v>4</v>
      </c>
      <c r="H35" s="12">
        <v>486.84</v>
      </c>
      <c r="I35" t="s">
        <v>35</v>
      </c>
      <c r="J35" t="s">
        <v>193</v>
      </c>
      <c r="K35">
        <v>5</v>
      </c>
      <c r="L35" t="s">
        <v>17</v>
      </c>
      <c r="M35">
        <v>42</v>
      </c>
      <c r="N35" s="21">
        <f t="shared" si="0"/>
        <v>1947.36</v>
      </c>
      <c r="O35" s="21">
        <f t="shared" si="1"/>
        <v>584.20799999999997</v>
      </c>
    </row>
    <row r="36" spans="1:15" x14ac:dyDescent="0.3">
      <c r="A36">
        <v>51679</v>
      </c>
      <c r="B36" s="1">
        <v>45380</v>
      </c>
      <c r="C36">
        <v>861</v>
      </c>
      <c r="D36">
        <v>40</v>
      </c>
      <c r="E36" t="s">
        <v>24</v>
      </c>
      <c r="F36" t="s">
        <v>49</v>
      </c>
      <c r="G36">
        <v>4</v>
      </c>
      <c r="H36" s="12">
        <v>101.29</v>
      </c>
      <c r="I36" t="s">
        <v>35</v>
      </c>
      <c r="J36" t="s">
        <v>393</v>
      </c>
      <c r="K36">
        <v>5</v>
      </c>
      <c r="M36">
        <v>32</v>
      </c>
      <c r="N36" s="21">
        <f t="shared" si="0"/>
        <v>405.16</v>
      </c>
      <c r="O36" s="21">
        <f t="shared" si="1"/>
        <v>121.548</v>
      </c>
    </row>
    <row r="37" spans="1:15" x14ac:dyDescent="0.3">
      <c r="A37">
        <v>36926</v>
      </c>
      <c r="B37" s="1">
        <v>45380</v>
      </c>
      <c r="C37">
        <v>350</v>
      </c>
      <c r="D37">
        <v>40</v>
      </c>
      <c r="E37" t="s">
        <v>24</v>
      </c>
      <c r="F37" t="s">
        <v>44</v>
      </c>
      <c r="G37">
        <v>2</v>
      </c>
      <c r="H37" s="12">
        <v>137.12</v>
      </c>
      <c r="I37" t="s">
        <v>26</v>
      </c>
      <c r="J37" t="s">
        <v>652</v>
      </c>
      <c r="K37">
        <v>4</v>
      </c>
      <c r="L37" t="s">
        <v>17</v>
      </c>
      <c r="M37">
        <v>68</v>
      </c>
      <c r="N37" s="21">
        <f t="shared" si="0"/>
        <v>274.24</v>
      </c>
      <c r="O37" s="21">
        <f t="shared" si="1"/>
        <v>82.272000000000006</v>
      </c>
    </row>
    <row r="38" spans="1:15" x14ac:dyDescent="0.3">
      <c r="A38">
        <v>48604</v>
      </c>
      <c r="B38" s="1">
        <v>45381</v>
      </c>
      <c r="C38">
        <v>899</v>
      </c>
      <c r="D38">
        <v>30</v>
      </c>
      <c r="E38" t="s">
        <v>37</v>
      </c>
      <c r="F38" t="s">
        <v>38</v>
      </c>
      <c r="G38">
        <v>5</v>
      </c>
      <c r="H38" s="12">
        <v>230.49</v>
      </c>
      <c r="I38" t="s">
        <v>35</v>
      </c>
      <c r="J38" t="s">
        <v>343</v>
      </c>
      <c r="K38">
        <v>4</v>
      </c>
      <c r="L38" t="s">
        <v>21</v>
      </c>
      <c r="M38">
        <v>36</v>
      </c>
      <c r="N38" s="21">
        <f t="shared" si="0"/>
        <v>1152.45</v>
      </c>
      <c r="O38" s="21">
        <f t="shared" si="1"/>
        <v>345.73500000000001</v>
      </c>
    </row>
    <row r="39" spans="1:15" x14ac:dyDescent="0.3">
      <c r="A39">
        <v>43279</v>
      </c>
      <c r="B39" s="1">
        <v>45381</v>
      </c>
      <c r="C39">
        <v>403</v>
      </c>
      <c r="D39">
        <v>30</v>
      </c>
      <c r="E39" t="s">
        <v>37</v>
      </c>
      <c r="F39" t="s">
        <v>58</v>
      </c>
      <c r="G39">
        <v>4</v>
      </c>
      <c r="H39" s="12">
        <v>247.25</v>
      </c>
      <c r="I39" t="s">
        <v>15</v>
      </c>
      <c r="J39" t="s">
        <v>380</v>
      </c>
      <c r="K39">
        <v>2</v>
      </c>
      <c r="L39" t="s">
        <v>21</v>
      </c>
      <c r="M39">
        <v>26</v>
      </c>
      <c r="N39" s="21">
        <f t="shared" si="0"/>
        <v>989</v>
      </c>
      <c r="O39" s="21">
        <f t="shared" si="1"/>
        <v>296.7</v>
      </c>
    </row>
    <row r="40" spans="1:15" x14ac:dyDescent="0.3">
      <c r="A40">
        <v>14872</v>
      </c>
      <c r="B40" s="1">
        <v>45382</v>
      </c>
      <c r="C40">
        <v>353</v>
      </c>
      <c r="D40">
        <v>20</v>
      </c>
      <c r="E40" t="s">
        <v>28</v>
      </c>
      <c r="F40" t="s">
        <v>77</v>
      </c>
      <c r="G40">
        <v>2</v>
      </c>
      <c r="H40" s="12">
        <v>272.77999999999997</v>
      </c>
      <c r="I40" t="s">
        <v>15</v>
      </c>
      <c r="J40" t="s">
        <v>78</v>
      </c>
      <c r="K40">
        <v>4</v>
      </c>
      <c r="L40" t="s">
        <v>21</v>
      </c>
      <c r="M40">
        <v>32</v>
      </c>
      <c r="N40" s="21">
        <f t="shared" si="0"/>
        <v>545.55999999999995</v>
      </c>
      <c r="O40" s="21">
        <f t="shared" si="1"/>
        <v>163.66799999999998</v>
      </c>
    </row>
    <row r="41" spans="1:15" x14ac:dyDescent="0.3">
      <c r="A41">
        <v>22729</v>
      </c>
      <c r="B41" s="1">
        <v>45382</v>
      </c>
      <c r="C41">
        <v>649</v>
      </c>
      <c r="D41">
        <v>30</v>
      </c>
      <c r="E41" t="s">
        <v>37</v>
      </c>
      <c r="F41" t="s">
        <v>40</v>
      </c>
      <c r="G41">
        <v>2</v>
      </c>
      <c r="H41" s="12">
        <v>131.22</v>
      </c>
      <c r="I41" t="s">
        <v>26</v>
      </c>
      <c r="J41" t="s">
        <v>836</v>
      </c>
      <c r="K41">
        <v>4</v>
      </c>
      <c r="L41" t="s">
        <v>21</v>
      </c>
      <c r="M41">
        <v>32</v>
      </c>
      <c r="N41" s="21">
        <f t="shared" si="0"/>
        <v>262.44</v>
      </c>
      <c r="O41" s="21">
        <f t="shared" si="1"/>
        <v>78.731999999999999</v>
      </c>
    </row>
    <row r="42" spans="1:15" x14ac:dyDescent="0.3">
      <c r="A42">
        <v>33678</v>
      </c>
      <c r="B42" s="1">
        <v>45383</v>
      </c>
      <c r="C42">
        <v>732</v>
      </c>
      <c r="D42">
        <v>20</v>
      </c>
      <c r="E42" t="s">
        <v>28</v>
      </c>
      <c r="F42" t="s">
        <v>51</v>
      </c>
      <c r="G42">
        <v>1</v>
      </c>
      <c r="H42" s="12">
        <v>380.08</v>
      </c>
      <c r="I42" t="s">
        <v>35</v>
      </c>
      <c r="J42" t="s">
        <v>67</v>
      </c>
      <c r="K42">
        <v>1</v>
      </c>
      <c r="L42" t="s">
        <v>21</v>
      </c>
      <c r="M42">
        <v>29</v>
      </c>
      <c r="N42" s="21">
        <f t="shared" si="0"/>
        <v>380.08</v>
      </c>
      <c r="O42" s="21">
        <f t="shared" si="1"/>
        <v>114.02399999999999</v>
      </c>
    </row>
    <row r="43" spans="1:15" x14ac:dyDescent="0.3">
      <c r="A43">
        <v>65546</v>
      </c>
      <c r="B43" s="1">
        <v>45383</v>
      </c>
      <c r="C43">
        <v>575</v>
      </c>
      <c r="D43">
        <v>20</v>
      </c>
      <c r="E43" t="s">
        <v>28</v>
      </c>
      <c r="F43" t="s">
        <v>72</v>
      </c>
      <c r="G43">
        <v>4</v>
      </c>
      <c r="H43" s="12">
        <v>400.94</v>
      </c>
      <c r="I43" t="s">
        <v>26</v>
      </c>
      <c r="J43" t="s">
        <v>158</v>
      </c>
      <c r="K43">
        <v>2</v>
      </c>
      <c r="L43" t="s">
        <v>17</v>
      </c>
      <c r="M43">
        <v>65</v>
      </c>
      <c r="N43" s="21">
        <f t="shared" si="0"/>
        <v>1603.76</v>
      </c>
      <c r="O43" s="21">
        <f t="shared" si="1"/>
        <v>481.12799999999999</v>
      </c>
    </row>
    <row r="44" spans="1:15" x14ac:dyDescent="0.3">
      <c r="A44">
        <v>31977</v>
      </c>
      <c r="B44" s="1">
        <v>45383</v>
      </c>
      <c r="C44">
        <v>490</v>
      </c>
      <c r="D44">
        <v>50</v>
      </c>
      <c r="E44" t="s">
        <v>18</v>
      </c>
      <c r="F44" t="s">
        <v>22</v>
      </c>
      <c r="G44">
        <v>5</v>
      </c>
      <c r="H44" s="12">
        <v>371.84</v>
      </c>
      <c r="I44" t="s">
        <v>15</v>
      </c>
      <c r="J44" t="s">
        <v>723</v>
      </c>
      <c r="K44">
        <v>5</v>
      </c>
      <c r="M44">
        <v>52</v>
      </c>
      <c r="N44" s="21">
        <f t="shared" si="0"/>
        <v>1859.1999999999998</v>
      </c>
      <c r="O44" s="21">
        <f t="shared" si="1"/>
        <v>557.75999999999988</v>
      </c>
    </row>
    <row r="45" spans="1:15" x14ac:dyDescent="0.3">
      <c r="A45">
        <v>55371</v>
      </c>
      <c r="B45" s="1">
        <v>45384</v>
      </c>
      <c r="C45">
        <v>753</v>
      </c>
      <c r="D45">
        <v>50</v>
      </c>
      <c r="E45" t="s">
        <v>18</v>
      </c>
      <c r="F45" t="s">
        <v>87</v>
      </c>
      <c r="G45">
        <v>4</v>
      </c>
      <c r="H45" s="12">
        <v>263.69</v>
      </c>
      <c r="I45" t="s">
        <v>35</v>
      </c>
      <c r="J45" t="s">
        <v>799</v>
      </c>
      <c r="K45">
        <v>5</v>
      </c>
      <c r="M45">
        <v>73</v>
      </c>
      <c r="N45" s="21">
        <f t="shared" si="0"/>
        <v>1054.76</v>
      </c>
      <c r="O45" s="21">
        <f t="shared" si="1"/>
        <v>316.428</v>
      </c>
    </row>
    <row r="46" spans="1:15" x14ac:dyDescent="0.3">
      <c r="A46">
        <v>54503</v>
      </c>
      <c r="B46" s="1">
        <v>45385</v>
      </c>
      <c r="C46">
        <v>416</v>
      </c>
      <c r="D46">
        <v>50</v>
      </c>
      <c r="E46" t="s">
        <v>18</v>
      </c>
      <c r="F46" t="s">
        <v>19</v>
      </c>
      <c r="G46">
        <v>2</v>
      </c>
      <c r="H46" s="12">
        <v>337.25</v>
      </c>
      <c r="I46" t="s">
        <v>35</v>
      </c>
      <c r="J46" t="s">
        <v>97</v>
      </c>
      <c r="K46">
        <v>2</v>
      </c>
      <c r="L46" t="s">
        <v>17</v>
      </c>
      <c r="M46">
        <v>42</v>
      </c>
      <c r="N46" s="21">
        <f t="shared" si="0"/>
        <v>674.5</v>
      </c>
      <c r="O46" s="21">
        <f t="shared" si="1"/>
        <v>202.35</v>
      </c>
    </row>
    <row r="47" spans="1:15" x14ac:dyDescent="0.3">
      <c r="A47">
        <v>76203</v>
      </c>
      <c r="B47" s="1">
        <v>45385</v>
      </c>
      <c r="C47">
        <v>307</v>
      </c>
      <c r="D47">
        <v>20</v>
      </c>
      <c r="E47" t="s">
        <v>28</v>
      </c>
      <c r="F47" t="s">
        <v>72</v>
      </c>
      <c r="G47">
        <v>5</v>
      </c>
      <c r="H47" s="12">
        <v>39.18</v>
      </c>
      <c r="I47" t="s">
        <v>15</v>
      </c>
      <c r="J47" t="s">
        <v>594</v>
      </c>
      <c r="K47">
        <v>4</v>
      </c>
      <c r="M47">
        <v>61</v>
      </c>
      <c r="N47" s="21">
        <f t="shared" si="0"/>
        <v>195.9</v>
      </c>
      <c r="O47" s="21">
        <f t="shared" si="1"/>
        <v>58.769999999999996</v>
      </c>
    </row>
    <row r="48" spans="1:15" x14ac:dyDescent="0.3">
      <c r="A48">
        <v>58032</v>
      </c>
      <c r="B48" s="1">
        <v>45386</v>
      </c>
      <c r="C48">
        <v>133</v>
      </c>
      <c r="D48">
        <v>30</v>
      </c>
      <c r="E48" t="s">
        <v>37</v>
      </c>
      <c r="F48" t="s">
        <v>58</v>
      </c>
      <c r="G48">
        <v>4</v>
      </c>
      <c r="H48" s="12">
        <v>14.97</v>
      </c>
      <c r="I48" t="s">
        <v>15</v>
      </c>
      <c r="J48" t="s">
        <v>159</v>
      </c>
      <c r="L48" t="s">
        <v>17</v>
      </c>
      <c r="M48">
        <v>22</v>
      </c>
      <c r="N48" s="21">
        <f t="shared" si="0"/>
        <v>59.88</v>
      </c>
      <c r="O48" s="21">
        <f t="shared" si="1"/>
        <v>17.963999999999999</v>
      </c>
    </row>
    <row r="49" spans="1:15" x14ac:dyDescent="0.3">
      <c r="A49">
        <v>84661</v>
      </c>
      <c r="B49" s="1">
        <v>45386</v>
      </c>
      <c r="C49">
        <v>129</v>
      </c>
      <c r="D49">
        <v>20</v>
      </c>
      <c r="E49" t="s">
        <v>28</v>
      </c>
      <c r="F49" t="s">
        <v>77</v>
      </c>
      <c r="G49">
        <v>2</v>
      </c>
      <c r="H49" s="12">
        <v>272.83</v>
      </c>
      <c r="I49" t="s">
        <v>26</v>
      </c>
      <c r="J49" t="s">
        <v>543</v>
      </c>
      <c r="K49">
        <v>4</v>
      </c>
      <c r="L49" t="s">
        <v>17</v>
      </c>
      <c r="M49">
        <v>38</v>
      </c>
      <c r="N49" s="21">
        <f t="shared" si="0"/>
        <v>545.66</v>
      </c>
      <c r="O49" s="21">
        <f t="shared" si="1"/>
        <v>163.69799999999998</v>
      </c>
    </row>
    <row r="50" spans="1:15" x14ac:dyDescent="0.3">
      <c r="A50">
        <v>62183</v>
      </c>
      <c r="B50" s="1">
        <v>45386</v>
      </c>
      <c r="C50">
        <v>568</v>
      </c>
      <c r="D50">
        <v>50</v>
      </c>
      <c r="E50" t="s">
        <v>18</v>
      </c>
      <c r="F50" t="s">
        <v>19</v>
      </c>
      <c r="G50">
        <v>2</v>
      </c>
      <c r="H50" s="12">
        <v>494.81</v>
      </c>
      <c r="I50" t="s">
        <v>35</v>
      </c>
      <c r="J50" t="s">
        <v>583</v>
      </c>
      <c r="K50">
        <v>3</v>
      </c>
      <c r="L50" t="s">
        <v>17</v>
      </c>
      <c r="M50">
        <v>52</v>
      </c>
      <c r="N50" s="21">
        <f t="shared" si="0"/>
        <v>989.62</v>
      </c>
      <c r="O50" s="21">
        <f t="shared" si="1"/>
        <v>296.88599999999997</v>
      </c>
    </row>
    <row r="51" spans="1:15" x14ac:dyDescent="0.3">
      <c r="A51">
        <v>62833</v>
      </c>
      <c r="B51" s="1">
        <v>45387</v>
      </c>
      <c r="C51">
        <v>955</v>
      </c>
      <c r="D51">
        <v>20</v>
      </c>
      <c r="E51" t="s">
        <v>28</v>
      </c>
      <c r="F51" t="s">
        <v>29</v>
      </c>
      <c r="G51">
        <v>1</v>
      </c>
      <c r="H51" s="12">
        <v>457.29</v>
      </c>
      <c r="I51" t="s">
        <v>15</v>
      </c>
      <c r="J51" t="s">
        <v>213</v>
      </c>
      <c r="K51">
        <v>1</v>
      </c>
      <c r="L51" t="s">
        <v>17</v>
      </c>
      <c r="M51">
        <v>71</v>
      </c>
      <c r="N51" s="21">
        <f t="shared" si="0"/>
        <v>457.29</v>
      </c>
      <c r="O51" s="21">
        <f t="shared" si="1"/>
        <v>137.18700000000001</v>
      </c>
    </row>
    <row r="52" spans="1:15" x14ac:dyDescent="0.3">
      <c r="A52">
        <v>61930</v>
      </c>
      <c r="B52" s="1">
        <v>45387</v>
      </c>
      <c r="C52">
        <v>660</v>
      </c>
      <c r="D52">
        <v>10</v>
      </c>
      <c r="E52" t="s">
        <v>13</v>
      </c>
      <c r="F52" t="s">
        <v>42</v>
      </c>
      <c r="G52">
        <v>3</v>
      </c>
      <c r="H52" s="12">
        <v>362.2</v>
      </c>
      <c r="I52" t="s">
        <v>15</v>
      </c>
      <c r="J52" t="s">
        <v>678</v>
      </c>
      <c r="K52">
        <v>2</v>
      </c>
      <c r="L52" t="s">
        <v>17</v>
      </c>
      <c r="M52">
        <v>44</v>
      </c>
      <c r="N52" s="21">
        <f t="shared" si="0"/>
        <v>1086.5999999999999</v>
      </c>
      <c r="O52" s="21">
        <f t="shared" si="1"/>
        <v>325.97999999999996</v>
      </c>
    </row>
    <row r="53" spans="1:15" x14ac:dyDescent="0.3">
      <c r="A53">
        <v>47971</v>
      </c>
      <c r="B53" s="1">
        <v>45388</v>
      </c>
      <c r="C53">
        <v>363</v>
      </c>
      <c r="D53">
        <v>20</v>
      </c>
      <c r="E53" t="s">
        <v>28</v>
      </c>
      <c r="F53" t="s">
        <v>72</v>
      </c>
      <c r="G53">
        <v>5</v>
      </c>
      <c r="H53" s="12">
        <v>279.12</v>
      </c>
      <c r="I53" t="s">
        <v>26</v>
      </c>
      <c r="J53" t="s">
        <v>192</v>
      </c>
      <c r="K53">
        <v>4</v>
      </c>
      <c r="L53" t="s">
        <v>17</v>
      </c>
      <c r="M53">
        <v>47</v>
      </c>
      <c r="N53" s="21">
        <f t="shared" si="0"/>
        <v>1395.6</v>
      </c>
      <c r="O53" s="21">
        <f t="shared" si="1"/>
        <v>418.67999999999995</v>
      </c>
    </row>
    <row r="54" spans="1:15" x14ac:dyDescent="0.3">
      <c r="A54">
        <v>79864</v>
      </c>
      <c r="B54" s="1">
        <v>45389</v>
      </c>
      <c r="C54">
        <v>825</v>
      </c>
      <c r="D54">
        <v>20</v>
      </c>
      <c r="E54" t="s">
        <v>28</v>
      </c>
      <c r="F54" t="s">
        <v>79</v>
      </c>
      <c r="G54">
        <v>5</v>
      </c>
      <c r="H54" s="12">
        <v>125.64</v>
      </c>
      <c r="I54" t="s">
        <v>35</v>
      </c>
      <c r="J54" t="s">
        <v>331</v>
      </c>
      <c r="K54">
        <v>3</v>
      </c>
      <c r="L54" t="s">
        <v>21</v>
      </c>
      <c r="M54">
        <v>36</v>
      </c>
      <c r="N54" s="21">
        <f t="shared" si="0"/>
        <v>628.20000000000005</v>
      </c>
      <c r="O54" s="21">
        <f t="shared" si="1"/>
        <v>188.46</v>
      </c>
    </row>
    <row r="55" spans="1:15" x14ac:dyDescent="0.3">
      <c r="A55">
        <v>68604</v>
      </c>
      <c r="B55" s="1">
        <v>45389</v>
      </c>
      <c r="C55">
        <v>117</v>
      </c>
      <c r="D55">
        <v>50</v>
      </c>
      <c r="E55" t="s">
        <v>18</v>
      </c>
      <c r="F55" t="s">
        <v>84</v>
      </c>
      <c r="G55">
        <v>2</v>
      </c>
      <c r="H55" s="12">
        <v>333.05</v>
      </c>
      <c r="I55" t="s">
        <v>15</v>
      </c>
      <c r="J55" t="s">
        <v>447</v>
      </c>
      <c r="L55" t="s">
        <v>17</v>
      </c>
      <c r="M55">
        <v>45</v>
      </c>
      <c r="N55" s="21">
        <f t="shared" si="0"/>
        <v>666.1</v>
      </c>
      <c r="O55" s="21">
        <f t="shared" si="1"/>
        <v>199.83</v>
      </c>
    </row>
    <row r="56" spans="1:15" x14ac:dyDescent="0.3">
      <c r="A56">
        <v>13120</v>
      </c>
      <c r="B56" s="1">
        <v>45389</v>
      </c>
      <c r="C56">
        <v>893</v>
      </c>
      <c r="D56">
        <v>30</v>
      </c>
      <c r="E56" t="s">
        <v>37</v>
      </c>
      <c r="F56" t="s">
        <v>58</v>
      </c>
      <c r="G56">
        <v>1</v>
      </c>
      <c r="H56" s="12">
        <v>40.200000000000003</v>
      </c>
      <c r="I56" t="s">
        <v>35</v>
      </c>
      <c r="J56" t="s">
        <v>618</v>
      </c>
      <c r="K56">
        <v>5</v>
      </c>
      <c r="L56" t="s">
        <v>21</v>
      </c>
      <c r="M56">
        <v>59</v>
      </c>
      <c r="N56" s="21">
        <f t="shared" si="0"/>
        <v>40.200000000000003</v>
      </c>
      <c r="O56" s="21">
        <f t="shared" si="1"/>
        <v>12.06</v>
      </c>
    </row>
    <row r="57" spans="1:15" x14ac:dyDescent="0.3">
      <c r="A57">
        <v>18511</v>
      </c>
      <c r="B57" s="1">
        <v>45389</v>
      </c>
      <c r="C57">
        <v>877</v>
      </c>
      <c r="D57">
        <v>30</v>
      </c>
      <c r="E57" t="s">
        <v>37</v>
      </c>
      <c r="F57" t="s">
        <v>68</v>
      </c>
      <c r="G57">
        <v>4</v>
      </c>
      <c r="H57" s="12">
        <v>96.94</v>
      </c>
      <c r="I57" t="s">
        <v>35</v>
      </c>
      <c r="J57" t="s">
        <v>724</v>
      </c>
      <c r="M57">
        <v>56</v>
      </c>
      <c r="N57" s="21">
        <f t="shared" si="0"/>
        <v>387.76</v>
      </c>
      <c r="O57" s="21">
        <f t="shared" si="1"/>
        <v>116.32799999999999</v>
      </c>
    </row>
    <row r="58" spans="1:15" x14ac:dyDescent="0.3">
      <c r="A58">
        <v>78752</v>
      </c>
      <c r="B58" s="1">
        <v>45389</v>
      </c>
      <c r="C58">
        <v>158</v>
      </c>
      <c r="D58">
        <v>30</v>
      </c>
      <c r="E58" t="s">
        <v>37</v>
      </c>
      <c r="F58" t="s">
        <v>38</v>
      </c>
      <c r="G58">
        <v>5</v>
      </c>
      <c r="H58" s="12">
        <v>178.2</v>
      </c>
      <c r="I58" t="s">
        <v>15</v>
      </c>
      <c r="J58" t="s">
        <v>908</v>
      </c>
      <c r="K58">
        <v>3</v>
      </c>
      <c r="L58" t="s">
        <v>17</v>
      </c>
      <c r="M58">
        <v>49</v>
      </c>
      <c r="N58" s="21">
        <f t="shared" si="0"/>
        <v>891</v>
      </c>
      <c r="O58" s="21">
        <f t="shared" si="1"/>
        <v>267.3</v>
      </c>
    </row>
    <row r="59" spans="1:15" x14ac:dyDescent="0.3">
      <c r="A59">
        <v>49651</v>
      </c>
      <c r="B59" s="1">
        <v>45390</v>
      </c>
      <c r="C59">
        <v>937</v>
      </c>
      <c r="D59">
        <v>40</v>
      </c>
      <c r="E59" t="s">
        <v>24</v>
      </c>
      <c r="F59" t="s">
        <v>63</v>
      </c>
      <c r="G59">
        <v>4</v>
      </c>
      <c r="H59" s="12">
        <v>267.72000000000003</v>
      </c>
      <c r="I59" t="s">
        <v>26</v>
      </c>
      <c r="J59" t="s">
        <v>205</v>
      </c>
      <c r="L59" t="s">
        <v>21</v>
      </c>
      <c r="M59">
        <v>19</v>
      </c>
      <c r="N59" s="21">
        <f t="shared" si="0"/>
        <v>1070.8800000000001</v>
      </c>
      <c r="O59" s="21">
        <f t="shared" si="1"/>
        <v>321.26400000000001</v>
      </c>
    </row>
    <row r="60" spans="1:15" x14ac:dyDescent="0.3">
      <c r="A60">
        <v>98322</v>
      </c>
      <c r="B60" s="1">
        <v>45390</v>
      </c>
      <c r="C60">
        <v>157</v>
      </c>
      <c r="D60">
        <v>50</v>
      </c>
      <c r="E60" t="s">
        <v>18</v>
      </c>
      <c r="F60" t="s">
        <v>87</v>
      </c>
      <c r="G60">
        <v>1</v>
      </c>
      <c r="H60" s="12">
        <v>200.44</v>
      </c>
      <c r="I60" t="s">
        <v>26</v>
      </c>
      <c r="J60" t="s">
        <v>231</v>
      </c>
      <c r="K60">
        <v>5</v>
      </c>
      <c r="L60" t="s">
        <v>17</v>
      </c>
      <c r="M60">
        <v>60</v>
      </c>
      <c r="N60" s="21">
        <f t="shared" si="0"/>
        <v>200.44</v>
      </c>
      <c r="O60" s="21">
        <f t="shared" si="1"/>
        <v>60.131999999999998</v>
      </c>
    </row>
    <row r="61" spans="1:15" x14ac:dyDescent="0.3">
      <c r="A61">
        <v>28608</v>
      </c>
      <c r="B61" s="1">
        <v>45390</v>
      </c>
      <c r="C61">
        <v>436</v>
      </c>
      <c r="D61">
        <v>10</v>
      </c>
      <c r="E61" t="s">
        <v>13</v>
      </c>
      <c r="F61" t="s">
        <v>42</v>
      </c>
      <c r="G61">
        <v>1</v>
      </c>
      <c r="H61" s="12">
        <v>478.75</v>
      </c>
      <c r="I61" t="s">
        <v>35</v>
      </c>
      <c r="J61" t="s">
        <v>253</v>
      </c>
      <c r="K61">
        <v>3</v>
      </c>
      <c r="L61" t="s">
        <v>21</v>
      </c>
      <c r="M61">
        <v>51</v>
      </c>
      <c r="N61" s="21">
        <f t="shared" si="0"/>
        <v>478.75</v>
      </c>
      <c r="O61" s="21">
        <f t="shared" si="1"/>
        <v>143.625</v>
      </c>
    </row>
    <row r="62" spans="1:15" x14ac:dyDescent="0.3">
      <c r="A62">
        <v>87690</v>
      </c>
      <c r="B62" s="1">
        <v>45390</v>
      </c>
      <c r="C62">
        <v>775</v>
      </c>
      <c r="D62">
        <v>50</v>
      </c>
      <c r="E62" t="s">
        <v>18</v>
      </c>
      <c r="F62" t="s">
        <v>84</v>
      </c>
      <c r="G62">
        <v>5</v>
      </c>
      <c r="H62" s="12">
        <v>82.98</v>
      </c>
      <c r="I62" t="s">
        <v>35</v>
      </c>
      <c r="J62" t="s">
        <v>368</v>
      </c>
      <c r="M62">
        <v>41</v>
      </c>
      <c r="N62" s="21">
        <f t="shared" si="0"/>
        <v>414.90000000000003</v>
      </c>
      <c r="O62" s="21">
        <f t="shared" si="1"/>
        <v>124.47</v>
      </c>
    </row>
    <row r="63" spans="1:15" x14ac:dyDescent="0.3">
      <c r="A63">
        <v>11145</v>
      </c>
      <c r="B63" s="1">
        <v>45391</v>
      </c>
      <c r="C63">
        <v>461</v>
      </c>
      <c r="D63">
        <v>30</v>
      </c>
      <c r="E63" t="s">
        <v>37</v>
      </c>
      <c r="F63" t="s">
        <v>40</v>
      </c>
      <c r="G63">
        <v>1</v>
      </c>
      <c r="H63" s="12">
        <v>38.380000000000003</v>
      </c>
      <c r="I63" t="s">
        <v>35</v>
      </c>
      <c r="J63" t="s">
        <v>62</v>
      </c>
      <c r="K63">
        <v>5</v>
      </c>
      <c r="L63" t="s">
        <v>21</v>
      </c>
      <c r="M63">
        <v>34</v>
      </c>
      <c r="N63" s="21">
        <f t="shared" si="0"/>
        <v>38.380000000000003</v>
      </c>
      <c r="O63" s="21">
        <f t="shared" si="1"/>
        <v>11.514000000000001</v>
      </c>
    </row>
    <row r="64" spans="1:15" x14ac:dyDescent="0.3">
      <c r="A64">
        <v>51971</v>
      </c>
      <c r="B64" s="1">
        <v>45391</v>
      </c>
      <c r="C64">
        <v>990</v>
      </c>
      <c r="D64">
        <v>50</v>
      </c>
      <c r="E64" t="s">
        <v>18</v>
      </c>
      <c r="F64" t="s">
        <v>19</v>
      </c>
      <c r="G64">
        <v>4</v>
      </c>
      <c r="H64" s="12">
        <v>115.36</v>
      </c>
      <c r="I64" t="s">
        <v>26</v>
      </c>
      <c r="J64" t="s">
        <v>571</v>
      </c>
      <c r="L64" t="s">
        <v>17</v>
      </c>
      <c r="M64">
        <v>41</v>
      </c>
      <c r="N64" s="21">
        <f t="shared" si="0"/>
        <v>461.44</v>
      </c>
      <c r="O64" s="21">
        <f t="shared" si="1"/>
        <v>138.43199999999999</v>
      </c>
    </row>
    <row r="65" spans="1:15" x14ac:dyDescent="0.3">
      <c r="A65">
        <v>57960</v>
      </c>
      <c r="B65" s="1">
        <v>45391</v>
      </c>
      <c r="C65">
        <v>951</v>
      </c>
      <c r="D65">
        <v>40</v>
      </c>
      <c r="E65" t="s">
        <v>24</v>
      </c>
      <c r="F65" t="s">
        <v>49</v>
      </c>
      <c r="G65">
        <v>1</v>
      </c>
      <c r="H65" s="12">
        <v>220.22</v>
      </c>
      <c r="I65" t="s">
        <v>26</v>
      </c>
      <c r="J65" t="s">
        <v>665</v>
      </c>
      <c r="K65">
        <v>3</v>
      </c>
      <c r="L65" t="s">
        <v>21</v>
      </c>
      <c r="M65">
        <v>29</v>
      </c>
      <c r="N65" s="21">
        <f t="shared" si="0"/>
        <v>220.22</v>
      </c>
      <c r="O65" s="21">
        <f t="shared" si="1"/>
        <v>66.066000000000003</v>
      </c>
    </row>
    <row r="66" spans="1:15" x14ac:dyDescent="0.3">
      <c r="A66">
        <v>16539</v>
      </c>
      <c r="B66" s="1">
        <v>45392</v>
      </c>
      <c r="C66">
        <v>334</v>
      </c>
      <c r="D66">
        <v>50</v>
      </c>
      <c r="E66" t="s">
        <v>18</v>
      </c>
      <c r="F66" t="s">
        <v>19</v>
      </c>
      <c r="G66">
        <v>3</v>
      </c>
      <c r="H66" s="12">
        <v>474.32</v>
      </c>
      <c r="I66" t="s">
        <v>15</v>
      </c>
      <c r="J66" t="s">
        <v>175</v>
      </c>
      <c r="K66">
        <v>5</v>
      </c>
      <c r="L66" t="s">
        <v>21</v>
      </c>
      <c r="M66">
        <v>21</v>
      </c>
      <c r="N66" s="21">
        <f t="shared" si="0"/>
        <v>1422.96</v>
      </c>
      <c r="O66" s="21">
        <f t="shared" si="1"/>
        <v>426.88799999999998</v>
      </c>
    </row>
    <row r="67" spans="1:15" x14ac:dyDescent="0.3">
      <c r="A67">
        <v>26583</v>
      </c>
      <c r="B67" s="1">
        <v>45392</v>
      </c>
      <c r="C67">
        <v>217</v>
      </c>
      <c r="D67">
        <v>20</v>
      </c>
      <c r="E67" t="s">
        <v>28</v>
      </c>
      <c r="F67" t="s">
        <v>72</v>
      </c>
      <c r="G67">
        <v>4</v>
      </c>
      <c r="H67" s="12">
        <v>43.23</v>
      </c>
      <c r="I67" t="s">
        <v>35</v>
      </c>
      <c r="J67" t="s">
        <v>925</v>
      </c>
      <c r="K67">
        <v>5</v>
      </c>
      <c r="L67" t="s">
        <v>21</v>
      </c>
      <c r="M67">
        <v>60</v>
      </c>
      <c r="N67" s="21">
        <f t="shared" ref="N67:N130" si="2">H67*G67</f>
        <v>172.92</v>
      </c>
      <c r="O67" s="21">
        <f t="shared" ref="O67:O130" si="3">N67*0.3</f>
        <v>51.875999999999998</v>
      </c>
    </row>
    <row r="68" spans="1:15" x14ac:dyDescent="0.3">
      <c r="A68">
        <v>48690</v>
      </c>
      <c r="B68" s="1">
        <v>45393</v>
      </c>
      <c r="C68">
        <v>161</v>
      </c>
      <c r="D68">
        <v>20</v>
      </c>
      <c r="E68" t="s">
        <v>28</v>
      </c>
      <c r="F68" t="s">
        <v>51</v>
      </c>
      <c r="G68">
        <v>3</v>
      </c>
      <c r="H68" s="12">
        <v>139.94999999999999</v>
      </c>
      <c r="I68" t="s">
        <v>26</v>
      </c>
      <c r="J68" t="s">
        <v>94</v>
      </c>
      <c r="K68">
        <v>5</v>
      </c>
      <c r="L68" t="s">
        <v>17</v>
      </c>
      <c r="M68">
        <v>18</v>
      </c>
      <c r="N68" s="21">
        <f t="shared" si="2"/>
        <v>419.84999999999997</v>
      </c>
      <c r="O68" s="21">
        <f t="shared" si="3"/>
        <v>125.95499999999998</v>
      </c>
    </row>
    <row r="69" spans="1:15" x14ac:dyDescent="0.3">
      <c r="A69">
        <v>52835</v>
      </c>
      <c r="B69" s="1">
        <v>45393</v>
      </c>
      <c r="C69">
        <v>159</v>
      </c>
      <c r="D69">
        <v>40</v>
      </c>
      <c r="E69" t="s">
        <v>24</v>
      </c>
      <c r="F69" t="s">
        <v>65</v>
      </c>
      <c r="G69">
        <v>2</v>
      </c>
      <c r="H69" s="12">
        <v>381.5</v>
      </c>
      <c r="I69" t="s">
        <v>35</v>
      </c>
      <c r="J69" t="s">
        <v>160</v>
      </c>
      <c r="K69">
        <v>4</v>
      </c>
      <c r="L69" t="s">
        <v>17</v>
      </c>
      <c r="M69">
        <v>31</v>
      </c>
      <c r="N69" s="21">
        <f t="shared" si="2"/>
        <v>763</v>
      </c>
      <c r="O69" s="21">
        <f t="shared" si="3"/>
        <v>228.9</v>
      </c>
    </row>
    <row r="70" spans="1:15" x14ac:dyDescent="0.3">
      <c r="A70">
        <v>62699</v>
      </c>
      <c r="B70" s="1">
        <v>45393</v>
      </c>
      <c r="C70">
        <v>722</v>
      </c>
      <c r="D70">
        <v>10</v>
      </c>
      <c r="E70" t="s">
        <v>13</v>
      </c>
      <c r="F70" t="s">
        <v>47</v>
      </c>
      <c r="G70">
        <v>4</v>
      </c>
      <c r="H70" s="12">
        <v>19.28</v>
      </c>
      <c r="I70" t="s">
        <v>26</v>
      </c>
      <c r="J70" t="s">
        <v>375</v>
      </c>
      <c r="K70">
        <v>4</v>
      </c>
      <c r="L70" t="s">
        <v>21</v>
      </c>
      <c r="M70">
        <v>36</v>
      </c>
      <c r="N70" s="21">
        <f t="shared" si="2"/>
        <v>77.12</v>
      </c>
      <c r="O70" s="21">
        <f t="shared" si="3"/>
        <v>23.135999999999999</v>
      </c>
    </row>
    <row r="71" spans="1:15" x14ac:dyDescent="0.3">
      <c r="A71">
        <v>52134</v>
      </c>
      <c r="B71" s="1">
        <v>45393</v>
      </c>
      <c r="C71">
        <v>592</v>
      </c>
      <c r="D71">
        <v>50</v>
      </c>
      <c r="E71" t="s">
        <v>18</v>
      </c>
      <c r="F71" t="s">
        <v>87</v>
      </c>
      <c r="G71">
        <v>1</v>
      </c>
      <c r="H71" s="12">
        <v>340.27</v>
      </c>
      <c r="I71" t="s">
        <v>26</v>
      </c>
      <c r="J71" t="s">
        <v>797</v>
      </c>
      <c r="K71">
        <v>1</v>
      </c>
      <c r="L71" t="s">
        <v>21</v>
      </c>
      <c r="M71">
        <v>65</v>
      </c>
      <c r="N71" s="21">
        <f t="shared" si="2"/>
        <v>340.27</v>
      </c>
      <c r="O71" s="21">
        <f t="shared" si="3"/>
        <v>102.08099999999999</v>
      </c>
    </row>
    <row r="72" spans="1:15" x14ac:dyDescent="0.3">
      <c r="A72">
        <v>54710</v>
      </c>
      <c r="B72" s="1">
        <v>45393</v>
      </c>
      <c r="C72">
        <v>343</v>
      </c>
      <c r="D72">
        <v>10</v>
      </c>
      <c r="E72" t="s">
        <v>13</v>
      </c>
      <c r="F72" t="s">
        <v>42</v>
      </c>
      <c r="G72">
        <v>5</v>
      </c>
      <c r="H72" s="12">
        <v>240.37</v>
      </c>
      <c r="I72" t="s">
        <v>15</v>
      </c>
      <c r="J72" t="s">
        <v>855</v>
      </c>
      <c r="K72">
        <v>5</v>
      </c>
      <c r="L72" t="s">
        <v>21</v>
      </c>
      <c r="M72">
        <v>27</v>
      </c>
      <c r="N72" s="21">
        <f t="shared" si="2"/>
        <v>1201.8499999999999</v>
      </c>
      <c r="O72" s="21">
        <f t="shared" si="3"/>
        <v>360.55499999999995</v>
      </c>
    </row>
    <row r="73" spans="1:15" x14ac:dyDescent="0.3">
      <c r="A73">
        <v>48695</v>
      </c>
      <c r="B73" s="1">
        <v>45394</v>
      </c>
      <c r="C73">
        <v>545</v>
      </c>
      <c r="D73">
        <v>30</v>
      </c>
      <c r="E73" t="s">
        <v>37</v>
      </c>
      <c r="F73" t="s">
        <v>40</v>
      </c>
      <c r="G73">
        <v>4</v>
      </c>
      <c r="H73" s="12">
        <v>191.39</v>
      </c>
      <c r="I73" t="s">
        <v>15</v>
      </c>
      <c r="J73" t="s">
        <v>41</v>
      </c>
      <c r="K73">
        <v>5</v>
      </c>
      <c r="L73" t="s">
        <v>17</v>
      </c>
      <c r="M73">
        <v>34</v>
      </c>
      <c r="N73" s="21">
        <f t="shared" si="2"/>
        <v>765.56</v>
      </c>
      <c r="O73" s="21">
        <f t="shared" si="3"/>
        <v>229.66799999999998</v>
      </c>
    </row>
    <row r="74" spans="1:15" x14ac:dyDescent="0.3">
      <c r="A74">
        <v>67405</v>
      </c>
      <c r="B74" s="1">
        <v>45395</v>
      </c>
      <c r="C74">
        <v>183</v>
      </c>
      <c r="D74">
        <v>20</v>
      </c>
      <c r="E74" t="s">
        <v>28</v>
      </c>
      <c r="F74" t="s">
        <v>79</v>
      </c>
      <c r="G74">
        <v>2</v>
      </c>
      <c r="H74" s="12">
        <v>85.31</v>
      </c>
      <c r="I74" t="s">
        <v>26</v>
      </c>
      <c r="J74" t="s">
        <v>726</v>
      </c>
      <c r="K74">
        <v>4</v>
      </c>
      <c r="L74" t="s">
        <v>17</v>
      </c>
      <c r="M74">
        <v>43</v>
      </c>
      <c r="N74" s="21">
        <f t="shared" si="2"/>
        <v>170.62</v>
      </c>
      <c r="O74" s="21">
        <f t="shared" si="3"/>
        <v>51.186</v>
      </c>
    </row>
    <row r="75" spans="1:15" x14ac:dyDescent="0.3">
      <c r="A75">
        <v>23743</v>
      </c>
      <c r="B75" s="1">
        <v>45396</v>
      </c>
      <c r="C75">
        <v>388</v>
      </c>
      <c r="D75">
        <v>40</v>
      </c>
      <c r="E75" t="s">
        <v>24</v>
      </c>
      <c r="F75" t="s">
        <v>49</v>
      </c>
      <c r="G75">
        <v>4</v>
      </c>
      <c r="H75" s="12">
        <v>235.81</v>
      </c>
      <c r="I75" t="s">
        <v>35</v>
      </c>
      <c r="J75" t="s">
        <v>442</v>
      </c>
      <c r="K75">
        <v>5</v>
      </c>
      <c r="L75" t="s">
        <v>21</v>
      </c>
      <c r="M75">
        <v>43</v>
      </c>
      <c r="N75" s="21">
        <f t="shared" si="2"/>
        <v>943.24</v>
      </c>
      <c r="O75" s="21">
        <f t="shared" si="3"/>
        <v>282.97199999999998</v>
      </c>
    </row>
    <row r="76" spans="1:15" x14ac:dyDescent="0.3">
      <c r="A76">
        <v>61935</v>
      </c>
      <c r="B76" s="1">
        <v>45396</v>
      </c>
      <c r="C76">
        <v>484</v>
      </c>
      <c r="D76">
        <v>30</v>
      </c>
      <c r="E76" t="s">
        <v>37</v>
      </c>
      <c r="F76" t="s">
        <v>68</v>
      </c>
      <c r="G76">
        <v>3</v>
      </c>
      <c r="H76" s="12">
        <v>393.51</v>
      </c>
      <c r="I76" t="s">
        <v>26</v>
      </c>
      <c r="J76" t="s">
        <v>471</v>
      </c>
      <c r="K76">
        <v>2</v>
      </c>
      <c r="L76" t="s">
        <v>21</v>
      </c>
      <c r="M76">
        <v>68</v>
      </c>
      <c r="N76" s="21">
        <f t="shared" si="2"/>
        <v>1180.53</v>
      </c>
      <c r="O76" s="21">
        <f t="shared" si="3"/>
        <v>354.15899999999999</v>
      </c>
    </row>
    <row r="77" spans="1:15" x14ac:dyDescent="0.3">
      <c r="A77">
        <v>11455</v>
      </c>
      <c r="B77" s="1">
        <v>45396</v>
      </c>
      <c r="C77">
        <v>374</v>
      </c>
      <c r="D77">
        <v>50</v>
      </c>
      <c r="E77" t="s">
        <v>18</v>
      </c>
      <c r="F77" t="s">
        <v>34</v>
      </c>
      <c r="G77">
        <v>2</v>
      </c>
      <c r="H77" s="12">
        <v>101.7</v>
      </c>
      <c r="I77" t="s">
        <v>26</v>
      </c>
      <c r="J77" t="s">
        <v>816</v>
      </c>
      <c r="K77">
        <v>1</v>
      </c>
      <c r="L77" t="s">
        <v>17</v>
      </c>
      <c r="M77">
        <v>48</v>
      </c>
      <c r="N77" s="21">
        <f t="shared" si="2"/>
        <v>203.4</v>
      </c>
      <c r="O77" s="21">
        <f t="shared" si="3"/>
        <v>61.019999999999996</v>
      </c>
    </row>
    <row r="78" spans="1:15" x14ac:dyDescent="0.3">
      <c r="A78">
        <v>52736</v>
      </c>
      <c r="B78" s="1">
        <v>45397</v>
      </c>
      <c r="C78">
        <v>175</v>
      </c>
      <c r="D78">
        <v>20</v>
      </c>
      <c r="E78" t="s">
        <v>28</v>
      </c>
      <c r="F78" t="s">
        <v>51</v>
      </c>
      <c r="G78">
        <v>2</v>
      </c>
      <c r="H78" s="12">
        <v>167.59</v>
      </c>
      <c r="I78" t="s">
        <v>26</v>
      </c>
      <c r="J78" t="s">
        <v>436</v>
      </c>
      <c r="K78">
        <v>3</v>
      </c>
      <c r="L78" t="s">
        <v>17</v>
      </c>
      <c r="M78">
        <v>49</v>
      </c>
      <c r="N78" s="21">
        <f t="shared" si="2"/>
        <v>335.18</v>
      </c>
      <c r="O78" s="21">
        <f t="shared" si="3"/>
        <v>100.554</v>
      </c>
    </row>
    <row r="79" spans="1:15" x14ac:dyDescent="0.3">
      <c r="A79">
        <v>81790</v>
      </c>
      <c r="B79" s="1">
        <v>45397</v>
      </c>
      <c r="C79">
        <v>854</v>
      </c>
      <c r="D79">
        <v>10</v>
      </c>
      <c r="E79" t="s">
        <v>13</v>
      </c>
      <c r="F79" t="s">
        <v>14</v>
      </c>
      <c r="G79">
        <v>5</v>
      </c>
      <c r="H79" s="12">
        <v>372.39</v>
      </c>
      <c r="I79" t="s">
        <v>15</v>
      </c>
      <c r="J79" t="s">
        <v>907</v>
      </c>
      <c r="K79">
        <v>5</v>
      </c>
      <c r="M79">
        <v>74</v>
      </c>
      <c r="N79" s="21">
        <f t="shared" si="2"/>
        <v>1861.9499999999998</v>
      </c>
      <c r="O79" s="21">
        <f t="shared" si="3"/>
        <v>558.58499999999992</v>
      </c>
    </row>
    <row r="80" spans="1:15" x14ac:dyDescent="0.3">
      <c r="A80">
        <v>36759</v>
      </c>
      <c r="B80" s="1">
        <v>45398</v>
      </c>
      <c r="C80">
        <v>952</v>
      </c>
      <c r="D80">
        <v>40</v>
      </c>
      <c r="E80" t="s">
        <v>24</v>
      </c>
      <c r="F80" t="s">
        <v>63</v>
      </c>
      <c r="G80">
        <v>5</v>
      </c>
      <c r="H80" s="12">
        <v>155.25</v>
      </c>
      <c r="I80" t="s">
        <v>35</v>
      </c>
      <c r="J80" t="s">
        <v>735</v>
      </c>
      <c r="L80" t="s">
        <v>17</v>
      </c>
      <c r="M80">
        <v>43</v>
      </c>
      <c r="N80" s="21">
        <f t="shared" si="2"/>
        <v>776.25</v>
      </c>
      <c r="O80" s="21">
        <f t="shared" si="3"/>
        <v>232.875</v>
      </c>
    </row>
    <row r="81" spans="1:15" x14ac:dyDescent="0.3">
      <c r="A81">
        <v>41166</v>
      </c>
      <c r="B81" s="1">
        <v>45399</v>
      </c>
      <c r="C81">
        <v>783</v>
      </c>
      <c r="D81">
        <v>50</v>
      </c>
      <c r="E81" t="s">
        <v>18</v>
      </c>
      <c r="F81" t="s">
        <v>34</v>
      </c>
      <c r="G81">
        <v>5</v>
      </c>
      <c r="H81" s="12">
        <v>51.74</v>
      </c>
      <c r="I81" t="s">
        <v>15</v>
      </c>
      <c r="J81" t="s">
        <v>172</v>
      </c>
      <c r="L81" t="s">
        <v>17</v>
      </c>
      <c r="M81">
        <v>61</v>
      </c>
      <c r="N81" s="21">
        <f t="shared" si="2"/>
        <v>258.7</v>
      </c>
      <c r="O81" s="21">
        <f t="shared" si="3"/>
        <v>77.61</v>
      </c>
    </row>
    <row r="82" spans="1:15" x14ac:dyDescent="0.3">
      <c r="A82">
        <v>21004</v>
      </c>
      <c r="B82" s="1">
        <v>45399</v>
      </c>
      <c r="C82">
        <v>843</v>
      </c>
      <c r="D82">
        <v>30</v>
      </c>
      <c r="E82" t="s">
        <v>37</v>
      </c>
      <c r="F82" t="s">
        <v>38</v>
      </c>
      <c r="G82">
        <v>5</v>
      </c>
      <c r="H82" s="12">
        <v>171.55</v>
      </c>
      <c r="I82" t="s">
        <v>35</v>
      </c>
      <c r="J82" t="s">
        <v>289</v>
      </c>
      <c r="K82">
        <v>5</v>
      </c>
      <c r="L82" t="s">
        <v>21</v>
      </c>
      <c r="M82">
        <v>30</v>
      </c>
      <c r="N82" s="21">
        <f t="shared" si="2"/>
        <v>857.75</v>
      </c>
      <c r="O82" s="21">
        <f t="shared" si="3"/>
        <v>257.32499999999999</v>
      </c>
    </row>
    <row r="83" spans="1:15" x14ac:dyDescent="0.3">
      <c r="A83">
        <v>29895</v>
      </c>
      <c r="B83" s="1">
        <v>45399</v>
      </c>
      <c r="C83">
        <v>150</v>
      </c>
      <c r="D83">
        <v>40</v>
      </c>
      <c r="E83" t="s">
        <v>24</v>
      </c>
      <c r="F83" t="s">
        <v>65</v>
      </c>
      <c r="G83">
        <v>3</v>
      </c>
      <c r="H83" s="12">
        <v>211.29</v>
      </c>
      <c r="I83" t="s">
        <v>26</v>
      </c>
      <c r="J83" t="s">
        <v>342</v>
      </c>
      <c r="K83">
        <v>5</v>
      </c>
      <c r="L83" t="s">
        <v>21</v>
      </c>
      <c r="M83">
        <v>47</v>
      </c>
      <c r="N83" s="21">
        <f t="shared" si="2"/>
        <v>633.87</v>
      </c>
      <c r="O83" s="21">
        <f t="shared" si="3"/>
        <v>190.161</v>
      </c>
    </row>
    <row r="84" spans="1:15" x14ac:dyDescent="0.3">
      <c r="A84">
        <v>90910</v>
      </c>
      <c r="B84" s="1">
        <v>45399</v>
      </c>
      <c r="C84">
        <v>280</v>
      </c>
      <c r="D84">
        <v>20</v>
      </c>
      <c r="E84" t="s">
        <v>28</v>
      </c>
      <c r="F84" t="s">
        <v>29</v>
      </c>
      <c r="G84">
        <v>3</v>
      </c>
      <c r="H84" s="12">
        <v>300.18</v>
      </c>
      <c r="I84" t="s">
        <v>26</v>
      </c>
      <c r="J84" t="s">
        <v>495</v>
      </c>
      <c r="L84" t="s">
        <v>21</v>
      </c>
      <c r="M84">
        <v>24</v>
      </c>
      <c r="N84" s="21">
        <f t="shared" si="2"/>
        <v>900.54</v>
      </c>
      <c r="O84" s="21">
        <f t="shared" si="3"/>
        <v>270.16199999999998</v>
      </c>
    </row>
    <row r="85" spans="1:15" x14ac:dyDescent="0.3">
      <c r="A85">
        <v>58481</v>
      </c>
      <c r="B85" s="1">
        <v>45400</v>
      </c>
      <c r="C85">
        <v>128</v>
      </c>
      <c r="D85">
        <v>50</v>
      </c>
      <c r="E85" t="s">
        <v>18</v>
      </c>
      <c r="F85" t="s">
        <v>34</v>
      </c>
      <c r="G85">
        <v>4</v>
      </c>
      <c r="H85" s="12">
        <v>99.56</v>
      </c>
      <c r="I85" t="s">
        <v>35</v>
      </c>
      <c r="J85" t="s">
        <v>808</v>
      </c>
      <c r="K85">
        <v>5</v>
      </c>
      <c r="M85">
        <v>57</v>
      </c>
      <c r="N85" s="21">
        <f t="shared" si="2"/>
        <v>398.24</v>
      </c>
      <c r="O85" s="21">
        <f t="shared" si="3"/>
        <v>119.47199999999999</v>
      </c>
    </row>
    <row r="86" spans="1:15" x14ac:dyDescent="0.3">
      <c r="A86">
        <v>22360</v>
      </c>
      <c r="B86" s="1">
        <v>45401</v>
      </c>
      <c r="C86">
        <v>766</v>
      </c>
      <c r="D86">
        <v>10</v>
      </c>
      <c r="E86" t="s">
        <v>13</v>
      </c>
      <c r="F86" t="s">
        <v>47</v>
      </c>
      <c r="G86">
        <v>3</v>
      </c>
      <c r="H86" s="12">
        <v>192.92</v>
      </c>
      <c r="I86" t="s">
        <v>15</v>
      </c>
      <c r="J86" t="s">
        <v>501</v>
      </c>
      <c r="K86">
        <v>4</v>
      </c>
      <c r="L86" t="s">
        <v>21</v>
      </c>
      <c r="M86">
        <v>68</v>
      </c>
      <c r="N86" s="21">
        <f t="shared" si="2"/>
        <v>578.76</v>
      </c>
      <c r="O86" s="21">
        <f t="shared" si="3"/>
        <v>173.62799999999999</v>
      </c>
    </row>
    <row r="87" spans="1:15" x14ac:dyDescent="0.3">
      <c r="A87">
        <v>60294</v>
      </c>
      <c r="B87" s="1">
        <v>45401</v>
      </c>
      <c r="C87">
        <v>486</v>
      </c>
      <c r="D87">
        <v>30</v>
      </c>
      <c r="E87" t="s">
        <v>37</v>
      </c>
      <c r="F87" t="s">
        <v>40</v>
      </c>
      <c r="G87">
        <v>4</v>
      </c>
      <c r="H87" s="12">
        <v>150.77000000000001</v>
      </c>
      <c r="I87" t="s">
        <v>26</v>
      </c>
      <c r="J87" t="s">
        <v>806</v>
      </c>
      <c r="K87">
        <v>5</v>
      </c>
      <c r="L87" t="s">
        <v>17</v>
      </c>
      <c r="M87">
        <v>26</v>
      </c>
      <c r="N87" s="21">
        <f t="shared" si="2"/>
        <v>603.08000000000004</v>
      </c>
      <c r="O87" s="21">
        <f t="shared" si="3"/>
        <v>180.92400000000001</v>
      </c>
    </row>
    <row r="88" spans="1:15" x14ac:dyDescent="0.3">
      <c r="A88">
        <v>72324</v>
      </c>
      <c r="B88" s="1">
        <v>45401</v>
      </c>
      <c r="C88">
        <v>735</v>
      </c>
      <c r="D88">
        <v>40</v>
      </c>
      <c r="E88" t="s">
        <v>24</v>
      </c>
      <c r="F88" t="s">
        <v>49</v>
      </c>
      <c r="G88">
        <v>1</v>
      </c>
      <c r="H88" s="12">
        <v>267.64999999999998</v>
      </c>
      <c r="I88" t="s">
        <v>35</v>
      </c>
      <c r="J88" t="s">
        <v>877</v>
      </c>
      <c r="K88">
        <v>4</v>
      </c>
      <c r="L88" t="s">
        <v>21</v>
      </c>
      <c r="M88">
        <v>64</v>
      </c>
      <c r="N88" s="21">
        <f t="shared" si="2"/>
        <v>267.64999999999998</v>
      </c>
      <c r="O88" s="21">
        <f t="shared" si="3"/>
        <v>80.294999999999987</v>
      </c>
    </row>
    <row r="89" spans="1:15" x14ac:dyDescent="0.3">
      <c r="A89">
        <v>87478</v>
      </c>
      <c r="B89" s="1">
        <v>45401</v>
      </c>
      <c r="C89">
        <v>788</v>
      </c>
      <c r="D89">
        <v>30</v>
      </c>
      <c r="E89" t="s">
        <v>37</v>
      </c>
      <c r="F89" t="s">
        <v>68</v>
      </c>
      <c r="G89">
        <v>1</v>
      </c>
      <c r="H89" s="12">
        <v>22.21</v>
      </c>
      <c r="I89" t="s">
        <v>26</v>
      </c>
      <c r="J89" t="s">
        <v>942</v>
      </c>
      <c r="K89">
        <v>4</v>
      </c>
      <c r="L89" t="s">
        <v>17</v>
      </c>
      <c r="M89">
        <v>50</v>
      </c>
      <c r="N89" s="21">
        <f t="shared" si="2"/>
        <v>22.21</v>
      </c>
      <c r="O89" s="21">
        <f t="shared" si="3"/>
        <v>6.6630000000000003</v>
      </c>
    </row>
    <row r="90" spans="1:15" x14ac:dyDescent="0.3">
      <c r="A90">
        <v>89789</v>
      </c>
      <c r="B90" s="1">
        <v>45401</v>
      </c>
      <c r="C90">
        <v>953</v>
      </c>
      <c r="D90">
        <v>30</v>
      </c>
      <c r="E90" t="s">
        <v>37</v>
      </c>
      <c r="F90" t="s">
        <v>95</v>
      </c>
      <c r="G90">
        <v>4</v>
      </c>
      <c r="H90" s="12">
        <v>204.06</v>
      </c>
      <c r="I90" t="s">
        <v>35</v>
      </c>
      <c r="J90" t="s">
        <v>966</v>
      </c>
      <c r="K90">
        <v>5</v>
      </c>
      <c r="L90" t="s">
        <v>21</v>
      </c>
      <c r="M90">
        <v>71</v>
      </c>
      <c r="N90" s="21">
        <f t="shared" si="2"/>
        <v>816.24</v>
      </c>
      <c r="O90" s="21">
        <f t="shared" si="3"/>
        <v>244.87199999999999</v>
      </c>
    </row>
    <row r="91" spans="1:15" x14ac:dyDescent="0.3">
      <c r="A91">
        <v>32363</v>
      </c>
      <c r="B91" s="1">
        <v>45401</v>
      </c>
      <c r="C91">
        <v>157</v>
      </c>
      <c r="D91">
        <v>50</v>
      </c>
      <c r="E91" t="s">
        <v>18</v>
      </c>
      <c r="F91" t="s">
        <v>22</v>
      </c>
      <c r="G91">
        <v>1</v>
      </c>
      <c r="H91" s="12">
        <v>60.16</v>
      </c>
      <c r="I91" t="s">
        <v>35</v>
      </c>
      <c r="J91" t="s">
        <v>984</v>
      </c>
      <c r="K91">
        <v>3</v>
      </c>
      <c r="L91" t="s">
        <v>21</v>
      </c>
      <c r="M91">
        <v>61</v>
      </c>
      <c r="N91" s="21">
        <f t="shared" si="2"/>
        <v>60.16</v>
      </c>
      <c r="O91" s="21">
        <f t="shared" si="3"/>
        <v>18.047999999999998</v>
      </c>
    </row>
    <row r="92" spans="1:15" x14ac:dyDescent="0.3">
      <c r="A92">
        <v>61065</v>
      </c>
      <c r="B92" s="1">
        <v>45402</v>
      </c>
      <c r="C92">
        <v>988</v>
      </c>
      <c r="D92">
        <v>10</v>
      </c>
      <c r="E92" t="s">
        <v>13</v>
      </c>
      <c r="F92" t="s">
        <v>47</v>
      </c>
      <c r="G92">
        <v>1</v>
      </c>
      <c r="H92" s="12">
        <v>465.66</v>
      </c>
      <c r="I92" t="s">
        <v>35</v>
      </c>
      <c r="J92" t="s">
        <v>492</v>
      </c>
      <c r="K92">
        <v>1</v>
      </c>
      <c r="L92" t="s">
        <v>21</v>
      </c>
      <c r="M92">
        <v>25</v>
      </c>
      <c r="N92" s="21">
        <f t="shared" si="2"/>
        <v>465.66</v>
      </c>
      <c r="O92" s="21">
        <f t="shared" si="3"/>
        <v>139.69800000000001</v>
      </c>
    </row>
    <row r="93" spans="1:15" x14ac:dyDescent="0.3">
      <c r="A93">
        <v>49701</v>
      </c>
      <c r="B93" s="1">
        <v>45403</v>
      </c>
      <c r="C93">
        <v>684</v>
      </c>
      <c r="D93">
        <v>40</v>
      </c>
      <c r="E93" t="s">
        <v>24</v>
      </c>
      <c r="F93" t="s">
        <v>25</v>
      </c>
      <c r="G93">
        <v>1</v>
      </c>
      <c r="H93" s="12">
        <v>107.79</v>
      </c>
      <c r="I93" t="s">
        <v>26</v>
      </c>
      <c r="J93" t="s">
        <v>109</v>
      </c>
      <c r="K93">
        <v>3</v>
      </c>
      <c r="L93" t="s">
        <v>17</v>
      </c>
      <c r="M93">
        <v>63</v>
      </c>
      <c r="N93" s="21">
        <f t="shared" si="2"/>
        <v>107.79</v>
      </c>
      <c r="O93" s="21">
        <f t="shared" si="3"/>
        <v>32.337000000000003</v>
      </c>
    </row>
    <row r="94" spans="1:15" x14ac:dyDescent="0.3">
      <c r="A94">
        <v>49765</v>
      </c>
      <c r="B94" s="1">
        <v>45403</v>
      </c>
      <c r="C94">
        <v>389</v>
      </c>
      <c r="D94">
        <v>40</v>
      </c>
      <c r="E94" t="s">
        <v>24</v>
      </c>
      <c r="F94" t="s">
        <v>65</v>
      </c>
      <c r="G94">
        <v>3</v>
      </c>
      <c r="H94" s="12">
        <v>385.37</v>
      </c>
      <c r="I94" t="s">
        <v>15</v>
      </c>
      <c r="J94" t="s">
        <v>420</v>
      </c>
      <c r="K94">
        <v>1</v>
      </c>
      <c r="L94" t="s">
        <v>21</v>
      </c>
      <c r="M94">
        <v>35</v>
      </c>
      <c r="N94" s="21">
        <f t="shared" si="2"/>
        <v>1156.1100000000001</v>
      </c>
      <c r="O94" s="21">
        <f t="shared" si="3"/>
        <v>346.83300000000003</v>
      </c>
    </row>
    <row r="95" spans="1:15" x14ac:dyDescent="0.3">
      <c r="A95">
        <v>13591</v>
      </c>
      <c r="B95" s="1">
        <v>45403</v>
      </c>
      <c r="C95">
        <v>884</v>
      </c>
      <c r="D95">
        <v>30</v>
      </c>
      <c r="E95" t="s">
        <v>37</v>
      </c>
      <c r="F95" t="s">
        <v>38</v>
      </c>
      <c r="G95">
        <v>1</v>
      </c>
      <c r="H95" s="12">
        <v>394.06</v>
      </c>
      <c r="I95" t="s">
        <v>15</v>
      </c>
      <c r="J95" t="s">
        <v>537</v>
      </c>
      <c r="K95">
        <v>4</v>
      </c>
      <c r="L95" t="s">
        <v>21</v>
      </c>
      <c r="M95">
        <v>18</v>
      </c>
      <c r="N95" s="21">
        <f t="shared" si="2"/>
        <v>394.06</v>
      </c>
      <c r="O95" s="21">
        <f t="shared" si="3"/>
        <v>118.21799999999999</v>
      </c>
    </row>
    <row r="96" spans="1:15" x14ac:dyDescent="0.3">
      <c r="A96">
        <v>70242</v>
      </c>
      <c r="B96" s="1">
        <v>45403</v>
      </c>
      <c r="C96">
        <v>732</v>
      </c>
      <c r="D96">
        <v>50</v>
      </c>
      <c r="E96" t="s">
        <v>18</v>
      </c>
      <c r="F96" t="s">
        <v>84</v>
      </c>
      <c r="G96">
        <v>2</v>
      </c>
      <c r="H96" s="12">
        <v>325.89</v>
      </c>
      <c r="I96" t="s">
        <v>15</v>
      </c>
      <c r="J96" t="s">
        <v>749</v>
      </c>
      <c r="K96">
        <v>2</v>
      </c>
      <c r="L96" t="s">
        <v>21</v>
      </c>
      <c r="M96">
        <v>27</v>
      </c>
      <c r="N96" s="21">
        <f t="shared" si="2"/>
        <v>651.78</v>
      </c>
      <c r="O96" s="21">
        <f t="shared" si="3"/>
        <v>195.53399999999999</v>
      </c>
    </row>
    <row r="97" spans="1:15" x14ac:dyDescent="0.3">
      <c r="A97">
        <v>38808</v>
      </c>
      <c r="B97" s="1">
        <v>45403</v>
      </c>
      <c r="C97">
        <v>928</v>
      </c>
      <c r="D97">
        <v>20</v>
      </c>
      <c r="E97" t="s">
        <v>28</v>
      </c>
      <c r="F97" t="s">
        <v>79</v>
      </c>
      <c r="G97">
        <v>2</v>
      </c>
      <c r="H97" s="12">
        <v>313.67</v>
      </c>
      <c r="I97" t="s">
        <v>26</v>
      </c>
      <c r="J97" t="s">
        <v>872</v>
      </c>
      <c r="K97">
        <v>5</v>
      </c>
      <c r="L97" t="s">
        <v>21</v>
      </c>
      <c r="M97">
        <v>73</v>
      </c>
      <c r="N97" s="21">
        <f t="shared" si="2"/>
        <v>627.34</v>
      </c>
      <c r="O97" s="21">
        <f t="shared" si="3"/>
        <v>188.202</v>
      </c>
    </row>
    <row r="98" spans="1:15" x14ac:dyDescent="0.3">
      <c r="A98">
        <v>10792</v>
      </c>
      <c r="B98" s="1">
        <v>45403</v>
      </c>
      <c r="C98">
        <v>898</v>
      </c>
      <c r="D98">
        <v>50</v>
      </c>
      <c r="E98" t="s">
        <v>18</v>
      </c>
      <c r="F98" t="s">
        <v>84</v>
      </c>
      <c r="G98">
        <v>2</v>
      </c>
      <c r="H98" s="12">
        <v>31.51</v>
      </c>
      <c r="I98" t="s">
        <v>15</v>
      </c>
      <c r="J98" t="s">
        <v>946</v>
      </c>
      <c r="K98">
        <v>5</v>
      </c>
      <c r="L98" t="s">
        <v>17</v>
      </c>
      <c r="M98">
        <v>49</v>
      </c>
      <c r="N98" s="21">
        <f t="shared" si="2"/>
        <v>63.02</v>
      </c>
      <c r="O98" s="21">
        <f t="shared" si="3"/>
        <v>18.905999999999999</v>
      </c>
    </row>
    <row r="99" spans="1:15" x14ac:dyDescent="0.3">
      <c r="A99">
        <v>15676</v>
      </c>
      <c r="B99" s="1">
        <v>45404</v>
      </c>
      <c r="C99">
        <v>649</v>
      </c>
      <c r="D99">
        <v>40</v>
      </c>
      <c r="E99" t="s">
        <v>24</v>
      </c>
      <c r="F99" t="s">
        <v>65</v>
      </c>
      <c r="G99">
        <v>3</v>
      </c>
      <c r="H99" s="12">
        <v>355.78</v>
      </c>
      <c r="I99" t="s">
        <v>35</v>
      </c>
      <c r="J99" t="s">
        <v>102</v>
      </c>
      <c r="L99" t="s">
        <v>21</v>
      </c>
      <c r="M99">
        <v>72</v>
      </c>
      <c r="N99" s="21">
        <f t="shared" si="2"/>
        <v>1067.3399999999999</v>
      </c>
      <c r="O99" s="21">
        <f t="shared" si="3"/>
        <v>320.20199999999994</v>
      </c>
    </row>
    <row r="100" spans="1:15" x14ac:dyDescent="0.3">
      <c r="A100">
        <v>69990</v>
      </c>
      <c r="B100" s="1">
        <v>45404</v>
      </c>
      <c r="C100">
        <v>839</v>
      </c>
      <c r="D100">
        <v>20</v>
      </c>
      <c r="E100" t="s">
        <v>28</v>
      </c>
      <c r="F100" t="s">
        <v>51</v>
      </c>
      <c r="G100">
        <v>2</v>
      </c>
      <c r="H100" s="12">
        <v>265.33999999999997</v>
      </c>
      <c r="I100" t="s">
        <v>35</v>
      </c>
      <c r="J100" t="s">
        <v>469</v>
      </c>
      <c r="K100">
        <v>3</v>
      </c>
      <c r="L100" t="s">
        <v>21</v>
      </c>
      <c r="M100">
        <v>49</v>
      </c>
      <c r="N100" s="21">
        <f t="shared" si="2"/>
        <v>530.67999999999995</v>
      </c>
      <c r="O100" s="21">
        <f t="shared" si="3"/>
        <v>159.20399999999998</v>
      </c>
    </row>
    <row r="101" spans="1:15" x14ac:dyDescent="0.3">
      <c r="A101">
        <v>35822</v>
      </c>
      <c r="B101" s="1">
        <v>45404</v>
      </c>
      <c r="C101">
        <v>748</v>
      </c>
      <c r="D101">
        <v>50</v>
      </c>
      <c r="E101" t="s">
        <v>18</v>
      </c>
      <c r="F101" t="s">
        <v>87</v>
      </c>
      <c r="G101">
        <v>1</v>
      </c>
      <c r="H101" s="12">
        <v>473.99</v>
      </c>
      <c r="I101" t="s">
        <v>26</v>
      </c>
      <c r="J101" t="s">
        <v>656</v>
      </c>
      <c r="K101">
        <v>5</v>
      </c>
      <c r="L101" t="s">
        <v>21</v>
      </c>
      <c r="M101">
        <v>57</v>
      </c>
      <c r="N101" s="21">
        <f t="shared" si="2"/>
        <v>473.99</v>
      </c>
      <c r="O101" s="21">
        <f t="shared" si="3"/>
        <v>142.197</v>
      </c>
    </row>
    <row r="102" spans="1:15" x14ac:dyDescent="0.3">
      <c r="A102">
        <v>63919</v>
      </c>
      <c r="B102" s="1">
        <v>45405</v>
      </c>
      <c r="C102">
        <v>209</v>
      </c>
      <c r="D102">
        <v>40</v>
      </c>
      <c r="E102" t="s">
        <v>24</v>
      </c>
      <c r="F102" t="s">
        <v>49</v>
      </c>
      <c r="G102">
        <v>3</v>
      </c>
      <c r="H102" s="12">
        <v>12.89</v>
      </c>
      <c r="I102" t="s">
        <v>26</v>
      </c>
      <c r="J102" t="s">
        <v>137</v>
      </c>
      <c r="K102">
        <v>2</v>
      </c>
      <c r="L102" t="s">
        <v>21</v>
      </c>
      <c r="M102">
        <v>54</v>
      </c>
      <c r="N102" s="21">
        <f t="shared" si="2"/>
        <v>38.67</v>
      </c>
      <c r="O102" s="21">
        <f t="shared" si="3"/>
        <v>11.601000000000001</v>
      </c>
    </row>
    <row r="103" spans="1:15" x14ac:dyDescent="0.3">
      <c r="A103">
        <v>71490</v>
      </c>
      <c r="B103" s="1">
        <v>45405</v>
      </c>
      <c r="C103">
        <v>364</v>
      </c>
      <c r="D103">
        <v>40</v>
      </c>
      <c r="E103" t="s">
        <v>24</v>
      </c>
      <c r="F103" t="s">
        <v>65</v>
      </c>
      <c r="G103">
        <v>1</v>
      </c>
      <c r="H103" s="12">
        <v>195.85</v>
      </c>
      <c r="I103" t="s">
        <v>15</v>
      </c>
      <c r="J103" t="s">
        <v>418</v>
      </c>
      <c r="K103">
        <v>1</v>
      </c>
      <c r="L103" t="s">
        <v>21</v>
      </c>
      <c r="M103">
        <v>45</v>
      </c>
      <c r="N103" s="21">
        <f t="shared" si="2"/>
        <v>195.85</v>
      </c>
      <c r="O103" s="21">
        <f t="shared" si="3"/>
        <v>58.754999999999995</v>
      </c>
    </row>
    <row r="104" spans="1:15" x14ac:dyDescent="0.3">
      <c r="A104">
        <v>10679</v>
      </c>
      <c r="B104" s="1">
        <v>45405</v>
      </c>
      <c r="C104">
        <v>819</v>
      </c>
      <c r="D104">
        <v>10</v>
      </c>
      <c r="E104" t="s">
        <v>13</v>
      </c>
      <c r="F104" t="s">
        <v>47</v>
      </c>
      <c r="G104">
        <v>4</v>
      </c>
      <c r="H104" s="12">
        <v>192.51</v>
      </c>
      <c r="I104" t="s">
        <v>35</v>
      </c>
      <c r="J104" t="s">
        <v>640</v>
      </c>
      <c r="K104">
        <v>4</v>
      </c>
      <c r="M104">
        <v>53</v>
      </c>
      <c r="N104" s="21">
        <f t="shared" si="2"/>
        <v>770.04</v>
      </c>
      <c r="O104" s="21">
        <f t="shared" si="3"/>
        <v>231.01199999999997</v>
      </c>
    </row>
    <row r="105" spans="1:15" x14ac:dyDescent="0.3">
      <c r="A105">
        <v>82764</v>
      </c>
      <c r="B105" s="1">
        <v>45405</v>
      </c>
      <c r="C105">
        <v>763</v>
      </c>
      <c r="D105">
        <v>10</v>
      </c>
      <c r="E105" t="s">
        <v>13</v>
      </c>
      <c r="F105" t="s">
        <v>14</v>
      </c>
      <c r="G105">
        <v>1</v>
      </c>
      <c r="H105" s="12">
        <v>317.08</v>
      </c>
      <c r="I105" t="s">
        <v>15</v>
      </c>
      <c r="J105" t="s">
        <v>667</v>
      </c>
      <c r="K105">
        <v>1</v>
      </c>
      <c r="L105" t="s">
        <v>17</v>
      </c>
      <c r="M105">
        <v>37</v>
      </c>
      <c r="N105" s="21">
        <f t="shared" si="2"/>
        <v>317.08</v>
      </c>
      <c r="O105" s="21">
        <f t="shared" si="3"/>
        <v>95.123999999999995</v>
      </c>
    </row>
    <row r="106" spans="1:15" x14ac:dyDescent="0.3">
      <c r="A106">
        <v>93989</v>
      </c>
      <c r="B106" s="1">
        <v>45407</v>
      </c>
      <c r="C106">
        <v>573</v>
      </c>
      <c r="D106">
        <v>50</v>
      </c>
      <c r="E106" t="s">
        <v>18</v>
      </c>
      <c r="F106" t="s">
        <v>84</v>
      </c>
      <c r="G106">
        <v>5</v>
      </c>
      <c r="H106" s="12">
        <v>85.85</v>
      </c>
      <c r="I106" t="s">
        <v>26</v>
      </c>
      <c r="J106" t="s">
        <v>85</v>
      </c>
      <c r="K106">
        <v>1</v>
      </c>
      <c r="L106" t="s">
        <v>21</v>
      </c>
      <c r="M106">
        <v>70</v>
      </c>
      <c r="N106" s="21">
        <f t="shared" si="2"/>
        <v>429.25</v>
      </c>
      <c r="O106" s="21">
        <f t="shared" si="3"/>
        <v>128.77500000000001</v>
      </c>
    </row>
    <row r="107" spans="1:15" x14ac:dyDescent="0.3">
      <c r="A107">
        <v>93663</v>
      </c>
      <c r="B107" s="1">
        <v>45407</v>
      </c>
      <c r="C107">
        <v>482</v>
      </c>
      <c r="D107">
        <v>10</v>
      </c>
      <c r="E107" t="s">
        <v>13</v>
      </c>
      <c r="F107" t="s">
        <v>42</v>
      </c>
      <c r="G107">
        <v>1</v>
      </c>
      <c r="H107" s="12">
        <v>297.2</v>
      </c>
      <c r="I107" t="s">
        <v>15</v>
      </c>
      <c r="J107" t="s">
        <v>576</v>
      </c>
      <c r="L107" t="s">
        <v>21</v>
      </c>
      <c r="M107">
        <v>53</v>
      </c>
      <c r="N107" s="21">
        <f t="shared" si="2"/>
        <v>297.2</v>
      </c>
      <c r="O107" s="21">
        <f t="shared" si="3"/>
        <v>89.16</v>
      </c>
    </row>
    <row r="108" spans="1:15" x14ac:dyDescent="0.3">
      <c r="A108">
        <v>99272</v>
      </c>
      <c r="B108" s="1">
        <v>45408</v>
      </c>
      <c r="C108">
        <v>847</v>
      </c>
      <c r="D108">
        <v>20</v>
      </c>
      <c r="E108" t="s">
        <v>28</v>
      </c>
      <c r="F108" t="s">
        <v>77</v>
      </c>
      <c r="G108">
        <v>3</v>
      </c>
      <c r="H108" s="12">
        <v>40.92</v>
      </c>
      <c r="I108" t="s">
        <v>26</v>
      </c>
      <c r="J108" t="s">
        <v>320</v>
      </c>
      <c r="L108" t="s">
        <v>21</v>
      </c>
      <c r="M108">
        <v>66</v>
      </c>
      <c r="N108" s="21">
        <f t="shared" si="2"/>
        <v>122.76</v>
      </c>
      <c r="O108" s="21">
        <f t="shared" si="3"/>
        <v>36.828000000000003</v>
      </c>
    </row>
    <row r="109" spans="1:15" x14ac:dyDescent="0.3">
      <c r="A109">
        <v>28381</v>
      </c>
      <c r="B109" s="1">
        <v>45408</v>
      </c>
      <c r="C109">
        <v>973</v>
      </c>
      <c r="D109">
        <v>30</v>
      </c>
      <c r="E109" t="s">
        <v>37</v>
      </c>
      <c r="F109" t="s">
        <v>38</v>
      </c>
      <c r="G109">
        <v>1</v>
      </c>
      <c r="H109" s="12">
        <v>324.51</v>
      </c>
      <c r="I109" t="s">
        <v>26</v>
      </c>
      <c r="J109" t="s">
        <v>616</v>
      </c>
      <c r="L109" t="s">
        <v>17</v>
      </c>
      <c r="M109">
        <v>35</v>
      </c>
      <c r="N109" s="21">
        <f t="shared" si="2"/>
        <v>324.51</v>
      </c>
      <c r="O109" s="21">
        <f t="shared" si="3"/>
        <v>97.352999999999994</v>
      </c>
    </row>
    <row r="110" spans="1:15" x14ac:dyDescent="0.3">
      <c r="A110">
        <v>43995</v>
      </c>
      <c r="B110" s="1">
        <v>45408</v>
      </c>
      <c r="C110">
        <v>537</v>
      </c>
      <c r="D110">
        <v>40</v>
      </c>
      <c r="E110" t="s">
        <v>24</v>
      </c>
      <c r="F110" t="s">
        <v>63</v>
      </c>
      <c r="G110">
        <v>4</v>
      </c>
      <c r="H110" s="12">
        <v>375.98</v>
      </c>
      <c r="I110" t="s">
        <v>15</v>
      </c>
      <c r="J110" t="s">
        <v>738</v>
      </c>
      <c r="L110" t="s">
        <v>17</v>
      </c>
      <c r="M110">
        <v>62</v>
      </c>
      <c r="N110" s="21">
        <f t="shared" si="2"/>
        <v>1503.92</v>
      </c>
      <c r="O110" s="21">
        <f t="shared" si="3"/>
        <v>451.17599999999999</v>
      </c>
    </row>
    <row r="111" spans="1:15" x14ac:dyDescent="0.3">
      <c r="A111">
        <v>19327</v>
      </c>
      <c r="B111" s="1">
        <v>45408</v>
      </c>
      <c r="C111">
        <v>454</v>
      </c>
      <c r="D111">
        <v>50</v>
      </c>
      <c r="E111" t="s">
        <v>18</v>
      </c>
      <c r="F111" t="s">
        <v>19</v>
      </c>
      <c r="G111">
        <v>3</v>
      </c>
      <c r="H111" s="12">
        <v>334.71</v>
      </c>
      <c r="I111" t="s">
        <v>35</v>
      </c>
      <c r="J111" t="s">
        <v>259</v>
      </c>
      <c r="K111">
        <v>5</v>
      </c>
      <c r="L111" t="s">
        <v>17</v>
      </c>
      <c r="M111">
        <v>26</v>
      </c>
      <c r="N111" s="21">
        <f t="shared" si="2"/>
        <v>1004.1299999999999</v>
      </c>
      <c r="O111" s="21">
        <f t="shared" si="3"/>
        <v>301.23899999999998</v>
      </c>
    </row>
    <row r="112" spans="1:15" x14ac:dyDescent="0.3">
      <c r="A112">
        <v>45270</v>
      </c>
      <c r="B112" s="1">
        <v>45408</v>
      </c>
      <c r="C112">
        <v>685</v>
      </c>
      <c r="D112">
        <v>40</v>
      </c>
      <c r="E112" t="s">
        <v>24</v>
      </c>
      <c r="F112" t="s">
        <v>44</v>
      </c>
      <c r="G112">
        <v>1</v>
      </c>
      <c r="H112" s="12">
        <v>410.45</v>
      </c>
      <c r="I112" t="s">
        <v>26</v>
      </c>
      <c r="J112" t="s">
        <v>766</v>
      </c>
      <c r="K112">
        <v>4</v>
      </c>
      <c r="L112" t="s">
        <v>17</v>
      </c>
      <c r="M112">
        <v>71</v>
      </c>
      <c r="N112" s="21">
        <f t="shared" si="2"/>
        <v>410.45</v>
      </c>
      <c r="O112" s="21">
        <f t="shared" si="3"/>
        <v>123.13499999999999</v>
      </c>
    </row>
    <row r="113" spans="1:15" x14ac:dyDescent="0.3">
      <c r="A113">
        <v>46034</v>
      </c>
      <c r="B113" s="1">
        <v>45408</v>
      </c>
      <c r="C113">
        <v>995</v>
      </c>
      <c r="D113">
        <v>40</v>
      </c>
      <c r="E113" t="s">
        <v>24</v>
      </c>
      <c r="F113" t="s">
        <v>44</v>
      </c>
      <c r="G113">
        <v>5</v>
      </c>
      <c r="H113" s="12">
        <v>115.91</v>
      </c>
      <c r="I113" t="s">
        <v>26</v>
      </c>
      <c r="J113" t="s">
        <v>974</v>
      </c>
      <c r="L113" t="s">
        <v>21</v>
      </c>
      <c r="M113">
        <v>54</v>
      </c>
      <c r="N113" s="21">
        <f t="shared" si="2"/>
        <v>579.54999999999995</v>
      </c>
      <c r="O113" s="21">
        <f t="shared" si="3"/>
        <v>173.86499999999998</v>
      </c>
    </row>
    <row r="114" spans="1:15" x14ac:dyDescent="0.3">
      <c r="A114">
        <v>85558</v>
      </c>
      <c r="B114" s="1">
        <v>45409</v>
      </c>
      <c r="C114">
        <v>619</v>
      </c>
      <c r="D114">
        <v>40</v>
      </c>
      <c r="E114" t="s">
        <v>24</v>
      </c>
      <c r="F114" t="s">
        <v>49</v>
      </c>
      <c r="G114">
        <v>3</v>
      </c>
      <c r="H114" s="12">
        <v>367.51</v>
      </c>
      <c r="I114" t="s">
        <v>26</v>
      </c>
      <c r="J114" t="s">
        <v>250</v>
      </c>
      <c r="K114">
        <v>4</v>
      </c>
      <c r="L114" t="s">
        <v>17</v>
      </c>
      <c r="M114">
        <v>60</v>
      </c>
      <c r="N114" s="21">
        <f t="shared" si="2"/>
        <v>1102.53</v>
      </c>
      <c r="O114" s="21">
        <f t="shared" si="3"/>
        <v>330.75899999999996</v>
      </c>
    </row>
    <row r="115" spans="1:15" x14ac:dyDescent="0.3">
      <c r="A115">
        <v>69895</v>
      </c>
      <c r="B115" s="1">
        <v>45409</v>
      </c>
      <c r="C115">
        <v>848</v>
      </c>
      <c r="D115">
        <v>20</v>
      </c>
      <c r="E115" t="s">
        <v>28</v>
      </c>
      <c r="F115" t="s">
        <v>77</v>
      </c>
      <c r="G115">
        <v>3</v>
      </c>
      <c r="H115" s="12">
        <v>435.72</v>
      </c>
      <c r="I115" t="s">
        <v>15</v>
      </c>
      <c r="J115" t="s">
        <v>947</v>
      </c>
      <c r="K115">
        <v>5</v>
      </c>
      <c r="L115" t="s">
        <v>21</v>
      </c>
      <c r="M115">
        <v>50</v>
      </c>
      <c r="N115" s="21">
        <f t="shared" si="2"/>
        <v>1307.1600000000001</v>
      </c>
      <c r="O115" s="21">
        <f t="shared" si="3"/>
        <v>392.14800000000002</v>
      </c>
    </row>
    <row r="116" spans="1:15" x14ac:dyDescent="0.3">
      <c r="A116">
        <v>37431</v>
      </c>
      <c r="B116" s="1">
        <v>45410</v>
      </c>
      <c r="C116">
        <v>736</v>
      </c>
      <c r="D116">
        <v>40</v>
      </c>
      <c r="E116" t="s">
        <v>24</v>
      </c>
      <c r="F116" t="s">
        <v>44</v>
      </c>
      <c r="G116">
        <v>5</v>
      </c>
      <c r="H116" s="12">
        <v>422.39</v>
      </c>
      <c r="I116" t="s">
        <v>26</v>
      </c>
      <c r="J116" t="s">
        <v>473</v>
      </c>
      <c r="K116">
        <v>5</v>
      </c>
      <c r="L116" t="s">
        <v>21</v>
      </c>
      <c r="M116">
        <v>26</v>
      </c>
      <c r="N116" s="21">
        <f t="shared" si="2"/>
        <v>2111.9499999999998</v>
      </c>
      <c r="O116" s="21">
        <f t="shared" si="3"/>
        <v>633.58499999999992</v>
      </c>
    </row>
    <row r="117" spans="1:15" x14ac:dyDescent="0.3">
      <c r="A117">
        <v>73293</v>
      </c>
      <c r="B117" s="1">
        <v>45412</v>
      </c>
      <c r="C117">
        <v>799</v>
      </c>
      <c r="D117">
        <v>50</v>
      </c>
      <c r="E117" t="s">
        <v>18</v>
      </c>
      <c r="F117" t="s">
        <v>87</v>
      </c>
      <c r="G117">
        <v>1</v>
      </c>
      <c r="H117" s="12">
        <v>463.62</v>
      </c>
      <c r="I117" t="s">
        <v>15</v>
      </c>
      <c r="J117" t="s">
        <v>106</v>
      </c>
      <c r="K117">
        <v>5</v>
      </c>
      <c r="M117">
        <v>72</v>
      </c>
      <c r="N117" s="21">
        <f t="shared" si="2"/>
        <v>463.62</v>
      </c>
      <c r="O117" s="21">
        <f t="shared" si="3"/>
        <v>139.08599999999998</v>
      </c>
    </row>
    <row r="118" spans="1:15" x14ac:dyDescent="0.3">
      <c r="A118">
        <v>96674</v>
      </c>
      <c r="B118" s="1">
        <v>45412</v>
      </c>
      <c r="C118">
        <v>674</v>
      </c>
      <c r="D118">
        <v>40</v>
      </c>
      <c r="E118" t="s">
        <v>24</v>
      </c>
      <c r="F118" t="s">
        <v>65</v>
      </c>
      <c r="G118">
        <v>3</v>
      </c>
      <c r="H118" s="12">
        <v>312.17</v>
      </c>
      <c r="I118" t="s">
        <v>26</v>
      </c>
      <c r="J118" t="s">
        <v>472</v>
      </c>
      <c r="L118" t="s">
        <v>21</v>
      </c>
      <c r="M118">
        <v>21</v>
      </c>
      <c r="N118" s="21">
        <f t="shared" si="2"/>
        <v>936.51</v>
      </c>
      <c r="O118" s="21">
        <f t="shared" si="3"/>
        <v>280.95299999999997</v>
      </c>
    </row>
    <row r="119" spans="1:15" x14ac:dyDescent="0.3">
      <c r="A119">
        <v>26759</v>
      </c>
      <c r="B119" s="1">
        <v>45412</v>
      </c>
      <c r="C119">
        <v>762</v>
      </c>
      <c r="D119">
        <v>30</v>
      </c>
      <c r="E119" t="s">
        <v>37</v>
      </c>
      <c r="F119" t="s">
        <v>38</v>
      </c>
      <c r="G119">
        <v>3</v>
      </c>
      <c r="H119" s="12">
        <v>110.55</v>
      </c>
      <c r="I119" t="s">
        <v>15</v>
      </c>
      <c r="J119" t="s">
        <v>562</v>
      </c>
      <c r="K119">
        <v>4</v>
      </c>
      <c r="M119">
        <v>44</v>
      </c>
      <c r="N119" s="21">
        <f t="shared" si="2"/>
        <v>331.65</v>
      </c>
      <c r="O119" s="21">
        <f t="shared" si="3"/>
        <v>99.49499999999999</v>
      </c>
    </row>
    <row r="120" spans="1:15" x14ac:dyDescent="0.3">
      <c r="A120">
        <v>28844</v>
      </c>
      <c r="B120" s="1">
        <v>45412</v>
      </c>
      <c r="C120">
        <v>580</v>
      </c>
      <c r="D120">
        <v>40</v>
      </c>
      <c r="E120" t="s">
        <v>24</v>
      </c>
      <c r="F120" t="s">
        <v>49</v>
      </c>
      <c r="G120">
        <v>2</v>
      </c>
      <c r="H120" s="12">
        <v>378.89</v>
      </c>
      <c r="I120" t="s">
        <v>35</v>
      </c>
      <c r="J120" t="s">
        <v>898</v>
      </c>
      <c r="K120">
        <v>4</v>
      </c>
      <c r="L120" t="s">
        <v>21</v>
      </c>
      <c r="M120">
        <v>51</v>
      </c>
      <c r="N120" s="21">
        <f t="shared" si="2"/>
        <v>757.78</v>
      </c>
      <c r="O120" s="21">
        <f t="shared" si="3"/>
        <v>227.33399999999997</v>
      </c>
    </row>
    <row r="121" spans="1:15" x14ac:dyDescent="0.3">
      <c r="A121">
        <v>61272</v>
      </c>
      <c r="B121" s="1">
        <v>45413</v>
      </c>
      <c r="C121">
        <v>192</v>
      </c>
      <c r="D121">
        <v>40</v>
      </c>
      <c r="E121" t="s">
        <v>24</v>
      </c>
      <c r="F121" t="s">
        <v>49</v>
      </c>
      <c r="G121">
        <v>3</v>
      </c>
      <c r="H121" s="12">
        <v>46.24</v>
      </c>
      <c r="I121" t="s">
        <v>35</v>
      </c>
      <c r="J121" t="s">
        <v>481</v>
      </c>
      <c r="K121">
        <v>4</v>
      </c>
      <c r="L121" t="s">
        <v>21</v>
      </c>
      <c r="M121">
        <v>18</v>
      </c>
      <c r="N121" s="21">
        <f t="shared" si="2"/>
        <v>138.72</v>
      </c>
      <c r="O121" s="21">
        <f t="shared" si="3"/>
        <v>41.616</v>
      </c>
    </row>
    <row r="122" spans="1:15" x14ac:dyDescent="0.3">
      <c r="A122">
        <v>37265</v>
      </c>
      <c r="B122" s="1">
        <v>45413</v>
      </c>
      <c r="C122">
        <v>162</v>
      </c>
      <c r="D122">
        <v>20</v>
      </c>
      <c r="E122" t="s">
        <v>28</v>
      </c>
      <c r="F122" t="s">
        <v>51</v>
      </c>
      <c r="G122">
        <v>3</v>
      </c>
      <c r="H122" s="12">
        <v>198.02</v>
      </c>
      <c r="I122" t="s">
        <v>15</v>
      </c>
      <c r="J122" t="s">
        <v>502</v>
      </c>
      <c r="K122">
        <v>4</v>
      </c>
      <c r="L122" t="s">
        <v>17</v>
      </c>
      <c r="M122">
        <v>37</v>
      </c>
      <c r="N122" s="21">
        <f t="shared" si="2"/>
        <v>594.06000000000006</v>
      </c>
      <c r="O122" s="21">
        <f t="shared" si="3"/>
        <v>178.21800000000002</v>
      </c>
    </row>
    <row r="123" spans="1:15" x14ac:dyDescent="0.3">
      <c r="A123">
        <v>70446</v>
      </c>
      <c r="B123" s="1">
        <v>45414</v>
      </c>
      <c r="C123">
        <v>918</v>
      </c>
      <c r="D123">
        <v>50</v>
      </c>
      <c r="E123" t="s">
        <v>18</v>
      </c>
      <c r="F123" t="s">
        <v>84</v>
      </c>
      <c r="G123">
        <v>5</v>
      </c>
      <c r="H123" s="12">
        <v>237.79</v>
      </c>
      <c r="I123" t="s">
        <v>35</v>
      </c>
      <c r="J123" t="s">
        <v>155</v>
      </c>
      <c r="K123">
        <v>4</v>
      </c>
      <c r="L123" t="s">
        <v>21</v>
      </c>
      <c r="M123">
        <v>56</v>
      </c>
      <c r="N123" s="21">
        <f t="shared" si="2"/>
        <v>1188.95</v>
      </c>
      <c r="O123" s="21">
        <f t="shared" si="3"/>
        <v>356.685</v>
      </c>
    </row>
    <row r="124" spans="1:15" x14ac:dyDescent="0.3">
      <c r="A124">
        <v>56073</v>
      </c>
      <c r="B124" s="1">
        <v>45414</v>
      </c>
      <c r="C124">
        <v>440</v>
      </c>
      <c r="D124">
        <v>50</v>
      </c>
      <c r="E124" t="s">
        <v>18</v>
      </c>
      <c r="F124" t="s">
        <v>22</v>
      </c>
      <c r="G124">
        <v>4</v>
      </c>
      <c r="H124" s="12">
        <v>121.5</v>
      </c>
      <c r="I124" t="s">
        <v>15</v>
      </c>
      <c r="J124" t="s">
        <v>373</v>
      </c>
      <c r="K124">
        <v>4</v>
      </c>
      <c r="L124" t="s">
        <v>21</v>
      </c>
      <c r="M124">
        <v>57</v>
      </c>
      <c r="N124" s="21">
        <f t="shared" si="2"/>
        <v>486</v>
      </c>
      <c r="O124" s="21">
        <f t="shared" si="3"/>
        <v>145.79999999999998</v>
      </c>
    </row>
    <row r="125" spans="1:15" x14ac:dyDescent="0.3">
      <c r="A125">
        <v>84937</v>
      </c>
      <c r="B125" s="1">
        <v>45414</v>
      </c>
      <c r="C125">
        <v>186</v>
      </c>
      <c r="D125">
        <v>50</v>
      </c>
      <c r="E125" t="s">
        <v>18</v>
      </c>
      <c r="F125" t="s">
        <v>34</v>
      </c>
      <c r="G125">
        <v>4</v>
      </c>
      <c r="H125" s="12">
        <v>37.17</v>
      </c>
      <c r="I125" t="s">
        <v>35</v>
      </c>
      <c r="J125" t="s">
        <v>550</v>
      </c>
      <c r="L125" t="s">
        <v>21</v>
      </c>
      <c r="M125">
        <v>45</v>
      </c>
      <c r="N125" s="21">
        <f t="shared" si="2"/>
        <v>148.68</v>
      </c>
      <c r="O125" s="21">
        <f t="shared" si="3"/>
        <v>44.603999999999999</v>
      </c>
    </row>
    <row r="126" spans="1:15" x14ac:dyDescent="0.3">
      <c r="A126">
        <v>28063</v>
      </c>
      <c r="B126" s="1">
        <v>45415</v>
      </c>
      <c r="C126">
        <v>398</v>
      </c>
      <c r="D126">
        <v>30</v>
      </c>
      <c r="E126" t="s">
        <v>37</v>
      </c>
      <c r="F126" t="s">
        <v>58</v>
      </c>
      <c r="G126">
        <v>5</v>
      </c>
      <c r="H126" s="12">
        <v>16.7</v>
      </c>
      <c r="I126" t="s">
        <v>26</v>
      </c>
      <c r="J126" t="s">
        <v>194</v>
      </c>
      <c r="M126">
        <v>26</v>
      </c>
      <c r="N126" s="21">
        <f t="shared" si="2"/>
        <v>83.5</v>
      </c>
      <c r="O126" s="21">
        <f t="shared" si="3"/>
        <v>25.05</v>
      </c>
    </row>
    <row r="127" spans="1:15" x14ac:dyDescent="0.3">
      <c r="A127">
        <v>10403</v>
      </c>
      <c r="B127" s="1">
        <v>45415</v>
      </c>
      <c r="C127">
        <v>643</v>
      </c>
      <c r="D127">
        <v>10</v>
      </c>
      <c r="E127" t="s">
        <v>13</v>
      </c>
      <c r="F127" t="s">
        <v>14</v>
      </c>
      <c r="G127">
        <v>5</v>
      </c>
      <c r="H127" s="12">
        <v>263.87</v>
      </c>
      <c r="I127" t="s">
        <v>26</v>
      </c>
      <c r="J127" t="s">
        <v>345</v>
      </c>
      <c r="L127" t="s">
        <v>21</v>
      </c>
      <c r="M127">
        <v>65</v>
      </c>
      <c r="N127" s="21">
        <f t="shared" si="2"/>
        <v>1319.35</v>
      </c>
      <c r="O127" s="21">
        <f t="shared" si="3"/>
        <v>395.80499999999995</v>
      </c>
    </row>
    <row r="128" spans="1:15" x14ac:dyDescent="0.3">
      <c r="A128">
        <v>50200</v>
      </c>
      <c r="B128" s="1">
        <v>45415</v>
      </c>
      <c r="C128">
        <v>841</v>
      </c>
      <c r="D128">
        <v>50</v>
      </c>
      <c r="E128" t="s">
        <v>18</v>
      </c>
      <c r="F128" t="s">
        <v>34</v>
      </c>
      <c r="G128">
        <v>2</v>
      </c>
      <c r="H128" s="12">
        <v>257.01</v>
      </c>
      <c r="I128" t="s">
        <v>26</v>
      </c>
      <c r="J128" t="s">
        <v>656</v>
      </c>
      <c r="K128">
        <v>4</v>
      </c>
      <c r="L128" t="s">
        <v>17</v>
      </c>
      <c r="M128">
        <v>39</v>
      </c>
      <c r="N128" s="21">
        <f t="shared" si="2"/>
        <v>514.02</v>
      </c>
      <c r="O128" s="21">
        <f t="shared" si="3"/>
        <v>154.20599999999999</v>
      </c>
    </row>
    <row r="129" spans="1:15" x14ac:dyDescent="0.3">
      <c r="A129">
        <v>77187</v>
      </c>
      <c r="B129" s="1">
        <v>45415</v>
      </c>
      <c r="C129">
        <v>500</v>
      </c>
      <c r="D129">
        <v>20</v>
      </c>
      <c r="E129" t="s">
        <v>28</v>
      </c>
      <c r="F129" t="s">
        <v>79</v>
      </c>
      <c r="G129">
        <v>1</v>
      </c>
      <c r="H129" s="12">
        <v>149.72</v>
      </c>
      <c r="I129" t="s">
        <v>15</v>
      </c>
      <c r="J129" t="s">
        <v>751</v>
      </c>
      <c r="K129">
        <v>5</v>
      </c>
      <c r="L129" t="s">
        <v>21</v>
      </c>
      <c r="M129">
        <v>40</v>
      </c>
      <c r="N129" s="21">
        <f t="shared" si="2"/>
        <v>149.72</v>
      </c>
      <c r="O129" s="21">
        <f t="shared" si="3"/>
        <v>44.915999999999997</v>
      </c>
    </row>
    <row r="130" spans="1:15" x14ac:dyDescent="0.3">
      <c r="A130">
        <v>87513</v>
      </c>
      <c r="B130" s="1">
        <v>45416</v>
      </c>
      <c r="C130">
        <v>782</v>
      </c>
      <c r="D130">
        <v>50</v>
      </c>
      <c r="E130" t="s">
        <v>18</v>
      </c>
      <c r="F130" t="s">
        <v>19</v>
      </c>
      <c r="G130">
        <v>2</v>
      </c>
      <c r="H130" s="12">
        <v>285.98</v>
      </c>
      <c r="I130" t="s">
        <v>35</v>
      </c>
      <c r="J130" t="s">
        <v>484</v>
      </c>
      <c r="K130">
        <v>5</v>
      </c>
      <c r="L130" t="s">
        <v>21</v>
      </c>
      <c r="M130">
        <v>44</v>
      </c>
      <c r="N130" s="21">
        <f t="shared" si="2"/>
        <v>571.96</v>
      </c>
      <c r="O130" s="21">
        <f t="shared" si="3"/>
        <v>171.58799999999999</v>
      </c>
    </row>
    <row r="131" spans="1:15" x14ac:dyDescent="0.3">
      <c r="A131">
        <v>53575</v>
      </c>
      <c r="B131" s="1">
        <v>45416</v>
      </c>
      <c r="C131">
        <v>622</v>
      </c>
      <c r="D131">
        <v>40</v>
      </c>
      <c r="E131" t="s">
        <v>24</v>
      </c>
      <c r="F131" t="s">
        <v>63</v>
      </c>
      <c r="G131">
        <v>3</v>
      </c>
      <c r="H131" s="12">
        <v>75.02</v>
      </c>
      <c r="I131" t="s">
        <v>15</v>
      </c>
      <c r="J131" t="s">
        <v>520</v>
      </c>
      <c r="K131">
        <v>4</v>
      </c>
      <c r="L131" t="s">
        <v>21</v>
      </c>
      <c r="M131">
        <v>33</v>
      </c>
      <c r="N131" s="21">
        <f t="shared" ref="N131:N194" si="4">H131*G131</f>
        <v>225.06</v>
      </c>
      <c r="O131" s="21">
        <f t="shared" ref="O131:O194" si="5">N131*0.3</f>
        <v>67.518000000000001</v>
      </c>
    </row>
    <row r="132" spans="1:15" x14ac:dyDescent="0.3">
      <c r="A132">
        <v>81927</v>
      </c>
      <c r="B132" s="1">
        <v>45416</v>
      </c>
      <c r="C132">
        <v>669</v>
      </c>
      <c r="D132">
        <v>50</v>
      </c>
      <c r="E132" t="s">
        <v>18</v>
      </c>
      <c r="F132" t="s">
        <v>87</v>
      </c>
      <c r="G132">
        <v>1</v>
      </c>
      <c r="H132" s="12">
        <v>482.29</v>
      </c>
      <c r="I132" t="s">
        <v>15</v>
      </c>
      <c r="J132" t="s">
        <v>709</v>
      </c>
      <c r="K132">
        <v>4</v>
      </c>
      <c r="L132" t="s">
        <v>21</v>
      </c>
      <c r="M132">
        <v>61</v>
      </c>
      <c r="N132" s="21">
        <f t="shared" si="4"/>
        <v>482.29</v>
      </c>
      <c r="O132" s="21">
        <f t="shared" si="5"/>
        <v>144.68700000000001</v>
      </c>
    </row>
    <row r="133" spans="1:15" x14ac:dyDescent="0.3">
      <c r="A133">
        <v>41333</v>
      </c>
      <c r="B133" s="1">
        <v>45416</v>
      </c>
      <c r="C133">
        <v>459</v>
      </c>
      <c r="D133">
        <v>10</v>
      </c>
      <c r="E133" t="s">
        <v>13</v>
      </c>
      <c r="F133" t="s">
        <v>47</v>
      </c>
      <c r="G133">
        <v>3</v>
      </c>
      <c r="H133" s="12">
        <v>398.31</v>
      </c>
      <c r="I133" t="s">
        <v>35</v>
      </c>
      <c r="J133" t="s">
        <v>884</v>
      </c>
      <c r="K133">
        <v>4</v>
      </c>
      <c r="L133" t="s">
        <v>21</v>
      </c>
      <c r="M133">
        <v>43</v>
      </c>
      <c r="N133" s="21">
        <f t="shared" si="4"/>
        <v>1194.93</v>
      </c>
      <c r="O133" s="21">
        <f t="shared" si="5"/>
        <v>358.47899999999998</v>
      </c>
    </row>
    <row r="134" spans="1:15" x14ac:dyDescent="0.3">
      <c r="A134">
        <v>67967</v>
      </c>
      <c r="B134" s="1">
        <v>45416</v>
      </c>
      <c r="C134">
        <v>965</v>
      </c>
      <c r="D134">
        <v>40</v>
      </c>
      <c r="E134" t="s">
        <v>24</v>
      </c>
      <c r="F134" t="s">
        <v>44</v>
      </c>
      <c r="G134">
        <v>3</v>
      </c>
      <c r="H134" s="12">
        <v>495.24</v>
      </c>
      <c r="I134" t="s">
        <v>35</v>
      </c>
      <c r="J134" t="s">
        <v>1005</v>
      </c>
      <c r="M134">
        <v>30</v>
      </c>
      <c r="N134" s="21">
        <f t="shared" si="4"/>
        <v>1485.72</v>
      </c>
      <c r="O134" s="21">
        <f t="shared" si="5"/>
        <v>445.71600000000001</v>
      </c>
    </row>
    <row r="135" spans="1:15" x14ac:dyDescent="0.3">
      <c r="A135">
        <v>87219</v>
      </c>
      <c r="B135" s="1">
        <v>45418</v>
      </c>
      <c r="C135">
        <v>234</v>
      </c>
      <c r="D135">
        <v>50</v>
      </c>
      <c r="E135" t="s">
        <v>18</v>
      </c>
      <c r="F135" t="s">
        <v>34</v>
      </c>
      <c r="G135">
        <v>1</v>
      </c>
      <c r="H135" s="12">
        <v>52.5</v>
      </c>
      <c r="I135" t="s">
        <v>35</v>
      </c>
      <c r="J135" t="s">
        <v>399</v>
      </c>
      <c r="M135">
        <v>25</v>
      </c>
      <c r="N135" s="21">
        <f t="shared" si="4"/>
        <v>52.5</v>
      </c>
      <c r="O135" s="21">
        <f t="shared" si="5"/>
        <v>15.75</v>
      </c>
    </row>
    <row r="136" spans="1:15" x14ac:dyDescent="0.3">
      <c r="A136">
        <v>49017</v>
      </c>
      <c r="B136" s="1">
        <v>45419</v>
      </c>
      <c r="C136">
        <v>128</v>
      </c>
      <c r="D136">
        <v>20</v>
      </c>
      <c r="E136" t="s">
        <v>28</v>
      </c>
      <c r="F136" t="s">
        <v>77</v>
      </c>
      <c r="G136">
        <v>1</v>
      </c>
      <c r="H136" s="12">
        <v>255.32</v>
      </c>
      <c r="I136" t="s">
        <v>26</v>
      </c>
      <c r="J136" t="s">
        <v>916</v>
      </c>
      <c r="K136">
        <v>4</v>
      </c>
      <c r="L136" t="s">
        <v>17</v>
      </c>
      <c r="M136">
        <v>70</v>
      </c>
      <c r="N136" s="21">
        <f t="shared" si="4"/>
        <v>255.32</v>
      </c>
      <c r="O136" s="21">
        <f t="shared" si="5"/>
        <v>76.595999999999989</v>
      </c>
    </row>
    <row r="137" spans="1:15" x14ac:dyDescent="0.3">
      <c r="A137">
        <v>26545</v>
      </c>
      <c r="B137" s="1">
        <v>45420</v>
      </c>
      <c r="C137">
        <v>985</v>
      </c>
      <c r="D137">
        <v>30</v>
      </c>
      <c r="E137" t="s">
        <v>37</v>
      </c>
      <c r="F137" t="s">
        <v>58</v>
      </c>
      <c r="G137">
        <v>2</v>
      </c>
      <c r="H137" s="12">
        <v>470.08</v>
      </c>
      <c r="I137" t="s">
        <v>15</v>
      </c>
      <c r="J137" t="s">
        <v>366</v>
      </c>
      <c r="L137" t="s">
        <v>17</v>
      </c>
      <c r="M137">
        <v>54</v>
      </c>
      <c r="N137" s="21">
        <f t="shared" si="4"/>
        <v>940.16</v>
      </c>
      <c r="O137" s="21">
        <f t="shared" si="5"/>
        <v>282.048</v>
      </c>
    </row>
    <row r="138" spans="1:15" x14ac:dyDescent="0.3">
      <c r="A138">
        <v>42097</v>
      </c>
      <c r="B138" s="1">
        <v>45420</v>
      </c>
      <c r="C138">
        <v>317</v>
      </c>
      <c r="D138">
        <v>10</v>
      </c>
      <c r="E138" t="s">
        <v>13</v>
      </c>
      <c r="F138" t="s">
        <v>47</v>
      </c>
      <c r="G138">
        <v>3</v>
      </c>
      <c r="H138" s="12">
        <v>213.16</v>
      </c>
      <c r="I138" t="s">
        <v>26</v>
      </c>
      <c r="J138" t="s">
        <v>769</v>
      </c>
      <c r="K138">
        <v>5</v>
      </c>
      <c r="L138" t="s">
        <v>17</v>
      </c>
      <c r="M138">
        <v>63</v>
      </c>
      <c r="N138" s="21">
        <f t="shared" si="4"/>
        <v>639.48</v>
      </c>
      <c r="O138" s="21">
        <f t="shared" si="5"/>
        <v>191.84399999999999</v>
      </c>
    </row>
    <row r="139" spans="1:15" x14ac:dyDescent="0.3">
      <c r="A139">
        <v>62506</v>
      </c>
      <c r="B139" s="1">
        <v>45421</v>
      </c>
      <c r="C139">
        <v>560</v>
      </c>
      <c r="D139">
        <v>50</v>
      </c>
      <c r="E139" t="s">
        <v>18</v>
      </c>
      <c r="F139" t="s">
        <v>22</v>
      </c>
      <c r="G139">
        <v>1</v>
      </c>
      <c r="H139" s="12">
        <v>294.45</v>
      </c>
      <c r="I139" t="s">
        <v>35</v>
      </c>
      <c r="J139" t="s">
        <v>486</v>
      </c>
      <c r="K139">
        <v>1</v>
      </c>
      <c r="L139" t="s">
        <v>21</v>
      </c>
      <c r="M139">
        <v>65</v>
      </c>
      <c r="N139" s="21">
        <f t="shared" si="4"/>
        <v>294.45</v>
      </c>
      <c r="O139" s="21">
        <f t="shared" si="5"/>
        <v>88.334999999999994</v>
      </c>
    </row>
    <row r="140" spans="1:15" x14ac:dyDescent="0.3">
      <c r="A140">
        <v>57366</v>
      </c>
      <c r="B140" s="1">
        <v>45421</v>
      </c>
      <c r="C140">
        <v>267</v>
      </c>
      <c r="D140">
        <v>10</v>
      </c>
      <c r="E140" t="s">
        <v>13</v>
      </c>
      <c r="F140" t="s">
        <v>47</v>
      </c>
      <c r="G140">
        <v>2</v>
      </c>
      <c r="H140" s="12">
        <v>331.86</v>
      </c>
      <c r="I140" t="s">
        <v>26</v>
      </c>
      <c r="J140" t="s">
        <v>587</v>
      </c>
      <c r="K140">
        <v>4</v>
      </c>
      <c r="L140" t="s">
        <v>17</v>
      </c>
      <c r="M140">
        <v>32</v>
      </c>
      <c r="N140" s="21">
        <f t="shared" si="4"/>
        <v>663.72</v>
      </c>
      <c r="O140" s="21">
        <f t="shared" si="5"/>
        <v>199.11600000000001</v>
      </c>
    </row>
    <row r="141" spans="1:15" x14ac:dyDescent="0.3">
      <c r="A141">
        <v>24024</v>
      </c>
      <c r="B141" s="1">
        <v>45421</v>
      </c>
      <c r="C141">
        <v>869</v>
      </c>
      <c r="D141">
        <v>50</v>
      </c>
      <c r="E141" t="s">
        <v>18</v>
      </c>
      <c r="F141" t="s">
        <v>87</v>
      </c>
      <c r="G141">
        <v>5</v>
      </c>
      <c r="H141" s="12">
        <v>419.98</v>
      </c>
      <c r="I141" t="s">
        <v>26</v>
      </c>
      <c r="J141" t="s">
        <v>591</v>
      </c>
      <c r="K141">
        <v>4</v>
      </c>
      <c r="L141" t="s">
        <v>21</v>
      </c>
      <c r="M141">
        <v>55</v>
      </c>
      <c r="N141" s="21">
        <f t="shared" si="4"/>
        <v>2099.9</v>
      </c>
      <c r="O141" s="21">
        <f t="shared" si="5"/>
        <v>629.97</v>
      </c>
    </row>
    <row r="142" spans="1:15" x14ac:dyDescent="0.3">
      <c r="A142">
        <v>38114</v>
      </c>
      <c r="B142" s="1">
        <v>45421</v>
      </c>
      <c r="C142">
        <v>817</v>
      </c>
      <c r="D142">
        <v>30</v>
      </c>
      <c r="E142" t="s">
        <v>37</v>
      </c>
      <c r="F142" t="s">
        <v>58</v>
      </c>
      <c r="G142">
        <v>2</v>
      </c>
      <c r="H142" s="12">
        <v>287.85000000000002</v>
      </c>
      <c r="I142" t="s">
        <v>15</v>
      </c>
      <c r="J142" t="s">
        <v>929</v>
      </c>
      <c r="K142">
        <v>4</v>
      </c>
      <c r="L142" t="s">
        <v>21</v>
      </c>
      <c r="M142">
        <v>20</v>
      </c>
      <c r="N142" s="21">
        <f t="shared" si="4"/>
        <v>575.70000000000005</v>
      </c>
      <c r="O142" s="21">
        <f t="shared" si="5"/>
        <v>172.71</v>
      </c>
    </row>
    <row r="143" spans="1:15" x14ac:dyDescent="0.3">
      <c r="A143">
        <v>63872</v>
      </c>
      <c r="B143" s="1">
        <v>45422</v>
      </c>
      <c r="C143">
        <v>202</v>
      </c>
      <c r="D143">
        <v>20</v>
      </c>
      <c r="E143" t="s">
        <v>28</v>
      </c>
      <c r="F143" t="s">
        <v>29</v>
      </c>
      <c r="G143">
        <v>4</v>
      </c>
      <c r="H143" s="12">
        <v>176.72</v>
      </c>
      <c r="I143" t="s">
        <v>15</v>
      </c>
      <c r="J143" t="s">
        <v>30</v>
      </c>
      <c r="K143">
        <v>1</v>
      </c>
      <c r="L143" t="s">
        <v>17</v>
      </c>
      <c r="M143">
        <v>33</v>
      </c>
      <c r="N143" s="21">
        <f t="shared" si="4"/>
        <v>706.88</v>
      </c>
      <c r="O143" s="21">
        <f t="shared" si="5"/>
        <v>212.06399999999999</v>
      </c>
    </row>
    <row r="144" spans="1:15" x14ac:dyDescent="0.3">
      <c r="A144">
        <v>11829</v>
      </c>
      <c r="B144" s="1">
        <v>45422</v>
      </c>
      <c r="C144">
        <v>651</v>
      </c>
      <c r="D144">
        <v>20</v>
      </c>
      <c r="E144" t="s">
        <v>28</v>
      </c>
      <c r="F144" t="s">
        <v>77</v>
      </c>
      <c r="G144">
        <v>5</v>
      </c>
      <c r="H144" s="12">
        <v>85.92</v>
      </c>
      <c r="I144" t="s">
        <v>26</v>
      </c>
      <c r="J144" t="s">
        <v>295</v>
      </c>
      <c r="K144">
        <v>5</v>
      </c>
      <c r="L144" t="s">
        <v>21</v>
      </c>
      <c r="M144">
        <v>41</v>
      </c>
      <c r="N144" s="21">
        <f t="shared" si="4"/>
        <v>429.6</v>
      </c>
      <c r="O144" s="21">
        <f t="shared" si="5"/>
        <v>128.88</v>
      </c>
    </row>
    <row r="145" spans="1:15" x14ac:dyDescent="0.3">
      <c r="A145">
        <v>47189</v>
      </c>
      <c r="B145" s="1">
        <v>45422</v>
      </c>
      <c r="C145">
        <v>700</v>
      </c>
      <c r="D145">
        <v>30</v>
      </c>
      <c r="E145" t="s">
        <v>37</v>
      </c>
      <c r="F145" t="s">
        <v>58</v>
      </c>
      <c r="G145">
        <v>1</v>
      </c>
      <c r="H145" s="12">
        <v>385.88</v>
      </c>
      <c r="I145" t="s">
        <v>26</v>
      </c>
      <c r="J145" t="s">
        <v>541</v>
      </c>
      <c r="K145">
        <v>5</v>
      </c>
      <c r="L145" t="s">
        <v>21</v>
      </c>
      <c r="M145">
        <v>57</v>
      </c>
      <c r="N145" s="21">
        <f t="shared" si="4"/>
        <v>385.88</v>
      </c>
      <c r="O145" s="21">
        <f t="shared" si="5"/>
        <v>115.764</v>
      </c>
    </row>
    <row r="146" spans="1:15" x14ac:dyDescent="0.3">
      <c r="A146">
        <v>57457</v>
      </c>
      <c r="B146" s="1">
        <v>45423</v>
      </c>
      <c r="C146">
        <v>284</v>
      </c>
      <c r="D146">
        <v>20</v>
      </c>
      <c r="E146" t="s">
        <v>28</v>
      </c>
      <c r="F146" t="s">
        <v>51</v>
      </c>
      <c r="G146">
        <v>1</v>
      </c>
      <c r="H146" s="12">
        <v>80.650000000000006</v>
      </c>
      <c r="I146" t="s">
        <v>35</v>
      </c>
      <c r="J146" t="s">
        <v>457</v>
      </c>
      <c r="K146">
        <v>5</v>
      </c>
      <c r="M146">
        <v>37</v>
      </c>
      <c r="N146" s="21">
        <f t="shared" si="4"/>
        <v>80.650000000000006</v>
      </c>
      <c r="O146" s="21">
        <f t="shared" si="5"/>
        <v>24.195</v>
      </c>
    </row>
    <row r="147" spans="1:15" x14ac:dyDescent="0.3">
      <c r="A147">
        <v>25761</v>
      </c>
      <c r="B147" s="1">
        <v>45423</v>
      </c>
      <c r="C147">
        <v>657</v>
      </c>
      <c r="D147">
        <v>40</v>
      </c>
      <c r="E147" t="s">
        <v>24</v>
      </c>
      <c r="F147" t="s">
        <v>44</v>
      </c>
      <c r="G147">
        <v>4</v>
      </c>
      <c r="H147" s="12">
        <v>449.55</v>
      </c>
      <c r="I147" t="s">
        <v>15</v>
      </c>
      <c r="J147" t="s">
        <v>632</v>
      </c>
      <c r="K147">
        <v>3</v>
      </c>
      <c r="L147" t="s">
        <v>17</v>
      </c>
      <c r="M147">
        <v>29</v>
      </c>
      <c r="N147" s="21">
        <f t="shared" si="4"/>
        <v>1798.2</v>
      </c>
      <c r="O147" s="21">
        <f t="shared" si="5"/>
        <v>539.46</v>
      </c>
    </row>
    <row r="148" spans="1:15" x14ac:dyDescent="0.3">
      <c r="A148">
        <v>42068</v>
      </c>
      <c r="B148" s="1">
        <v>45424</v>
      </c>
      <c r="C148">
        <v>529</v>
      </c>
      <c r="D148">
        <v>40</v>
      </c>
      <c r="E148" t="s">
        <v>24</v>
      </c>
      <c r="F148" t="s">
        <v>44</v>
      </c>
      <c r="G148">
        <v>5</v>
      </c>
      <c r="H148" s="12">
        <v>152.81</v>
      </c>
      <c r="I148" t="s">
        <v>35</v>
      </c>
      <c r="J148" t="s">
        <v>476</v>
      </c>
      <c r="K148">
        <v>5</v>
      </c>
      <c r="M148">
        <v>19</v>
      </c>
      <c r="N148" s="21">
        <f t="shared" si="4"/>
        <v>764.05</v>
      </c>
      <c r="O148" s="21">
        <f t="shared" si="5"/>
        <v>229.21499999999997</v>
      </c>
    </row>
    <row r="149" spans="1:15" x14ac:dyDescent="0.3">
      <c r="A149">
        <v>48362</v>
      </c>
      <c r="B149" s="1">
        <v>45424</v>
      </c>
      <c r="C149">
        <v>186</v>
      </c>
      <c r="D149">
        <v>10</v>
      </c>
      <c r="E149" t="s">
        <v>13</v>
      </c>
      <c r="F149" t="s">
        <v>32</v>
      </c>
      <c r="G149">
        <v>1</v>
      </c>
      <c r="H149" s="12">
        <v>81.209999999999994</v>
      </c>
      <c r="I149" t="s">
        <v>35</v>
      </c>
      <c r="J149" t="s">
        <v>716</v>
      </c>
      <c r="L149" t="s">
        <v>21</v>
      </c>
      <c r="M149">
        <v>45</v>
      </c>
      <c r="N149" s="21">
        <f t="shared" si="4"/>
        <v>81.209999999999994</v>
      </c>
      <c r="O149" s="21">
        <f t="shared" si="5"/>
        <v>24.362999999999996</v>
      </c>
    </row>
    <row r="150" spans="1:15" x14ac:dyDescent="0.3">
      <c r="A150">
        <v>72159</v>
      </c>
      <c r="B150" s="1">
        <v>45424</v>
      </c>
      <c r="C150">
        <v>329</v>
      </c>
      <c r="D150">
        <v>40</v>
      </c>
      <c r="E150" t="s">
        <v>24</v>
      </c>
      <c r="F150" t="s">
        <v>44</v>
      </c>
      <c r="G150">
        <v>3</v>
      </c>
      <c r="H150" s="12">
        <v>227.07</v>
      </c>
      <c r="I150" t="s">
        <v>35</v>
      </c>
      <c r="J150" t="s">
        <v>927</v>
      </c>
      <c r="K150">
        <v>5</v>
      </c>
      <c r="L150" t="s">
        <v>21</v>
      </c>
      <c r="M150">
        <v>64</v>
      </c>
      <c r="N150" s="21">
        <f t="shared" si="4"/>
        <v>681.21</v>
      </c>
      <c r="O150" s="21">
        <f t="shared" si="5"/>
        <v>204.363</v>
      </c>
    </row>
    <row r="151" spans="1:15" x14ac:dyDescent="0.3">
      <c r="A151">
        <v>46992</v>
      </c>
      <c r="B151" s="1">
        <v>45425</v>
      </c>
      <c r="C151">
        <v>824</v>
      </c>
      <c r="D151">
        <v>20</v>
      </c>
      <c r="E151" t="s">
        <v>28</v>
      </c>
      <c r="F151" t="s">
        <v>79</v>
      </c>
      <c r="G151">
        <v>2</v>
      </c>
      <c r="H151" s="12">
        <v>227.13</v>
      </c>
      <c r="I151" t="s">
        <v>35</v>
      </c>
      <c r="J151" t="s">
        <v>80</v>
      </c>
      <c r="L151" t="s">
        <v>17</v>
      </c>
      <c r="M151">
        <v>30</v>
      </c>
      <c r="N151" s="21">
        <f t="shared" si="4"/>
        <v>454.26</v>
      </c>
      <c r="O151" s="21">
        <f t="shared" si="5"/>
        <v>136.27799999999999</v>
      </c>
    </row>
    <row r="152" spans="1:15" x14ac:dyDescent="0.3">
      <c r="A152">
        <v>32080</v>
      </c>
      <c r="B152" s="1">
        <v>45425</v>
      </c>
      <c r="C152">
        <v>354</v>
      </c>
      <c r="D152">
        <v>20</v>
      </c>
      <c r="E152" t="s">
        <v>28</v>
      </c>
      <c r="F152" t="s">
        <v>77</v>
      </c>
      <c r="G152">
        <v>4</v>
      </c>
      <c r="H152" s="12">
        <v>21.6</v>
      </c>
      <c r="I152" t="s">
        <v>15</v>
      </c>
      <c r="J152" t="s">
        <v>110</v>
      </c>
      <c r="K152">
        <v>3</v>
      </c>
      <c r="L152" t="s">
        <v>21</v>
      </c>
      <c r="M152">
        <v>18</v>
      </c>
      <c r="N152" s="21">
        <f t="shared" si="4"/>
        <v>86.4</v>
      </c>
      <c r="O152" s="21">
        <f t="shared" si="5"/>
        <v>25.92</v>
      </c>
    </row>
    <row r="153" spans="1:15" x14ac:dyDescent="0.3">
      <c r="A153">
        <v>87787</v>
      </c>
      <c r="B153" s="1">
        <v>45425</v>
      </c>
      <c r="C153">
        <v>836</v>
      </c>
      <c r="D153">
        <v>40</v>
      </c>
      <c r="E153" t="s">
        <v>24</v>
      </c>
      <c r="F153" t="s">
        <v>44</v>
      </c>
      <c r="G153">
        <v>2</v>
      </c>
      <c r="H153" s="12">
        <v>233.85</v>
      </c>
      <c r="I153" t="s">
        <v>26</v>
      </c>
      <c r="J153" t="s">
        <v>216</v>
      </c>
      <c r="L153" t="s">
        <v>21</v>
      </c>
      <c r="M153">
        <v>67</v>
      </c>
      <c r="N153" s="21">
        <f t="shared" si="4"/>
        <v>467.7</v>
      </c>
      <c r="O153" s="21">
        <f t="shared" si="5"/>
        <v>140.31</v>
      </c>
    </row>
    <row r="154" spans="1:15" x14ac:dyDescent="0.3">
      <c r="A154">
        <v>89887</v>
      </c>
      <c r="B154" s="1">
        <v>45425</v>
      </c>
      <c r="C154">
        <v>576</v>
      </c>
      <c r="D154">
        <v>30</v>
      </c>
      <c r="E154" t="s">
        <v>37</v>
      </c>
      <c r="F154" t="s">
        <v>40</v>
      </c>
      <c r="G154">
        <v>3</v>
      </c>
      <c r="H154" s="12">
        <v>197.53</v>
      </c>
      <c r="I154" t="s">
        <v>15</v>
      </c>
      <c r="J154" t="s">
        <v>530</v>
      </c>
      <c r="K154">
        <v>5</v>
      </c>
      <c r="L154" t="s">
        <v>17</v>
      </c>
      <c r="M154">
        <v>32</v>
      </c>
      <c r="N154" s="21">
        <f t="shared" si="4"/>
        <v>592.59</v>
      </c>
      <c r="O154" s="21">
        <f t="shared" si="5"/>
        <v>177.77700000000002</v>
      </c>
    </row>
    <row r="155" spans="1:15" x14ac:dyDescent="0.3">
      <c r="A155">
        <v>48665</v>
      </c>
      <c r="B155" s="1">
        <v>45426</v>
      </c>
      <c r="C155">
        <v>620</v>
      </c>
      <c r="D155">
        <v>10</v>
      </c>
      <c r="E155" t="s">
        <v>13</v>
      </c>
      <c r="F155" t="s">
        <v>32</v>
      </c>
      <c r="G155">
        <v>2</v>
      </c>
      <c r="H155" s="12">
        <v>455.6</v>
      </c>
      <c r="I155" t="s">
        <v>26</v>
      </c>
      <c r="J155" t="s">
        <v>229</v>
      </c>
      <c r="K155">
        <v>5</v>
      </c>
      <c r="L155" t="s">
        <v>21</v>
      </c>
      <c r="M155">
        <v>65</v>
      </c>
      <c r="N155" s="21">
        <f t="shared" si="4"/>
        <v>911.2</v>
      </c>
      <c r="O155" s="21">
        <f t="shared" si="5"/>
        <v>273.36</v>
      </c>
    </row>
    <row r="156" spans="1:15" x14ac:dyDescent="0.3">
      <c r="A156">
        <v>53860</v>
      </c>
      <c r="B156" s="1">
        <v>45426</v>
      </c>
      <c r="C156">
        <v>490</v>
      </c>
      <c r="D156">
        <v>50</v>
      </c>
      <c r="E156" t="s">
        <v>18</v>
      </c>
      <c r="F156" t="s">
        <v>19</v>
      </c>
      <c r="G156">
        <v>2</v>
      </c>
      <c r="H156" s="12">
        <v>179.13</v>
      </c>
      <c r="I156" t="s">
        <v>15</v>
      </c>
      <c r="J156" t="s">
        <v>265</v>
      </c>
      <c r="K156">
        <v>2</v>
      </c>
      <c r="L156" t="s">
        <v>17</v>
      </c>
      <c r="M156">
        <v>62</v>
      </c>
      <c r="N156" s="21">
        <f t="shared" si="4"/>
        <v>358.26</v>
      </c>
      <c r="O156" s="21">
        <f t="shared" si="5"/>
        <v>107.47799999999999</v>
      </c>
    </row>
    <row r="157" spans="1:15" x14ac:dyDescent="0.3">
      <c r="A157">
        <v>79004</v>
      </c>
      <c r="B157" s="1">
        <v>45426</v>
      </c>
      <c r="C157">
        <v>190</v>
      </c>
      <c r="D157">
        <v>30</v>
      </c>
      <c r="E157" t="s">
        <v>37</v>
      </c>
      <c r="F157" t="s">
        <v>95</v>
      </c>
      <c r="G157">
        <v>4</v>
      </c>
      <c r="H157" s="12">
        <v>68.790000000000006</v>
      </c>
      <c r="I157" t="s">
        <v>26</v>
      </c>
      <c r="J157" t="s">
        <v>268</v>
      </c>
      <c r="K157">
        <v>5</v>
      </c>
      <c r="L157" t="s">
        <v>21</v>
      </c>
      <c r="M157">
        <v>50</v>
      </c>
      <c r="N157" s="21">
        <f t="shared" si="4"/>
        <v>275.16000000000003</v>
      </c>
      <c r="O157" s="21">
        <f t="shared" si="5"/>
        <v>82.548000000000002</v>
      </c>
    </row>
    <row r="158" spans="1:15" x14ac:dyDescent="0.3">
      <c r="A158">
        <v>98151</v>
      </c>
      <c r="B158" s="1">
        <v>45426</v>
      </c>
      <c r="C158">
        <v>707</v>
      </c>
      <c r="D158">
        <v>50</v>
      </c>
      <c r="E158" t="s">
        <v>18</v>
      </c>
      <c r="F158" t="s">
        <v>34</v>
      </c>
      <c r="G158">
        <v>2</v>
      </c>
      <c r="H158" s="12">
        <v>75.599999999999994</v>
      </c>
      <c r="I158" t="s">
        <v>35</v>
      </c>
      <c r="J158" t="s">
        <v>758</v>
      </c>
      <c r="K158">
        <v>4</v>
      </c>
      <c r="L158" t="s">
        <v>21</v>
      </c>
      <c r="M158">
        <v>45</v>
      </c>
      <c r="N158" s="21">
        <f t="shared" si="4"/>
        <v>151.19999999999999</v>
      </c>
      <c r="O158" s="21">
        <f t="shared" si="5"/>
        <v>45.359999999999992</v>
      </c>
    </row>
    <row r="159" spans="1:15" x14ac:dyDescent="0.3">
      <c r="A159">
        <v>19863</v>
      </c>
      <c r="B159" s="1">
        <v>45426</v>
      </c>
      <c r="C159">
        <v>315</v>
      </c>
      <c r="D159">
        <v>40</v>
      </c>
      <c r="E159" t="s">
        <v>24</v>
      </c>
      <c r="F159" t="s">
        <v>44</v>
      </c>
      <c r="G159">
        <v>2</v>
      </c>
      <c r="H159" s="12">
        <v>180.67</v>
      </c>
      <c r="I159" t="s">
        <v>26</v>
      </c>
      <c r="J159" t="s">
        <v>904</v>
      </c>
      <c r="K159">
        <v>3</v>
      </c>
      <c r="L159" t="s">
        <v>17</v>
      </c>
      <c r="M159">
        <v>24</v>
      </c>
      <c r="N159" s="21">
        <f t="shared" si="4"/>
        <v>361.34</v>
      </c>
      <c r="O159" s="21">
        <f t="shared" si="5"/>
        <v>108.40199999999999</v>
      </c>
    </row>
    <row r="160" spans="1:15" x14ac:dyDescent="0.3">
      <c r="A160">
        <v>84845</v>
      </c>
      <c r="B160" s="1">
        <v>45427</v>
      </c>
      <c r="C160">
        <v>614</v>
      </c>
      <c r="D160">
        <v>40</v>
      </c>
      <c r="E160" t="s">
        <v>24</v>
      </c>
      <c r="F160" t="s">
        <v>65</v>
      </c>
      <c r="G160">
        <v>4</v>
      </c>
      <c r="H160" s="12">
        <v>73.59</v>
      </c>
      <c r="I160" t="s">
        <v>15</v>
      </c>
      <c r="J160" t="s">
        <v>341</v>
      </c>
      <c r="L160" t="s">
        <v>21</v>
      </c>
      <c r="M160">
        <v>71</v>
      </c>
      <c r="N160" s="21">
        <f t="shared" si="4"/>
        <v>294.36</v>
      </c>
      <c r="O160" s="21">
        <f t="shared" si="5"/>
        <v>88.308000000000007</v>
      </c>
    </row>
    <row r="161" spans="1:15" x14ac:dyDescent="0.3">
      <c r="A161">
        <v>13042</v>
      </c>
      <c r="B161" s="1">
        <v>45427</v>
      </c>
      <c r="C161">
        <v>464</v>
      </c>
      <c r="D161">
        <v>20</v>
      </c>
      <c r="E161" t="s">
        <v>28</v>
      </c>
      <c r="F161" t="s">
        <v>29</v>
      </c>
      <c r="G161">
        <v>5</v>
      </c>
      <c r="H161" s="12">
        <v>254.8</v>
      </c>
      <c r="I161" t="s">
        <v>35</v>
      </c>
      <c r="J161" t="s">
        <v>821</v>
      </c>
      <c r="K161">
        <v>4</v>
      </c>
      <c r="L161" t="s">
        <v>17</v>
      </c>
      <c r="M161">
        <v>54</v>
      </c>
      <c r="N161" s="21">
        <f t="shared" si="4"/>
        <v>1274</v>
      </c>
      <c r="O161" s="21">
        <f t="shared" si="5"/>
        <v>382.2</v>
      </c>
    </row>
    <row r="162" spans="1:15" x14ac:dyDescent="0.3">
      <c r="A162">
        <v>95274</v>
      </c>
      <c r="B162" s="1">
        <v>45427</v>
      </c>
      <c r="C162">
        <v>126</v>
      </c>
      <c r="D162">
        <v>20</v>
      </c>
      <c r="E162" t="s">
        <v>28</v>
      </c>
      <c r="F162" t="s">
        <v>79</v>
      </c>
      <c r="G162">
        <v>5</v>
      </c>
      <c r="H162" s="12">
        <v>323.89999999999998</v>
      </c>
      <c r="I162" t="s">
        <v>35</v>
      </c>
      <c r="J162" t="s">
        <v>964</v>
      </c>
      <c r="K162">
        <v>2</v>
      </c>
      <c r="L162" t="s">
        <v>17</v>
      </c>
      <c r="M162">
        <v>45</v>
      </c>
      <c r="N162" s="21">
        <f t="shared" si="4"/>
        <v>1619.5</v>
      </c>
      <c r="O162" s="21">
        <f t="shared" si="5"/>
        <v>485.84999999999997</v>
      </c>
    </row>
    <row r="163" spans="1:15" x14ac:dyDescent="0.3">
      <c r="A163">
        <v>50771</v>
      </c>
      <c r="B163" s="1">
        <v>45428</v>
      </c>
      <c r="C163">
        <v>472</v>
      </c>
      <c r="D163">
        <v>50</v>
      </c>
      <c r="E163" t="s">
        <v>18</v>
      </c>
      <c r="F163" t="s">
        <v>34</v>
      </c>
      <c r="G163">
        <v>4</v>
      </c>
      <c r="H163" s="12">
        <v>213.76</v>
      </c>
      <c r="I163" t="s">
        <v>35</v>
      </c>
      <c r="J163" t="s">
        <v>405</v>
      </c>
      <c r="K163">
        <v>5</v>
      </c>
      <c r="L163" t="s">
        <v>17</v>
      </c>
      <c r="M163">
        <v>24</v>
      </c>
      <c r="N163" s="21">
        <f t="shared" si="4"/>
        <v>855.04</v>
      </c>
      <c r="O163" s="21">
        <f t="shared" si="5"/>
        <v>256.512</v>
      </c>
    </row>
    <row r="164" spans="1:15" x14ac:dyDescent="0.3">
      <c r="A164">
        <v>93806</v>
      </c>
      <c r="B164" s="1">
        <v>45429</v>
      </c>
      <c r="C164">
        <v>606</v>
      </c>
      <c r="D164">
        <v>40</v>
      </c>
      <c r="E164" t="s">
        <v>24</v>
      </c>
      <c r="F164" t="s">
        <v>44</v>
      </c>
      <c r="G164">
        <v>4</v>
      </c>
      <c r="H164" s="12">
        <v>336.75</v>
      </c>
      <c r="I164" t="s">
        <v>26</v>
      </c>
      <c r="J164" t="s">
        <v>214</v>
      </c>
      <c r="K164">
        <v>5</v>
      </c>
      <c r="L164" t="s">
        <v>17</v>
      </c>
      <c r="M164">
        <v>37</v>
      </c>
      <c r="N164" s="21">
        <f t="shared" si="4"/>
        <v>1347</v>
      </c>
      <c r="O164" s="21">
        <f t="shared" si="5"/>
        <v>404.09999999999997</v>
      </c>
    </row>
    <row r="165" spans="1:15" x14ac:dyDescent="0.3">
      <c r="A165">
        <v>28186</v>
      </c>
      <c r="B165" s="1">
        <v>45429</v>
      </c>
      <c r="C165">
        <v>889</v>
      </c>
      <c r="D165">
        <v>50</v>
      </c>
      <c r="E165" t="s">
        <v>18</v>
      </c>
      <c r="F165" t="s">
        <v>22</v>
      </c>
      <c r="G165">
        <v>1</v>
      </c>
      <c r="H165" s="12">
        <v>75.709999999999994</v>
      </c>
      <c r="I165" t="s">
        <v>15</v>
      </c>
      <c r="J165" t="s">
        <v>430</v>
      </c>
      <c r="K165">
        <v>2</v>
      </c>
      <c r="L165" t="s">
        <v>21</v>
      </c>
      <c r="M165">
        <v>41</v>
      </c>
      <c r="N165" s="21">
        <f t="shared" si="4"/>
        <v>75.709999999999994</v>
      </c>
      <c r="O165" s="21">
        <f t="shared" si="5"/>
        <v>22.712999999999997</v>
      </c>
    </row>
    <row r="166" spans="1:15" x14ac:dyDescent="0.3">
      <c r="A166">
        <v>58130</v>
      </c>
      <c r="B166" s="1">
        <v>45429</v>
      </c>
      <c r="C166">
        <v>171</v>
      </c>
      <c r="D166">
        <v>40</v>
      </c>
      <c r="E166" t="s">
        <v>24</v>
      </c>
      <c r="F166" t="s">
        <v>63</v>
      </c>
      <c r="G166">
        <v>1</v>
      </c>
      <c r="H166" s="12">
        <v>138.55000000000001</v>
      </c>
      <c r="I166" t="s">
        <v>26</v>
      </c>
      <c r="J166" t="s">
        <v>497</v>
      </c>
      <c r="K166">
        <v>4</v>
      </c>
      <c r="L166" t="s">
        <v>17</v>
      </c>
      <c r="M166">
        <v>56</v>
      </c>
      <c r="N166" s="21">
        <f t="shared" si="4"/>
        <v>138.55000000000001</v>
      </c>
      <c r="O166" s="21">
        <f t="shared" si="5"/>
        <v>41.565000000000005</v>
      </c>
    </row>
    <row r="167" spans="1:15" x14ac:dyDescent="0.3">
      <c r="A167">
        <v>44793</v>
      </c>
      <c r="B167" s="1">
        <v>45429</v>
      </c>
      <c r="C167">
        <v>401</v>
      </c>
      <c r="D167">
        <v>10</v>
      </c>
      <c r="E167" t="s">
        <v>13</v>
      </c>
      <c r="F167" t="s">
        <v>42</v>
      </c>
      <c r="G167">
        <v>5</v>
      </c>
      <c r="H167" s="12">
        <v>340.32</v>
      </c>
      <c r="I167" t="s">
        <v>15</v>
      </c>
      <c r="J167" t="s">
        <v>551</v>
      </c>
      <c r="K167">
        <v>1</v>
      </c>
      <c r="L167" t="s">
        <v>17</v>
      </c>
      <c r="M167">
        <v>54</v>
      </c>
      <c r="N167" s="21">
        <f t="shared" si="4"/>
        <v>1701.6</v>
      </c>
      <c r="O167" s="21">
        <f t="shared" si="5"/>
        <v>510.47999999999996</v>
      </c>
    </row>
    <row r="168" spans="1:15" x14ac:dyDescent="0.3">
      <c r="A168">
        <v>55956</v>
      </c>
      <c r="B168" s="1">
        <v>45429</v>
      </c>
      <c r="C168">
        <v>110</v>
      </c>
      <c r="D168">
        <v>20</v>
      </c>
      <c r="E168" t="s">
        <v>28</v>
      </c>
      <c r="F168" t="s">
        <v>77</v>
      </c>
      <c r="G168">
        <v>3</v>
      </c>
      <c r="H168" s="12">
        <v>416.88</v>
      </c>
      <c r="I168" t="s">
        <v>35</v>
      </c>
      <c r="J168" t="s">
        <v>775</v>
      </c>
      <c r="L168" t="s">
        <v>17</v>
      </c>
      <c r="M168">
        <v>70</v>
      </c>
      <c r="N168" s="21">
        <f t="shared" si="4"/>
        <v>1250.6399999999999</v>
      </c>
      <c r="O168" s="21">
        <f t="shared" si="5"/>
        <v>375.19199999999995</v>
      </c>
    </row>
    <row r="169" spans="1:15" x14ac:dyDescent="0.3">
      <c r="A169">
        <v>36231</v>
      </c>
      <c r="B169" s="1">
        <v>45430</v>
      </c>
      <c r="C169">
        <v>606</v>
      </c>
      <c r="D169">
        <v>30</v>
      </c>
      <c r="E169" t="s">
        <v>37</v>
      </c>
      <c r="F169" t="s">
        <v>40</v>
      </c>
      <c r="G169">
        <v>5</v>
      </c>
      <c r="H169" s="12">
        <v>143.13999999999999</v>
      </c>
      <c r="I169" t="s">
        <v>26</v>
      </c>
      <c r="J169" t="s">
        <v>133</v>
      </c>
      <c r="K169">
        <v>5</v>
      </c>
      <c r="L169" t="s">
        <v>21</v>
      </c>
      <c r="M169">
        <v>72</v>
      </c>
      <c r="N169" s="21">
        <f t="shared" si="4"/>
        <v>715.69999999999993</v>
      </c>
      <c r="O169" s="21">
        <f t="shared" si="5"/>
        <v>214.70999999999998</v>
      </c>
    </row>
    <row r="170" spans="1:15" x14ac:dyDescent="0.3">
      <c r="A170">
        <v>16821</v>
      </c>
      <c r="B170" s="1">
        <v>45430</v>
      </c>
      <c r="C170">
        <v>175</v>
      </c>
      <c r="D170">
        <v>50</v>
      </c>
      <c r="E170" t="s">
        <v>18</v>
      </c>
      <c r="F170" t="s">
        <v>22</v>
      </c>
      <c r="G170">
        <v>4</v>
      </c>
      <c r="H170" s="12">
        <v>358.95</v>
      </c>
      <c r="I170" t="s">
        <v>26</v>
      </c>
      <c r="J170" t="s">
        <v>247</v>
      </c>
      <c r="K170">
        <v>5</v>
      </c>
      <c r="L170" t="s">
        <v>17</v>
      </c>
      <c r="M170">
        <v>68</v>
      </c>
      <c r="N170" s="21">
        <f t="shared" si="4"/>
        <v>1435.8</v>
      </c>
      <c r="O170" s="21">
        <f t="shared" si="5"/>
        <v>430.73999999999995</v>
      </c>
    </row>
    <row r="171" spans="1:15" x14ac:dyDescent="0.3">
      <c r="A171">
        <v>88015</v>
      </c>
      <c r="B171" s="1">
        <v>45432</v>
      </c>
      <c r="C171">
        <v>285</v>
      </c>
      <c r="D171">
        <v>20</v>
      </c>
      <c r="E171" t="s">
        <v>28</v>
      </c>
      <c r="F171" t="s">
        <v>29</v>
      </c>
      <c r="G171">
        <v>4</v>
      </c>
      <c r="H171" s="12">
        <v>264.29000000000002</v>
      </c>
      <c r="I171" t="s">
        <v>26</v>
      </c>
      <c r="J171" t="s">
        <v>185</v>
      </c>
      <c r="K171">
        <v>5</v>
      </c>
      <c r="L171" t="s">
        <v>21</v>
      </c>
      <c r="M171">
        <v>62</v>
      </c>
      <c r="N171" s="21">
        <f t="shared" si="4"/>
        <v>1057.1600000000001</v>
      </c>
      <c r="O171" s="21">
        <f t="shared" si="5"/>
        <v>317.14800000000002</v>
      </c>
    </row>
    <row r="172" spans="1:15" x14ac:dyDescent="0.3">
      <c r="A172">
        <v>91867</v>
      </c>
      <c r="B172" s="1">
        <v>45432</v>
      </c>
      <c r="C172">
        <v>893</v>
      </c>
      <c r="D172">
        <v>20</v>
      </c>
      <c r="E172" t="s">
        <v>28</v>
      </c>
      <c r="F172" t="s">
        <v>51</v>
      </c>
      <c r="G172">
        <v>1</v>
      </c>
      <c r="H172" s="12">
        <v>316.41000000000003</v>
      </c>
      <c r="I172" t="s">
        <v>15</v>
      </c>
      <c r="J172" t="s">
        <v>882</v>
      </c>
      <c r="K172">
        <v>4</v>
      </c>
      <c r="L172" t="s">
        <v>17</v>
      </c>
      <c r="M172">
        <v>45</v>
      </c>
      <c r="N172" s="21">
        <f t="shared" si="4"/>
        <v>316.41000000000003</v>
      </c>
      <c r="O172" s="21">
        <f t="shared" si="5"/>
        <v>94.923000000000002</v>
      </c>
    </row>
    <row r="173" spans="1:15" x14ac:dyDescent="0.3">
      <c r="A173">
        <v>49331</v>
      </c>
      <c r="B173" s="1">
        <v>45433</v>
      </c>
      <c r="C173">
        <v>526</v>
      </c>
      <c r="D173">
        <v>30</v>
      </c>
      <c r="E173" t="s">
        <v>37</v>
      </c>
      <c r="F173" t="s">
        <v>38</v>
      </c>
      <c r="G173">
        <v>5</v>
      </c>
      <c r="H173" s="12">
        <v>122.23</v>
      </c>
      <c r="I173" t="s">
        <v>15</v>
      </c>
      <c r="J173" t="s">
        <v>46</v>
      </c>
      <c r="K173">
        <v>5</v>
      </c>
      <c r="L173" t="s">
        <v>21</v>
      </c>
      <c r="M173">
        <v>32</v>
      </c>
      <c r="N173" s="21">
        <f t="shared" si="4"/>
        <v>611.15</v>
      </c>
      <c r="O173" s="21">
        <f t="shared" si="5"/>
        <v>183.345</v>
      </c>
    </row>
    <row r="174" spans="1:15" x14ac:dyDescent="0.3">
      <c r="A174">
        <v>23570</v>
      </c>
      <c r="B174" s="1">
        <v>45433</v>
      </c>
      <c r="C174">
        <v>721</v>
      </c>
      <c r="D174">
        <v>40</v>
      </c>
      <c r="E174" t="s">
        <v>24</v>
      </c>
      <c r="F174" t="s">
        <v>63</v>
      </c>
      <c r="G174">
        <v>5</v>
      </c>
      <c r="H174" s="12">
        <v>192.8</v>
      </c>
      <c r="I174" t="s">
        <v>26</v>
      </c>
      <c r="J174" t="s">
        <v>451</v>
      </c>
      <c r="K174">
        <v>4</v>
      </c>
      <c r="L174" t="s">
        <v>21</v>
      </c>
      <c r="M174">
        <v>35</v>
      </c>
      <c r="N174" s="21">
        <f t="shared" si="4"/>
        <v>964</v>
      </c>
      <c r="O174" s="21">
        <f t="shared" si="5"/>
        <v>289.2</v>
      </c>
    </row>
    <row r="175" spans="1:15" x14ac:dyDescent="0.3">
      <c r="A175">
        <v>97308</v>
      </c>
      <c r="B175" s="1">
        <v>45433</v>
      </c>
      <c r="C175">
        <v>712</v>
      </c>
      <c r="D175">
        <v>40</v>
      </c>
      <c r="E175" t="s">
        <v>24</v>
      </c>
      <c r="F175" t="s">
        <v>44</v>
      </c>
      <c r="G175">
        <v>2</v>
      </c>
      <c r="H175" s="12">
        <v>18.28</v>
      </c>
      <c r="I175" t="s">
        <v>35</v>
      </c>
      <c r="J175" t="s">
        <v>645</v>
      </c>
      <c r="L175" t="s">
        <v>21</v>
      </c>
      <c r="M175">
        <v>64</v>
      </c>
      <c r="N175" s="21">
        <f t="shared" si="4"/>
        <v>36.56</v>
      </c>
      <c r="O175" s="21">
        <f t="shared" si="5"/>
        <v>10.968</v>
      </c>
    </row>
    <row r="176" spans="1:15" x14ac:dyDescent="0.3">
      <c r="A176">
        <v>73858</v>
      </c>
      <c r="B176" s="1">
        <v>45433</v>
      </c>
      <c r="C176">
        <v>604</v>
      </c>
      <c r="D176">
        <v>20</v>
      </c>
      <c r="E176" t="s">
        <v>28</v>
      </c>
      <c r="F176" t="s">
        <v>29</v>
      </c>
      <c r="G176">
        <v>4</v>
      </c>
      <c r="H176" s="12">
        <v>488.49</v>
      </c>
      <c r="I176" t="s">
        <v>35</v>
      </c>
      <c r="J176" t="s">
        <v>814</v>
      </c>
      <c r="K176">
        <v>4</v>
      </c>
      <c r="L176" t="s">
        <v>21</v>
      </c>
      <c r="M176">
        <v>42</v>
      </c>
      <c r="N176" s="21">
        <f t="shared" si="4"/>
        <v>1953.96</v>
      </c>
      <c r="O176" s="21">
        <f t="shared" si="5"/>
        <v>586.18799999999999</v>
      </c>
    </row>
    <row r="177" spans="1:15" x14ac:dyDescent="0.3">
      <c r="A177">
        <v>75474</v>
      </c>
      <c r="B177" s="1">
        <v>45434</v>
      </c>
      <c r="C177">
        <v>107</v>
      </c>
      <c r="D177">
        <v>40</v>
      </c>
      <c r="E177" t="s">
        <v>24</v>
      </c>
      <c r="F177" t="s">
        <v>44</v>
      </c>
      <c r="G177">
        <v>1</v>
      </c>
      <c r="H177" s="12">
        <v>117.47</v>
      </c>
      <c r="I177" t="s">
        <v>15</v>
      </c>
      <c r="J177" t="s">
        <v>53</v>
      </c>
      <c r="K177">
        <v>4</v>
      </c>
      <c r="L177" t="s">
        <v>21</v>
      </c>
      <c r="M177">
        <v>73</v>
      </c>
      <c r="N177" s="21">
        <f t="shared" si="4"/>
        <v>117.47</v>
      </c>
      <c r="O177" s="21">
        <f t="shared" si="5"/>
        <v>35.241</v>
      </c>
    </row>
    <row r="178" spans="1:15" x14ac:dyDescent="0.3">
      <c r="A178">
        <v>54459</v>
      </c>
      <c r="B178" s="1">
        <v>45434</v>
      </c>
      <c r="C178">
        <v>676</v>
      </c>
      <c r="D178">
        <v>30</v>
      </c>
      <c r="E178" t="s">
        <v>37</v>
      </c>
      <c r="F178" t="s">
        <v>95</v>
      </c>
      <c r="G178">
        <v>5</v>
      </c>
      <c r="H178" s="12">
        <v>355.4</v>
      </c>
      <c r="I178" t="s">
        <v>35</v>
      </c>
      <c r="J178" t="s">
        <v>381</v>
      </c>
      <c r="K178">
        <v>5</v>
      </c>
      <c r="L178" t="s">
        <v>21</v>
      </c>
      <c r="M178">
        <v>35</v>
      </c>
      <c r="N178" s="21">
        <f t="shared" si="4"/>
        <v>1777</v>
      </c>
      <c r="O178" s="21">
        <f t="shared" si="5"/>
        <v>533.1</v>
      </c>
    </row>
    <row r="179" spans="1:15" x14ac:dyDescent="0.3">
      <c r="A179">
        <v>11578</v>
      </c>
      <c r="B179" s="1">
        <v>45434</v>
      </c>
      <c r="C179">
        <v>787</v>
      </c>
      <c r="D179">
        <v>40</v>
      </c>
      <c r="E179" t="s">
        <v>24</v>
      </c>
      <c r="F179" t="s">
        <v>65</v>
      </c>
      <c r="G179">
        <v>2</v>
      </c>
      <c r="H179" s="12">
        <v>36.369999999999997</v>
      </c>
      <c r="I179" t="s">
        <v>26</v>
      </c>
      <c r="J179" t="s">
        <v>834</v>
      </c>
      <c r="K179">
        <v>4</v>
      </c>
      <c r="M179">
        <v>35</v>
      </c>
      <c r="N179" s="21">
        <f t="shared" si="4"/>
        <v>72.739999999999995</v>
      </c>
      <c r="O179" s="21">
        <f t="shared" si="5"/>
        <v>21.821999999999999</v>
      </c>
    </row>
    <row r="180" spans="1:15" x14ac:dyDescent="0.3">
      <c r="A180">
        <v>82945</v>
      </c>
      <c r="B180" s="1">
        <v>45435</v>
      </c>
      <c r="C180">
        <v>952</v>
      </c>
      <c r="D180">
        <v>40</v>
      </c>
      <c r="E180" t="s">
        <v>24</v>
      </c>
      <c r="F180" t="s">
        <v>49</v>
      </c>
      <c r="G180">
        <v>2</v>
      </c>
      <c r="H180" s="12">
        <v>203.61</v>
      </c>
      <c r="I180" t="s">
        <v>35</v>
      </c>
      <c r="J180" t="s">
        <v>743</v>
      </c>
      <c r="L180" t="s">
        <v>21</v>
      </c>
      <c r="M180">
        <v>39</v>
      </c>
      <c r="N180" s="21">
        <f t="shared" si="4"/>
        <v>407.22</v>
      </c>
      <c r="O180" s="21">
        <f t="shared" si="5"/>
        <v>122.166</v>
      </c>
    </row>
    <row r="181" spans="1:15" x14ac:dyDescent="0.3">
      <c r="A181">
        <v>82989</v>
      </c>
      <c r="B181" s="1">
        <v>45436</v>
      </c>
      <c r="C181">
        <v>892</v>
      </c>
      <c r="D181">
        <v>10</v>
      </c>
      <c r="E181" t="s">
        <v>13</v>
      </c>
      <c r="F181" t="s">
        <v>111</v>
      </c>
      <c r="G181">
        <v>1</v>
      </c>
      <c r="H181" s="12">
        <v>474.75</v>
      </c>
      <c r="I181" t="s">
        <v>26</v>
      </c>
      <c r="J181" t="s">
        <v>669</v>
      </c>
      <c r="K181">
        <v>5</v>
      </c>
      <c r="L181" t="s">
        <v>17</v>
      </c>
      <c r="M181">
        <v>61</v>
      </c>
      <c r="N181" s="21">
        <f t="shared" si="4"/>
        <v>474.75</v>
      </c>
      <c r="O181" s="21">
        <f t="shared" si="5"/>
        <v>142.42499999999998</v>
      </c>
    </row>
    <row r="182" spans="1:15" x14ac:dyDescent="0.3">
      <c r="A182">
        <v>51031</v>
      </c>
      <c r="B182" s="1">
        <v>45437</v>
      </c>
      <c r="C182">
        <v>216</v>
      </c>
      <c r="D182">
        <v>40</v>
      </c>
      <c r="E182" t="s">
        <v>24</v>
      </c>
      <c r="F182" t="s">
        <v>25</v>
      </c>
      <c r="G182">
        <v>4</v>
      </c>
      <c r="H182" s="12">
        <v>140.72999999999999</v>
      </c>
      <c r="I182" t="s">
        <v>35</v>
      </c>
      <c r="J182" t="s">
        <v>108</v>
      </c>
      <c r="L182" t="s">
        <v>17</v>
      </c>
      <c r="M182">
        <v>50</v>
      </c>
      <c r="N182" s="21">
        <f t="shared" si="4"/>
        <v>562.91999999999996</v>
      </c>
      <c r="O182" s="21">
        <f t="shared" si="5"/>
        <v>168.87599999999998</v>
      </c>
    </row>
    <row r="183" spans="1:15" x14ac:dyDescent="0.3">
      <c r="A183">
        <v>27303</v>
      </c>
      <c r="B183" s="1">
        <v>45437</v>
      </c>
      <c r="C183">
        <v>119</v>
      </c>
      <c r="D183">
        <v>50</v>
      </c>
      <c r="E183" t="s">
        <v>18</v>
      </c>
      <c r="F183" t="s">
        <v>34</v>
      </c>
      <c r="G183">
        <v>1</v>
      </c>
      <c r="H183" s="12">
        <v>470.23</v>
      </c>
      <c r="I183" t="s">
        <v>15</v>
      </c>
      <c r="J183" t="s">
        <v>113</v>
      </c>
      <c r="K183">
        <v>5</v>
      </c>
      <c r="L183" t="s">
        <v>21</v>
      </c>
      <c r="M183">
        <v>26</v>
      </c>
      <c r="N183" s="21">
        <f t="shared" si="4"/>
        <v>470.23</v>
      </c>
      <c r="O183" s="21">
        <f t="shared" si="5"/>
        <v>141.06899999999999</v>
      </c>
    </row>
    <row r="184" spans="1:15" x14ac:dyDescent="0.3">
      <c r="A184">
        <v>89883</v>
      </c>
      <c r="B184" s="1">
        <v>45437</v>
      </c>
      <c r="C184">
        <v>182</v>
      </c>
      <c r="D184">
        <v>20</v>
      </c>
      <c r="E184" t="s">
        <v>28</v>
      </c>
      <c r="F184" t="s">
        <v>77</v>
      </c>
      <c r="G184">
        <v>5</v>
      </c>
      <c r="H184" s="12">
        <v>116.03</v>
      </c>
      <c r="I184" t="s">
        <v>26</v>
      </c>
      <c r="J184" t="s">
        <v>165</v>
      </c>
      <c r="K184">
        <v>2</v>
      </c>
      <c r="L184" t="s">
        <v>17</v>
      </c>
      <c r="M184">
        <v>66</v>
      </c>
      <c r="N184" s="21">
        <f t="shared" si="4"/>
        <v>580.15</v>
      </c>
      <c r="O184" s="21">
        <f t="shared" si="5"/>
        <v>174.04499999999999</v>
      </c>
    </row>
    <row r="185" spans="1:15" x14ac:dyDescent="0.3">
      <c r="A185">
        <v>16669</v>
      </c>
      <c r="B185" s="1">
        <v>45437</v>
      </c>
      <c r="C185">
        <v>360</v>
      </c>
      <c r="D185">
        <v>40</v>
      </c>
      <c r="E185" t="s">
        <v>24</v>
      </c>
      <c r="F185" t="s">
        <v>65</v>
      </c>
      <c r="G185">
        <v>3</v>
      </c>
      <c r="H185" s="12">
        <v>238.74</v>
      </c>
      <c r="I185" t="s">
        <v>26</v>
      </c>
      <c r="J185" t="s">
        <v>359</v>
      </c>
      <c r="K185">
        <v>4</v>
      </c>
      <c r="L185" t="s">
        <v>21</v>
      </c>
      <c r="M185">
        <v>34</v>
      </c>
      <c r="N185" s="21">
        <f t="shared" si="4"/>
        <v>716.22</v>
      </c>
      <c r="O185" s="21">
        <f t="shared" si="5"/>
        <v>214.86600000000001</v>
      </c>
    </row>
    <row r="186" spans="1:15" x14ac:dyDescent="0.3">
      <c r="A186">
        <v>95641</v>
      </c>
      <c r="B186" s="1">
        <v>45437</v>
      </c>
      <c r="C186">
        <v>887</v>
      </c>
      <c r="D186">
        <v>50</v>
      </c>
      <c r="E186" t="s">
        <v>18</v>
      </c>
      <c r="F186" t="s">
        <v>19</v>
      </c>
      <c r="G186">
        <v>3</v>
      </c>
      <c r="H186" s="12">
        <v>421.14</v>
      </c>
      <c r="I186" t="s">
        <v>15</v>
      </c>
      <c r="J186" t="s">
        <v>444</v>
      </c>
      <c r="K186">
        <v>5</v>
      </c>
      <c r="L186" t="s">
        <v>17</v>
      </c>
      <c r="M186">
        <v>74</v>
      </c>
      <c r="N186" s="21">
        <f t="shared" si="4"/>
        <v>1263.42</v>
      </c>
      <c r="O186" s="21">
        <f t="shared" si="5"/>
        <v>379.02600000000001</v>
      </c>
    </row>
    <row r="187" spans="1:15" x14ac:dyDescent="0.3">
      <c r="A187">
        <v>20004</v>
      </c>
      <c r="B187" s="1">
        <v>45437</v>
      </c>
      <c r="C187">
        <v>137</v>
      </c>
      <c r="D187">
        <v>30</v>
      </c>
      <c r="E187" t="s">
        <v>37</v>
      </c>
      <c r="F187" t="s">
        <v>40</v>
      </c>
      <c r="G187">
        <v>3</v>
      </c>
      <c r="H187" s="12">
        <v>220.32</v>
      </c>
      <c r="I187" t="s">
        <v>15</v>
      </c>
      <c r="J187" t="s">
        <v>527</v>
      </c>
      <c r="K187">
        <v>5</v>
      </c>
      <c r="L187" t="s">
        <v>21</v>
      </c>
      <c r="M187">
        <v>49</v>
      </c>
      <c r="N187" s="21">
        <f t="shared" si="4"/>
        <v>660.96</v>
      </c>
      <c r="O187" s="21">
        <f t="shared" si="5"/>
        <v>198.28800000000001</v>
      </c>
    </row>
    <row r="188" spans="1:15" x14ac:dyDescent="0.3">
      <c r="A188">
        <v>98227</v>
      </c>
      <c r="B188" s="1">
        <v>45437</v>
      </c>
      <c r="C188">
        <v>960</v>
      </c>
      <c r="D188">
        <v>10</v>
      </c>
      <c r="E188" t="s">
        <v>13</v>
      </c>
      <c r="F188" t="s">
        <v>32</v>
      </c>
      <c r="G188">
        <v>4</v>
      </c>
      <c r="H188" s="12">
        <v>356.25</v>
      </c>
      <c r="I188" t="s">
        <v>35</v>
      </c>
      <c r="J188" t="s">
        <v>868</v>
      </c>
      <c r="K188">
        <v>2</v>
      </c>
      <c r="L188" t="s">
        <v>17</v>
      </c>
      <c r="M188">
        <v>75</v>
      </c>
      <c r="N188" s="21">
        <f t="shared" si="4"/>
        <v>1425</v>
      </c>
      <c r="O188" s="21">
        <f t="shared" si="5"/>
        <v>427.5</v>
      </c>
    </row>
    <row r="189" spans="1:15" x14ac:dyDescent="0.3">
      <c r="A189">
        <v>10848</v>
      </c>
      <c r="B189" s="1">
        <v>45438</v>
      </c>
      <c r="C189">
        <v>281</v>
      </c>
      <c r="D189">
        <v>10</v>
      </c>
      <c r="E189" t="s">
        <v>13</v>
      </c>
      <c r="F189" t="s">
        <v>111</v>
      </c>
      <c r="G189">
        <v>5</v>
      </c>
      <c r="H189" s="12">
        <v>120.02</v>
      </c>
      <c r="I189" t="s">
        <v>26</v>
      </c>
      <c r="J189" t="s">
        <v>307</v>
      </c>
      <c r="K189">
        <v>5</v>
      </c>
      <c r="L189" t="s">
        <v>17</v>
      </c>
      <c r="M189">
        <v>67</v>
      </c>
      <c r="N189" s="21">
        <f t="shared" si="4"/>
        <v>600.1</v>
      </c>
      <c r="O189" s="21">
        <f t="shared" si="5"/>
        <v>180.03</v>
      </c>
    </row>
    <row r="190" spans="1:15" x14ac:dyDescent="0.3">
      <c r="A190">
        <v>90560</v>
      </c>
      <c r="B190" s="1">
        <v>45438</v>
      </c>
      <c r="C190">
        <v>739</v>
      </c>
      <c r="D190">
        <v>30</v>
      </c>
      <c r="E190" t="s">
        <v>37</v>
      </c>
      <c r="F190" t="s">
        <v>40</v>
      </c>
      <c r="G190">
        <v>2</v>
      </c>
      <c r="H190" s="12">
        <v>68.53</v>
      </c>
      <c r="I190" t="s">
        <v>35</v>
      </c>
      <c r="J190" t="s">
        <v>546</v>
      </c>
      <c r="L190" t="s">
        <v>21</v>
      </c>
      <c r="M190">
        <v>69</v>
      </c>
      <c r="N190" s="21">
        <f t="shared" si="4"/>
        <v>137.06</v>
      </c>
      <c r="O190" s="21">
        <f t="shared" si="5"/>
        <v>41.118000000000002</v>
      </c>
    </row>
    <row r="191" spans="1:15" x14ac:dyDescent="0.3">
      <c r="A191">
        <v>74490</v>
      </c>
      <c r="B191" s="1">
        <v>45438</v>
      </c>
      <c r="C191">
        <v>677</v>
      </c>
      <c r="D191">
        <v>50</v>
      </c>
      <c r="E191" t="s">
        <v>18</v>
      </c>
      <c r="F191" t="s">
        <v>22</v>
      </c>
      <c r="G191">
        <v>1</v>
      </c>
      <c r="H191" s="12">
        <v>409.85</v>
      </c>
      <c r="I191" t="s">
        <v>26</v>
      </c>
      <c r="J191" t="s">
        <v>653</v>
      </c>
      <c r="K191">
        <v>5</v>
      </c>
      <c r="L191" t="s">
        <v>21</v>
      </c>
      <c r="M191">
        <v>65</v>
      </c>
      <c r="N191" s="21">
        <f t="shared" si="4"/>
        <v>409.85</v>
      </c>
      <c r="O191" s="21">
        <f t="shared" si="5"/>
        <v>122.955</v>
      </c>
    </row>
    <row r="192" spans="1:15" x14ac:dyDescent="0.3">
      <c r="A192">
        <v>99042</v>
      </c>
      <c r="B192" s="1">
        <v>45438</v>
      </c>
      <c r="C192">
        <v>343</v>
      </c>
      <c r="D192">
        <v>20</v>
      </c>
      <c r="E192" t="s">
        <v>28</v>
      </c>
      <c r="F192" t="s">
        <v>77</v>
      </c>
      <c r="G192">
        <v>2</v>
      </c>
      <c r="H192" s="12">
        <v>212.25</v>
      </c>
      <c r="I192" t="s">
        <v>35</v>
      </c>
      <c r="J192" t="s">
        <v>713</v>
      </c>
      <c r="K192">
        <v>5</v>
      </c>
      <c r="L192" t="s">
        <v>17</v>
      </c>
      <c r="M192">
        <v>69</v>
      </c>
      <c r="N192" s="21">
        <f t="shared" si="4"/>
        <v>424.5</v>
      </c>
      <c r="O192" s="21">
        <f t="shared" si="5"/>
        <v>127.35</v>
      </c>
    </row>
    <row r="193" spans="1:15" x14ac:dyDescent="0.3">
      <c r="A193">
        <v>32058</v>
      </c>
      <c r="B193" s="1">
        <v>45439</v>
      </c>
      <c r="C193">
        <v>843</v>
      </c>
      <c r="D193">
        <v>10</v>
      </c>
      <c r="E193" t="s">
        <v>13</v>
      </c>
      <c r="F193" t="s">
        <v>32</v>
      </c>
      <c r="G193">
        <v>3</v>
      </c>
      <c r="H193" s="12">
        <v>57.32</v>
      </c>
      <c r="I193" t="s">
        <v>35</v>
      </c>
      <c r="J193" t="s">
        <v>252</v>
      </c>
      <c r="K193">
        <v>3</v>
      </c>
      <c r="L193" t="s">
        <v>21</v>
      </c>
      <c r="M193">
        <v>28</v>
      </c>
      <c r="N193" s="21">
        <f t="shared" si="4"/>
        <v>171.96</v>
      </c>
      <c r="O193" s="21">
        <f t="shared" si="5"/>
        <v>51.588000000000001</v>
      </c>
    </row>
    <row r="194" spans="1:15" x14ac:dyDescent="0.3">
      <c r="A194">
        <v>83207</v>
      </c>
      <c r="B194" s="1">
        <v>45439</v>
      </c>
      <c r="C194">
        <v>530</v>
      </c>
      <c r="D194">
        <v>50</v>
      </c>
      <c r="E194" t="s">
        <v>18</v>
      </c>
      <c r="F194" t="s">
        <v>19</v>
      </c>
      <c r="G194">
        <v>5</v>
      </c>
      <c r="H194" s="12">
        <v>228.76</v>
      </c>
      <c r="I194" t="s">
        <v>35</v>
      </c>
      <c r="J194" t="s">
        <v>421</v>
      </c>
      <c r="K194">
        <v>5</v>
      </c>
      <c r="L194" t="s">
        <v>21</v>
      </c>
      <c r="M194">
        <v>56</v>
      </c>
      <c r="N194" s="21">
        <f t="shared" si="4"/>
        <v>1143.8</v>
      </c>
      <c r="O194" s="21">
        <f t="shared" si="5"/>
        <v>343.14</v>
      </c>
    </row>
    <row r="195" spans="1:15" x14ac:dyDescent="0.3">
      <c r="A195">
        <v>26186</v>
      </c>
      <c r="B195" s="1">
        <v>45439</v>
      </c>
      <c r="C195">
        <v>822</v>
      </c>
      <c r="D195">
        <v>50</v>
      </c>
      <c r="E195" t="s">
        <v>18</v>
      </c>
      <c r="F195" t="s">
        <v>84</v>
      </c>
      <c r="G195">
        <v>3</v>
      </c>
      <c r="H195" s="12">
        <v>142.84</v>
      </c>
      <c r="I195" t="s">
        <v>15</v>
      </c>
      <c r="J195" t="s">
        <v>455</v>
      </c>
      <c r="K195">
        <v>5</v>
      </c>
      <c r="L195" t="s">
        <v>21</v>
      </c>
      <c r="M195">
        <v>38</v>
      </c>
      <c r="N195" s="21">
        <f t="shared" ref="N195:N258" si="6">H195*G195</f>
        <v>428.52</v>
      </c>
      <c r="O195" s="21">
        <f t="shared" ref="O195:O258" si="7">N195*0.3</f>
        <v>128.55599999999998</v>
      </c>
    </row>
    <row r="196" spans="1:15" x14ac:dyDescent="0.3">
      <c r="A196">
        <v>86056</v>
      </c>
      <c r="B196" s="1">
        <v>45439</v>
      </c>
      <c r="C196">
        <v>629</v>
      </c>
      <c r="D196">
        <v>20</v>
      </c>
      <c r="E196" t="s">
        <v>28</v>
      </c>
      <c r="F196" t="s">
        <v>72</v>
      </c>
      <c r="G196">
        <v>2</v>
      </c>
      <c r="H196" s="12">
        <v>344.86</v>
      </c>
      <c r="I196" t="s">
        <v>15</v>
      </c>
      <c r="J196" t="s">
        <v>717</v>
      </c>
      <c r="K196">
        <v>5</v>
      </c>
      <c r="L196" t="s">
        <v>17</v>
      </c>
      <c r="M196">
        <v>63</v>
      </c>
      <c r="N196" s="21">
        <f t="shared" si="6"/>
        <v>689.72</v>
      </c>
      <c r="O196" s="21">
        <f t="shared" si="7"/>
        <v>206.916</v>
      </c>
    </row>
    <row r="197" spans="1:15" x14ac:dyDescent="0.3">
      <c r="A197">
        <v>77076</v>
      </c>
      <c r="B197" s="1">
        <v>45439</v>
      </c>
      <c r="C197">
        <v>973</v>
      </c>
      <c r="D197">
        <v>10</v>
      </c>
      <c r="E197" t="s">
        <v>13</v>
      </c>
      <c r="F197" t="s">
        <v>111</v>
      </c>
      <c r="G197">
        <v>3</v>
      </c>
      <c r="H197" s="12">
        <v>83.17</v>
      </c>
      <c r="I197" t="s">
        <v>26</v>
      </c>
      <c r="J197" t="s">
        <v>983</v>
      </c>
      <c r="M197">
        <v>71</v>
      </c>
      <c r="N197" s="21">
        <f t="shared" si="6"/>
        <v>249.51</v>
      </c>
      <c r="O197" s="21">
        <f t="shared" si="7"/>
        <v>74.852999999999994</v>
      </c>
    </row>
    <row r="198" spans="1:15" x14ac:dyDescent="0.3">
      <c r="A198">
        <v>45232</v>
      </c>
      <c r="B198" s="1">
        <v>45440</v>
      </c>
      <c r="C198">
        <v>140</v>
      </c>
      <c r="D198">
        <v>30</v>
      </c>
      <c r="E198" t="s">
        <v>37</v>
      </c>
      <c r="F198" t="s">
        <v>68</v>
      </c>
      <c r="G198">
        <v>2</v>
      </c>
      <c r="H198" s="12">
        <v>139.43</v>
      </c>
      <c r="I198" t="s">
        <v>35</v>
      </c>
      <c r="J198" t="s">
        <v>629</v>
      </c>
      <c r="K198">
        <v>4</v>
      </c>
      <c r="L198" t="s">
        <v>17</v>
      </c>
      <c r="M198">
        <v>67</v>
      </c>
      <c r="N198" s="21">
        <f t="shared" si="6"/>
        <v>278.86</v>
      </c>
      <c r="O198" s="21">
        <f t="shared" si="7"/>
        <v>83.658000000000001</v>
      </c>
    </row>
    <row r="199" spans="1:15" x14ac:dyDescent="0.3">
      <c r="A199">
        <v>62030</v>
      </c>
      <c r="B199" s="1">
        <v>45440</v>
      </c>
      <c r="C199">
        <v>375</v>
      </c>
      <c r="D199">
        <v>10</v>
      </c>
      <c r="E199" t="s">
        <v>13</v>
      </c>
      <c r="F199" t="s">
        <v>14</v>
      </c>
      <c r="G199">
        <v>2</v>
      </c>
      <c r="H199" s="12">
        <v>45.89</v>
      </c>
      <c r="I199" t="s">
        <v>15</v>
      </c>
      <c r="J199" t="s">
        <v>739</v>
      </c>
      <c r="K199">
        <v>5</v>
      </c>
      <c r="L199" t="s">
        <v>17</v>
      </c>
      <c r="M199">
        <v>64</v>
      </c>
      <c r="N199" s="21">
        <f t="shared" si="6"/>
        <v>91.78</v>
      </c>
      <c r="O199" s="21">
        <f t="shared" si="7"/>
        <v>27.533999999999999</v>
      </c>
    </row>
    <row r="200" spans="1:15" x14ac:dyDescent="0.3">
      <c r="A200">
        <v>98418</v>
      </c>
      <c r="B200" s="1">
        <v>45440</v>
      </c>
      <c r="C200">
        <v>471</v>
      </c>
      <c r="D200">
        <v>30</v>
      </c>
      <c r="E200" t="s">
        <v>37</v>
      </c>
      <c r="F200" t="s">
        <v>40</v>
      </c>
      <c r="G200">
        <v>2</v>
      </c>
      <c r="H200" s="12">
        <v>493.95</v>
      </c>
      <c r="I200" t="s">
        <v>35</v>
      </c>
      <c r="J200" t="s">
        <v>905</v>
      </c>
      <c r="K200">
        <v>5</v>
      </c>
      <c r="L200" t="s">
        <v>17</v>
      </c>
      <c r="M200">
        <v>63</v>
      </c>
      <c r="N200" s="21">
        <f t="shared" si="6"/>
        <v>987.9</v>
      </c>
      <c r="O200" s="21">
        <f t="shared" si="7"/>
        <v>296.37</v>
      </c>
    </row>
    <row r="201" spans="1:15" x14ac:dyDescent="0.3">
      <c r="A201">
        <v>50980</v>
      </c>
      <c r="B201" s="1">
        <v>45441</v>
      </c>
      <c r="C201">
        <v>688</v>
      </c>
      <c r="D201">
        <v>40</v>
      </c>
      <c r="E201" t="s">
        <v>24</v>
      </c>
      <c r="F201" t="s">
        <v>65</v>
      </c>
      <c r="G201">
        <v>2</v>
      </c>
      <c r="H201" s="12">
        <v>44.8</v>
      </c>
      <c r="I201" t="s">
        <v>15</v>
      </c>
      <c r="J201" t="s">
        <v>538</v>
      </c>
      <c r="K201">
        <v>5</v>
      </c>
      <c r="M201">
        <v>27</v>
      </c>
      <c r="N201" s="21">
        <f t="shared" si="6"/>
        <v>89.6</v>
      </c>
      <c r="O201" s="21">
        <f t="shared" si="7"/>
        <v>26.88</v>
      </c>
    </row>
    <row r="202" spans="1:15" x14ac:dyDescent="0.3">
      <c r="A202">
        <v>67232</v>
      </c>
      <c r="B202" s="1">
        <v>45441</v>
      </c>
      <c r="C202">
        <v>645</v>
      </c>
      <c r="D202">
        <v>20</v>
      </c>
      <c r="E202" t="s">
        <v>28</v>
      </c>
      <c r="F202" t="s">
        <v>72</v>
      </c>
      <c r="G202">
        <v>2</v>
      </c>
      <c r="H202" s="12">
        <v>172.22</v>
      </c>
      <c r="I202" t="s">
        <v>26</v>
      </c>
      <c r="J202" t="s">
        <v>730</v>
      </c>
      <c r="K202">
        <v>1</v>
      </c>
      <c r="L202" t="s">
        <v>17</v>
      </c>
      <c r="M202">
        <v>52</v>
      </c>
      <c r="N202" s="21">
        <f t="shared" si="6"/>
        <v>344.44</v>
      </c>
      <c r="O202" s="21">
        <f t="shared" si="7"/>
        <v>103.33199999999999</v>
      </c>
    </row>
    <row r="203" spans="1:15" x14ac:dyDescent="0.3">
      <c r="A203">
        <v>91161</v>
      </c>
      <c r="B203" s="1">
        <v>45441</v>
      </c>
      <c r="C203">
        <v>556</v>
      </c>
      <c r="D203">
        <v>50</v>
      </c>
      <c r="E203" t="s">
        <v>18</v>
      </c>
      <c r="F203" t="s">
        <v>22</v>
      </c>
      <c r="G203">
        <v>3</v>
      </c>
      <c r="H203" s="12">
        <v>378.67</v>
      </c>
      <c r="I203" t="s">
        <v>15</v>
      </c>
      <c r="J203" t="s">
        <v>676</v>
      </c>
      <c r="K203">
        <v>4</v>
      </c>
      <c r="L203" t="s">
        <v>21</v>
      </c>
      <c r="M203">
        <v>25</v>
      </c>
      <c r="N203" s="21">
        <f t="shared" si="6"/>
        <v>1136.01</v>
      </c>
      <c r="O203" s="21">
        <f t="shared" si="7"/>
        <v>340.803</v>
      </c>
    </row>
    <row r="204" spans="1:15" x14ac:dyDescent="0.3">
      <c r="A204">
        <v>82700</v>
      </c>
      <c r="B204" s="1">
        <v>45442</v>
      </c>
      <c r="C204">
        <v>410</v>
      </c>
      <c r="D204">
        <v>50</v>
      </c>
      <c r="E204" t="s">
        <v>18</v>
      </c>
      <c r="F204" t="s">
        <v>87</v>
      </c>
      <c r="G204">
        <v>5</v>
      </c>
      <c r="H204" s="12">
        <v>37.869999999999997</v>
      </c>
      <c r="I204" t="s">
        <v>35</v>
      </c>
      <c r="J204" t="s">
        <v>88</v>
      </c>
      <c r="L204" t="s">
        <v>21</v>
      </c>
      <c r="M204">
        <v>55</v>
      </c>
      <c r="N204" s="21">
        <f t="shared" si="6"/>
        <v>189.35</v>
      </c>
      <c r="O204" s="21">
        <f t="shared" si="7"/>
        <v>56.805</v>
      </c>
    </row>
    <row r="205" spans="1:15" x14ac:dyDescent="0.3">
      <c r="A205">
        <v>69170</v>
      </c>
      <c r="B205" s="1">
        <v>45442</v>
      </c>
      <c r="C205">
        <v>660</v>
      </c>
      <c r="D205">
        <v>20</v>
      </c>
      <c r="E205" t="s">
        <v>28</v>
      </c>
      <c r="F205" t="s">
        <v>72</v>
      </c>
      <c r="G205">
        <v>4</v>
      </c>
      <c r="H205" s="12">
        <v>66.56</v>
      </c>
      <c r="I205" t="s">
        <v>15</v>
      </c>
      <c r="J205" t="s">
        <v>98</v>
      </c>
      <c r="K205">
        <v>5</v>
      </c>
      <c r="L205" t="s">
        <v>21</v>
      </c>
      <c r="M205">
        <v>62</v>
      </c>
      <c r="N205" s="21">
        <f t="shared" si="6"/>
        <v>266.24</v>
      </c>
      <c r="O205" s="21">
        <f t="shared" si="7"/>
        <v>79.872</v>
      </c>
    </row>
    <row r="206" spans="1:15" x14ac:dyDescent="0.3">
      <c r="A206">
        <v>38096</v>
      </c>
      <c r="B206" s="1">
        <v>45442</v>
      </c>
      <c r="C206">
        <v>826</v>
      </c>
      <c r="D206">
        <v>40</v>
      </c>
      <c r="E206" t="s">
        <v>24</v>
      </c>
      <c r="F206" t="s">
        <v>65</v>
      </c>
      <c r="G206">
        <v>1</v>
      </c>
      <c r="H206" s="12">
        <v>67.7</v>
      </c>
      <c r="I206" t="s">
        <v>26</v>
      </c>
      <c r="J206" t="s">
        <v>335</v>
      </c>
      <c r="K206">
        <v>5</v>
      </c>
      <c r="L206" t="s">
        <v>21</v>
      </c>
      <c r="M206">
        <v>58</v>
      </c>
      <c r="N206" s="21">
        <f t="shared" si="6"/>
        <v>67.7</v>
      </c>
      <c r="O206" s="21">
        <f t="shared" si="7"/>
        <v>20.309999999999999</v>
      </c>
    </row>
    <row r="207" spans="1:15" x14ac:dyDescent="0.3">
      <c r="A207">
        <v>20351</v>
      </c>
      <c r="B207" s="1">
        <v>45442</v>
      </c>
      <c r="C207">
        <v>627</v>
      </c>
      <c r="D207">
        <v>40</v>
      </c>
      <c r="E207" t="s">
        <v>24</v>
      </c>
      <c r="F207" t="s">
        <v>44</v>
      </c>
      <c r="G207">
        <v>5</v>
      </c>
      <c r="H207" s="12">
        <v>362.11</v>
      </c>
      <c r="I207" t="s">
        <v>15</v>
      </c>
      <c r="J207" t="s">
        <v>397</v>
      </c>
      <c r="K207">
        <v>5</v>
      </c>
      <c r="L207" t="s">
        <v>17</v>
      </c>
      <c r="M207">
        <v>62</v>
      </c>
      <c r="N207" s="21">
        <f t="shared" si="6"/>
        <v>1810.5500000000002</v>
      </c>
      <c r="O207" s="21">
        <f t="shared" si="7"/>
        <v>543.16500000000008</v>
      </c>
    </row>
    <row r="208" spans="1:15" x14ac:dyDescent="0.3">
      <c r="A208">
        <v>97874</v>
      </c>
      <c r="B208" s="1">
        <v>45442</v>
      </c>
      <c r="C208">
        <v>967</v>
      </c>
      <c r="D208">
        <v>20</v>
      </c>
      <c r="E208" t="s">
        <v>28</v>
      </c>
      <c r="F208" t="s">
        <v>77</v>
      </c>
      <c r="G208">
        <v>5</v>
      </c>
      <c r="H208" s="12">
        <v>381.31</v>
      </c>
      <c r="I208" t="s">
        <v>15</v>
      </c>
      <c r="J208" t="s">
        <v>620</v>
      </c>
      <c r="M208">
        <v>71</v>
      </c>
      <c r="N208" s="21">
        <f t="shared" si="6"/>
        <v>1906.55</v>
      </c>
      <c r="O208" s="21">
        <f t="shared" si="7"/>
        <v>571.96499999999992</v>
      </c>
    </row>
    <row r="209" spans="1:15" x14ac:dyDescent="0.3">
      <c r="A209">
        <v>24639</v>
      </c>
      <c r="B209" s="1">
        <v>45442</v>
      </c>
      <c r="C209">
        <v>797</v>
      </c>
      <c r="D209">
        <v>10</v>
      </c>
      <c r="E209" t="s">
        <v>13</v>
      </c>
      <c r="F209" t="s">
        <v>111</v>
      </c>
      <c r="G209">
        <v>3</v>
      </c>
      <c r="H209" s="12">
        <v>238.77</v>
      </c>
      <c r="I209" t="s">
        <v>15</v>
      </c>
      <c r="J209" t="s">
        <v>980</v>
      </c>
      <c r="L209" t="s">
        <v>17</v>
      </c>
      <c r="M209">
        <v>49</v>
      </c>
      <c r="N209" s="21">
        <f t="shared" si="6"/>
        <v>716.31000000000006</v>
      </c>
      <c r="O209" s="21">
        <f t="shared" si="7"/>
        <v>214.893</v>
      </c>
    </row>
    <row r="210" spans="1:15" x14ac:dyDescent="0.3">
      <c r="A210">
        <v>75314</v>
      </c>
      <c r="B210" s="1">
        <v>45443</v>
      </c>
      <c r="C210">
        <v>417</v>
      </c>
      <c r="D210">
        <v>20</v>
      </c>
      <c r="E210" t="s">
        <v>28</v>
      </c>
      <c r="F210" t="s">
        <v>79</v>
      </c>
      <c r="G210">
        <v>1</v>
      </c>
      <c r="H210" s="12">
        <v>181.56</v>
      </c>
      <c r="I210" t="s">
        <v>35</v>
      </c>
      <c r="J210" t="s">
        <v>256</v>
      </c>
      <c r="K210">
        <v>3</v>
      </c>
      <c r="L210" t="s">
        <v>17</v>
      </c>
      <c r="M210">
        <v>24</v>
      </c>
      <c r="N210" s="21">
        <f t="shared" si="6"/>
        <v>181.56</v>
      </c>
      <c r="O210" s="21">
        <f t="shared" si="7"/>
        <v>54.467999999999996</v>
      </c>
    </row>
    <row r="211" spans="1:15" x14ac:dyDescent="0.3">
      <c r="A211">
        <v>63278</v>
      </c>
      <c r="B211" s="1">
        <v>45443</v>
      </c>
      <c r="C211">
        <v>722</v>
      </c>
      <c r="D211">
        <v>40</v>
      </c>
      <c r="E211" t="s">
        <v>24</v>
      </c>
      <c r="F211" t="s">
        <v>65</v>
      </c>
      <c r="G211">
        <v>2</v>
      </c>
      <c r="H211" s="12">
        <v>215.13</v>
      </c>
      <c r="I211" t="s">
        <v>35</v>
      </c>
      <c r="J211" t="s">
        <v>620</v>
      </c>
      <c r="K211">
        <v>5</v>
      </c>
      <c r="M211">
        <v>53</v>
      </c>
      <c r="N211" s="21">
        <f t="shared" si="6"/>
        <v>430.26</v>
      </c>
      <c r="O211" s="21">
        <f t="shared" si="7"/>
        <v>129.078</v>
      </c>
    </row>
    <row r="212" spans="1:15" x14ac:dyDescent="0.3">
      <c r="A212">
        <v>33203</v>
      </c>
      <c r="B212" s="1">
        <v>45443</v>
      </c>
      <c r="C212">
        <v>236</v>
      </c>
      <c r="D212">
        <v>50</v>
      </c>
      <c r="E212" t="s">
        <v>18</v>
      </c>
      <c r="F212" t="s">
        <v>84</v>
      </c>
      <c r="G212">
        <v>5</v>
      </c>
      <c r="H212" s="12">
        <v>366.17</v>
      </c>
      <c r="I212" t="s">
        <v>35</v>
      </c>
      <c r="J212" t="s">
        <v>945</v>
      </c>
      <c r="K212">
        <v>5</v>
      </c>
      <c r="L212" t="s">
        <v>21</v>
      </c>
      <c r="M212">
        <v>62</v>
      </c>
      <c r="N212" s="21">
        <f t="shared" si="6"/>
        <v>1830.8500000000001</v>
      </c>
      <c r="O212" s="21">
        <f t="shared" si="7"/>
        <v>549.255</v>
      </c>
    </row>
    <row r="213" spans="1:15" x14ac:dyDescent="0.3">
      <c r="A213">
        <v>23188</v>
      </c>
      <c r="B213" s="1">
        <v>45444</v>
      </c>
      <c r="C213">
        <v>682</v>
      </c>
      <c r="D213">
        <v>50</v>
      </c>
      <c r="E213" t="s">
        <v>18</v>
      </c>
      <c r="F213" t="s">
        <v>19</v>
      </c>
      <c r="G213">
        <v>5</v>
      </c>
      <c r="H213" s="12">
        <v>299.33999999999997</v>
      </c>
      <c r="I213" t="s">
        <v>15</v>
      </c>
      <c r="J213" t="s">
        <v>20</v>
      </c>
      <c r="L213" t="s">
        <v>21</v>
      </c>
      <c r="M213">
        <v>59</v>
      </c>
      <c r="N213" s="21">
        <f t="shared" si="6"/>
        <v>1496.6999999999998</v>
      </c>
      <c r="O213" s="21">
        <f t="shared" si="7"/>
        <v>449.00999999999993</v>
      </c>
    </row>
    <row r="214" spans="1:15" x14ac:dyDescent="0.3">
      <c r="A214">
        <v>61332</v>
      </c>
      <c r="B214" s="1">
        <v>45444</v>
      </c>
      <c r="C214">
        <v>200</v>
      </c>
      <c r="D214">
        <v>50</v>
      </c>
      <c r="E214" t="s">
        <v>18</v>
      </c>
      <c r="F214" t="s">
        <v>87</v>
      </c>
      <c r="G214">
        <v>2</v>
      </c>
      <c r="H214" s="12">
        <v>68.94</v>
      </c>
      <c r="I214" t="s">
        <v>26</v>
      </c>
      <c r="J214" t="s">
        <v>623</v>
      </c>
      <c r="M214">
        <v>39</v>
      </c>
      <c r="N214" s="21">
        <f t="shared" si="6"/>
        <v>137.88</v>
      </c>
      <c r="O214" s="21">
        <f t="shared" si="7"/>
        <v>41.363999999999997</v>
      </c>
    </row>
    <row r="215" spans="1:15" x14ac:dyDescent="0.3">
      <c r="A215">
        <v>60796</v>
      </c>
      <c r="B215" s="1">
        <v>45444</v>
      </c>
      <c r="C215">
        <v>535</v>
      </c>
      <c r="D215">
        <v>50</v>
      </c>
      <c r="E215" t="s">
        <v>18</v>
      </c>
      <c r="F215" t="s">
        <v>22</v>
      </c>
      <c r="G215">
        <v>2</v>
      </c>
      <c r="H215" s="12">
        <v>241.33</v>
      </c>
      <c r="I215" t="s">
        <v>15</v>
      </c>
      <c r="J215" t="s">
        <v>757</v>
      </c>
      <c r="K215">
        <v>3</v>
      </c>
      <c r="L215" t="s">
        <v>21</v>
      </c>
      <c r="M215">
        <v>73</v>
      </c>
      <c r="N215" s="21">
        <f t="shared" si="6"/>
        <v>482.66</v>
      </c>
      <c r="O215" s="21">
        <f t="shared" si="7"/>
        <v>144.798</v>
      </c>
    </row>
    <row r="216" spans="1:15" x14ac:dyDescent="0.3">
      <c r="A216">
        <v>79880</v>
      </c>
      <c r="B216" s="1">
        <v>45444</v>
      </c>
      <c r="C216">
        <v>664</v>
      </c>
      <c r="D216">
        <v>30</v>
      </c>
      <c r="E216" t="s">
        <v>37</v>
      </c>
      <c r="F216" t="s">
        <v>38</v>
      </c>
      <c r="G216">
        <v>5</v>
      </c>
      <c r="H216" s="12">
        <v>308.42</v>
      </c>
      <c r="I216" t="s">
        <v>35</v>
      </c>
      <c r="J216" t="s">
        <v>793</v>
      </c>
      <c r="K216">
        <v>3</v>
      </c>
      <c r="M216">
        <v>20</v>
      </c>
      <c r="N216" s="21">
        <f t="shared" si="6"/>
        <v>1542.1000000000001</v>
      </c>
      <c r="O216" s="21">
        <f t="shared" si="7"/>
        <v>462.63</v>
      </c>
    </row>
    <row r="217" spans="1:15" x14ac:dyDescent="0.3">
      <c r="A217">
        <v>28742</v>
      </c>
      <c r="B217" s="1">
        <v>45445</v>
      </c>
      <c r="C217">
        <v>184</v>
      </c>
      <c r="D217">
        <v>10</v>
      </c>
      <c r="E217" t="s">
        <v>13</v>
      </c>
      <c r="F217" t="s">
        <v>111</v>
      </c>
      <c r="G217">
        <v>5</v>
      </c>
      <c r="H217" s="12">
        <v>335.61</v>
      </c>
      <c r="I217" t="s">
        <v>35</v>
      </c>
      <c r="J217" t="s">
        <v>526</v>
      </c>
      <c r="L217" t="s">
        <v>21</v>
      </c>
      <c r="M217">
        <v>34</v>
      </c>
      <c r="N217" s="21">
        <f t="shared" si="6"/>
        <v>1678.0500000000002</v>
      </c>
      <c r="O217" s="21">
        <f t="shared" si="7"/>
        <v>503.41500000000002</v>
      </c>
    </row>
    <row r="218" spans="1:15" x14ac:dyDescent="0.3">
      <c r="A218">
        <v>48725</v>
      </c>
      <c r="B218" s="1">
        <v>45445</v>
      </c>
      <c r="C218">
        <v>471</v>
      </c>
      <c r="D218">
        <v>10</v>
      </c>
      <c r="E218" t="s">
        <v>13</v>
      </c>
      <c r="F218" t="s">
        <v>42</v>
      </c>
      <c r="G218">
        <v>2</v>
      </c>
      <c r="H218" s="12">
        <v>411.33</v>
      </c>
      <c r="I218" t="s">
        <v>15</v>
      </c>
      <c r="J218" t="s">
        <v>873</v>
      </c>
      <c r="K218">
        <v>4</v>
      </c>
      <c r="L218" t="s">
        <v>17</v>
      </c>
      <c r="M218">
        <v>64</v>
      </c>
      <c r="N218" s="21">
        <f t="shared" si="6"/>
        <v>822.66</v>
      </c>
      <c r="O218" s="21">
        <f t="shared" si="7"/>
        <v>246.79799999999997</v>
      </c>
    </row>
    <row r="219" spans="1:15" x14ac:dyDescent="0.3">
      <c r="A219">
        <v>17074</v>
      </c>
      <c r="B219" s="1">
        <v>45445</v>
      </c>
      <c r="C219">
        <v>224</v>
      </c>
      <c r="D219">
        <v>30</v>
      </c>
      <c r="E219" t="s">
        <v>37</v>
      </c>
      <c r="F219" t="s">
        <v>58</v>
      </c>
      <c r="G219">
        <v>1</v>
      </c>
      <c r="H219" s="12">
        <v>260.52</v>
      </c>
      <c r="I219" t="s">
        <v>35</v>
      </c>
      <c r="J219" t="s">
        <v>890</v>
      </c>
      <c r="K219">
        <v>5</v>
      </c>
      <c r="L219" t="s">
        <v>21</v>
      </c>
      <c r="M219">
        <v>37</v>
      </c>
      <c r="N219" s="21">
        <f t="shared" si="6"/>
        <v>260.52</v>
      </c>
      <c r="O219" s="21">
        <f t="shared" si="7"/>
        <v>78.155999999999992</v>
      </c>
    </row>
    <row r="220" spans="1:15" x14ac:dyDescent="0.3">
      <c r="A220">
        <v>54901</v>
      </c>
      <c r="B220" s="1">
        <v>45447</v>
      </c>
      <c r="C220">
        <v>491</v>
      </c>
      <c r="D220">
        <v>40</v>
      </c>
      <c r="E220" t="s">
        <v>24</v>
      </c>
      <c r="F220" t="s">
        <v>65</v>
      </c>
      <c r="G220">
        <v>3</v>
      </c>
      <c r="H220" s="12">
        <v>376.28</v>
      </c>
      <c r="I220" t="s">
        <v>35</v>
      </c>
      <c r="J220" t="s">
        <v>138</v>
      </c>
      <c r="K220">
        <v>5</v>
      </c>
      <c r="L220" t="s">
        <v>17</v>
      </c>
      <c r="M220">
        <v>23</v>
      </c>
      <c r="N220" s="21">
        <f t="shared" si="6"/>
        <v>1128.8399999999999</v>
      </c>
      <c r="O220" s="21">
        <f t="shared" si="7"/>
        <v>338.65199999999999</v>
      </c>
    </row>
    <row r="221" spans="1:15" x14ac:dyDescent="0.3">
      <c r="A221">
        <v>39236</v>
      </c>
      <c r="B221" s="1">
        <v>45448</v>
      </c>
      <c r="C221">
        <v>793</v>
      </c>
      <c r="D221">
        <v>30</v>
      </c>
      <c r="E221" t="s">
        <v>37</v>
      </c>
      <c r="F221" t="s">
        <v>40</v>
      </c>
      <c r="G221">
        <v>1</v>
      </c>
      <c r="H221" s="12">
        <v>158.11000000000001</v>
      </c>
      <c r="I221" t="s">
        <v>35</v>
      </c>
      <c r="J221" t="s">
        <v>167</v>
      </c>
      <c r="K221">
        <v>4</v>
      </c>
      <c r="L221" t="s">
        <v>21</v>
      </c>
      <c r="M221">
        <v>47</v>
      </c>
      <c r="N221" s="21">
        <f t="shared" si="6"/>
        <v>158.11000000000001</v>
      </c>
      <c r="O221" s="21">
        <f t="shared" si="7"/>
        <v>47.433</v>
      </c>
    </row>
    <row r="222" spans="1:15" x14ac:dyDescent="0.3">
      <c r="A222">
        <v>14284</v>
      </c>
      <c r="B222" s="1">
        <v>45448</v>
      </c>
      <c r="C222">
        <v>865</v>
      </c>
      <c r="D222">
        <v>20</v>
      </c>
      <c r="E222" t="s">
        <v>28</v>
      </c>
      <c r="F222" t="s">
        <v>77</v>
      </c>
      <c r="G222">
        <v>1</v>
      </c>
      <c r="H222" s="12">
        <v>323.83</v>
      </c>
      <c r="I222" t="s">
        <v>26</v>
      </c>
      <c r="J222" t="s">
        <v>494</v>
      </c>
      <c r="K222">
        <v>3</v>
      </c>
      <c r="L222" t="s">
        <v>17</v>
      </c>
      <c r="M222">
        <v>63</v>
      </c>
      <c r="N222" s="21">
        <f t="shared" si="6"/>
        <v>323.83</v>
      </c>
      <c r="O222" s="21">
        <f t="shared" si="7"/>
        <v>97.148999999999987</v>
      </c>
    </row>
    <row r="223" spans="1:15" x14ac:dyDescent="0.3">
      <c r="A223">
        <v>23300</v>
      </c>
      <c r="B223" s="1">
        <v>45448</v>
      </c>
      <c r="C223">
        <v>737</v>
      </c>
      <c r="D223">
        <v>20</v>
      </c>
      <c r="E223" t="s">
        <v>28</v>
      </c>
      <c r="F223" t="s">
        <v>29</v>
      </c>
      <c r="G223">
        <v>2</v>
      </c>
      <c r="H223" s="12">
        <v>46.12</v>
      </c>
      <c r="I223" t="s">
        <v>15</v>
      </c>
      <c r="J223" t="s">
        <v>607</v>
      </c>
      <c r="K223">
        <v>2</v>
      </c>
      <c r="L223" t="s">
        <v>21</v>
      </c>
      <c r="M223">
        <v>66</v>
      </c>
      <c r="N223" s="21">
        <f t="shared" si="6"/>
        <v>92.24</v>
      </c>
      <c r="O223" s="21">
        <f t="shared" si="7"/>
        <v>27.671999999999997</v>
      </c>
    </row>
    <row r="224" spans="1:15" x14ac:dyDescent="0.3">
      <c r="A224">
        <v>39945</v>
      </c>
      <c r="B224" s="1">
        <v>45449</v>
      </c>
      <c r="C224">
        <v>273</v>
      </c>
      <c r="D224">
        <v>50</v>
      </c>
      <c r="E224" t="s">
        <v>18</v>
      </c>
      <c r="F224" t="s">
        <v>34</v>
      </c>
      <c r="G224">
        <v>5</v>
      </c>
      <c r="H224" s="12">
        <v>182.39</v>
      </c>
      <c r="I224" t="s">
        <v>26</v>
      </c>
      <c r="J224" t="s">
        <v>163</v>
      </c>
      <c r="K224">
        <v>2</v>
      </c>
      <c r="L224" t="s">
        <v>21</v>
      </c>
      <c r="M224">
        <v>75</v>
      </c>
      <c r="N224" s="21">
        <f t="shared" si="6"/>
        <v>911.94999999999993</v>
      </c>
      <c r="O224" s="21">
        <f t="shared" si="7"/>
        <v>273.58499999999998</v>
      </c>
    </row>
    <row r="225" spans="1:15" x14ac:dyDescent="0.3">
      <c r="A225">
        <v>12817</v>
      </c>
      <c r="B225" s="1">
        <v>45449</v>
      </c>
      <c r="C225">
        <v>466</v>
      </c>
      <c r="D225">
        <v>50</v>
      </c>
      <c r="E225" t="s">
        <v>18</v>
      </c>
      <c r="F225" t="s">
        <v>22</v>
      </c>
      <c r="G225">
        <v>4</v>
      </c>
      <c r="H225" s="12">
        <v>397.46</v>
      </c>
      <c r="I225" t="s">
        <v>15</v>
      </c>
      <c r="J225" t="s">
        <v>173</v>
      </c>
      <c r="K225">
        <v>5</v>
      </c>
      <c r="L225" t="s">
        <v>21</v>
      </c>
      <c r="M225">
        <v>40</v>
      </c>
      <c r="N225" s="21">
        <f t="shared" si="6"/>
        <v>1589.84</v>
      </c>
      <c r="O225" s="21">
        <f t="shared" si="7"/>
        <v>476.95199999999994</v>
      </c>
    </row>
    <row r="226" spans="1:15" x14ac:dyDescent="0.3">
      <c r="A226">
        <v>88424</v>
      </c>
      <c r="B226" s="1">
        <v>45449</v>
      </c>
      <c r="C226">
        <v>535</v>
      </c>
      <c r="D226">
        <v>10</v>
      </c>
      <c r="E226" t="s">
        <v>13</v>
      </c>
      <c r="F226" t="s">
        <v>14</v>
      </c>
      <c r="G226">
        <v>2</v>
      </c>
      <c r="H226" s="12">
        <v>190.68</v>
      </c>
      <c r="I226" t="s">
        <v>26</v>
      </c>
      <c r="J226" t="s">
        <v>282</v>
      </c>
      <c r="L226" t="s">
        <v>17</v>
      </c>
      <c r="M226">
        <v>44</v>
      </c>
      <c r="N226" s="21">
        <f t="shared" si="6"/>
        <v>381.36</v>
      </c>
      <c r="O226" s="21">
        <f t="shared" si="7"/>
        <v>114.408</v>
      </c>
    </row>
    <row r="227" spans="1:15" x14ac:dyDescent="0.3">
      <c r="A227">
        <v>36125</v>
      </c>
      <c r="B227" s="1">
        <v>45449</v>
      </c>
      <c r="C227">
        <v>521</v>
      </c>
      <c r="D227">
        <v>50</v>
      </c>
      <c r="E227" t="s">
        <v>18</v>
      </c>
      <c r="F227" t="s">
        <v>84</v>
      </c>
      <c r="G227">
        <v>5</v>
      </c>
      <c r="H227" s="12">
        <v>406.26</v>
      </c>
      <c r="I227" t="s">
        <v>26</v>
      </c>
      <c r="J227" t="s">
        <v>410</v>
      </c>
      <c r="L227" t="s">
        <v>21</v>
      </c>
      <c r="M227">
        <v>30</v>
      </c>
      <c r="N227" s="21">
        <f t="shared" si="6"/>
        <v>2031.3</v>
      </c>
      <c r="O227" s="21">
        <f t="shared" si="7"/>
        <v>609.39</v>
      </c>
    </row>
    <row r="228" spans="1:15" x14ac:dyDescent="0.3">
      <c r="A228">
        <v>79809</v>
      </c>
      <c r="B228" s="1">
        <v>45450</v>
      </c>
      <c r="C228">
        <v>706</v>
      </c>
      <c r="D228">
        <v>10</v>
      </c>
      <c r="E228" t="s">
        <v>13</v>
      </c>
      <c r="F228" t="s">
        <v>32</v>
      </c>
      <c r="G228">
        <v>5</v>
      </c>
      <c r="H228" s="12">
        <v>272.75</v>
      </c>
      <c r="I228" t="s">
        <v>26</v>
      </c>
      <c r="J228" t="s">
        <v>33</v>
      </c>
      <c r="L228" t="s">
        <v>21</v>
      </c>
      <c r="M228">
        <v>57</v>
      </c>
      <c r="N228" s="21">
        <f t="shared" si="6"/>
        <v>1363.75</v>
      </c>
      <c r="O228" s="21">
        <f t="shared" si="7"/>
        <v>409.125</v>
      </c>
    </row>
    <row r="229" spans="1:15" x14ac:dyDescent="0.3">
      <c r="A229">
        <v>28298</v>
      </c>
      <c r="B229" s="1">
        <v>45450</v>
      </c>
      <c r="C229">
        <v>555</v>
      </c>
      <c r="D229">
        <v>40</v>
      </c>
      <c r="E229" t="s">
        <v>24</v>
      </c>
      <c r="F229" t="s">
        <v>63</v>
      </c>
      <c r="G229">
        <v>3</v>
      </c>
      <c r="H229" s="12">
        <v>346.82</v>
      </c>
      <c r="I229" t="s">
        <v>26</v>
      </c>
      <c r="J229" t="s">
        <v>178</v>
      </c>
      <c r="K229">
        <v>5</v>
      </c>
      <c r="L229" t="s">
        <v>17</v>
      </c>
      <c r="M229">
        <v>18</v>
      </c>
      <c r="N229" s="21">
        <f t="shared" si="6"/>
        <v>1040.46</v>
      </c>
      <c r="O229" s="21">
        <f t="shared" si="7"/>
        <v>312.13799999999998</v>
      </c>
    </row>
    <row r="230" spans="1:15" x14ac:dyDescent="0.3">
      <c r="A230">
        <v>20485</v>
      </c>
      <c r="B230" s="1">
        <v>45450</v>
      </c>
      <c r="C230">
        <v>602</v>
      </c>
      <c r="D230">
        <v>20</v>
      </c>
      <c r="E230" t="s">
        <v>28</v>
      </c>
      <c r="F230" t="s">
        <v>79</v>
      </c>
      <c r="G230">
        <v>4</v>
      </c>
      <c r="H230" s="12">
        <v>333.92</v>
      </c>
      <c r="I230" t="s">
        <v>15</v>
      </c>
      <c r="J230" t="s">
        <v>240</v>
      </c>
      <c r="L230" t="s">
        <v>21</v>
      </c>
      <c r="M230">
        <v>44</v>
      </c>
      <c r="N230" s="21">
        <f t="shared" si="6"/>
        <v>1335.68</v>
      </c>
      <c r="O230" s="21">
        <f t="shared" si="7"/>
        <v>400.70400000000001</v>
      </c>
    </row>
    <row r="231" spans="1:15" x14ac:dyDescent="0.3">
      <c r="A231">
        <v>35007</v>
      </c>
      <c r="B231" s="1">
        <v>45452</v>
      </c>
      <c r="C231">
        <v>355</v>
      </c>
      <c r="D231">
        <v>30</v>
      </c>
      <c r="E231" t="s">
        <v>37</v>
      </c>
      <c r="F231" t="s">
        <v>68</v>
      </c>
      <c r="G231">
        <v>2</v>
      </c>
      <c r="H231" s="12">
        <v>149.77000000000001</v>
      </c>
      <c r="I231" t="s">
        <v>35</v>
      </c>
      <c r="J231" t="s">
        <v>83</v>
      </c>
      <c r="K231">
        <v>5</v>
      </c>
      <c r="M231">
        <v>65</v>
      </c>
      <c r="N231" s="21">
        <f t="shared" si="6"/>
        <v>299.54000000000002</v>
      </c>
      <c r="O231" s="21">
        <f t="shared" si="7"/>
        <v>89.862000000000009</v>
      </c>
    </row>
    <row r="232" spans="1:15" x14ac:dyDescent="0.3">
      <c r="A232">
        <v>55184</v>
      </c>
      <c r="B232" s="1">
        <v>45452</v>
      </c>
      <c r="C232">
        <v>151</v>
      </c>
      <c r="D232">
        <v>20</v>
      </c>
      <c r="E232" t="s">
        <v>28</v>
      </c>
      <c r="F232" t="s">
        <v>29</v>
      </c>
      <c r="G232">
        <v>5</v>
      </c>
      <c r="H232" s="12">
        <v>31.41</v>
      </c>
      <c r="I232" t="s">
        <v>26</v>
      </c>
      <c r="J232" t="s">
        <v>298</v>
      </c>
      <c r="K232">
        <v>5</v>
      </c>
      <c r="L232" t="s">
        <v>21</v>
      </c>
      <c r="M232">
        <v>23</v>
      </c>
      <c r="N232" s="21">
        <f t="shared" si="6"/>
        <v>157.05000000000001</v>
      </c>
      <c r="O232" s="21">
        <f t="shared" si="7"/>
        <v>47.115000000000002</v>
      </c>
    </row>
    <row r="233" spans="1:15" x14ac:dyDescent="0.3">
      <c r="A233">
        <v>27836</v>
      </c>
      <c r="B233" s="1">
        <v>45452</v>
      </c>
      <c r="C233">
        <v>302</v>
      </c>
      <c r="D233">
        <v>10</v>
      </c>
      <c r="E233" t="s">
        <v>13</v>
      </c>
      <c r="F233" t="s">
        <v>111</v>
      </c>
      <c r="G233">
        <v>4</v>
      </c>
      <c r="H233" s="12">
        <v>110.67</v>
      </c>
      <c r="I233" t="s">
        <v>35</v>
      </c>
      <c r="J233" t="s">
        <v>536</v>
      </c>
      <c r="K233">
        <v>4</v>
      </c>
      <c r="L233" t="s">
        <v>17</v>
      </c>
      <c r="M233">
        <v>73</v>
      </c>
      <c r="N233" s="21">
        <f t="shared" si="6"/>
        <v>442.68</v>
      </c>
      <c r="O233" s="21">
        <f t="shared" si="7"/>
        <v>132.804</v>
      </c>
    </row>
    <row r="234" spans="1:15" x14ac:dyDescent="0.3">
      <c r="A234">
        <v>55438</v>
      </c>
      <c r="B234" s="1">
        <v>45452</v>
      </c>
      <c r="C234">
        <v>716</v>
      </c>
      <c r="D234">
        <v>10</v>
      </c>
      <c r="E234" t="s">
        <v>13</v>
      </c>
      <c r="F234" t="s">
        <v>47</v>
      </c>
      <c r="G234">
        <v>3</v>
      </c>
      <c r="H234" s="12">
        <v>82.65</v>
      </c>
      <c r="I234" t="s">
        <v>35</v>
      </c>
      <c r="J234" t="s">
        <v>952</v>
      </c>
      <c r="K234">
        <v>3</v>
      </c>
      <c r="L234" t="s">
        <v>21</v>
      </c>
      <c r="M234">
        <v>51</v>
      </c>
      <c r="N234" s="21">
        <f t="shared" si="6"/>
        <v>247.95000000000002</v>
      </c>
      <c r="O234" s="21">
        <f t="shared" si="7"/>
        <v>74.385000000000005</v>
      </c>
    </row>
    <row r="235" spans="1:15" x14ac:dyDescent="0.3">
      <c r="A235">
        <v>17263</v>
      </c>
      <c r="B235" s="1">
        <v>45453</v>
      </c>
      <c r="C235">
        <v>542</v>
      </c>
      <c r="D235">
        <v>10</v>
      </c>
      <c r="E235" t="s">
        <v>13</v>
      </c>
      <c r="F235" t="s">
        <v>42</v>
      </c>
      <c r="G235">
        <v>5</v>
      </c>
      <c r="H235" s="12">
        <v>375.27</v>
      </c>
      <c r="I235" t="s">
        <v>26</v>
      </c>
      <c r="J235" t="s">
        <v>460</v>
      </c>
      <c r="L235" t="s">
        <v>21</v>
      </c>
      <c r="M235">
        <v>47</v>
      </c>
      <c r="N235" s="21">
        <f t="shared" si="6"/>
        <v>1876.35</v>
      </c>
      <c r="O235" s="21">
        <f t="shared" si="7"/>
        <v>562.90499999999997</v>
      </c>
    </row>
    <row r="236" spans="1:15" x14ac:dyDescent="0.3">
      <c r="A236">
        <v>92654</v>
      </c>
      <c r="B236" s="1">
        <v>45453</v>
      </c>
      <c r="C236">
        <v>693</v>
      </c>
      <c r="D236">
        <v>50</v>
      </c>
      <c r="E236" t="s">
        <v>18</v>
      </c>
      <c r="F236" t="s">
        <v>84</v>
      </c>
      <c r="G236">
        <v>1</v>
      </c>
      <c r="H236" s="12">
        <v>386.91</v>
      </c>
      <c r="I236" t="s">
        <v>15</v>
      </c>
      <c r="J236" t="s">
        <v>756</v>
      </c>
      <c r="K236">
        <v>5</v>
      </c>
      <c r="L236" t="s">
        <v>17</v>
      </c>
      <c r="M236">
        <v>31</v>
      </c>
      <c r="N236" s="21">
        <f t="shared" si="6"/>
        <v>386.91</v>
      </c>
      <c r="O236" s="21">
        <f t="shared" si="7"/>
        <v>116.07300000000001</v>
      </c>
    </row>
    <row r="237" spans="1:15" x14ac:dyDescent="0.3">
      <c r="A237">
        <v>21664</v>
      </c>
      <c r="B237" s="1">
        <v>45453</v>
      </c>
      <c r="C237">
        <v>395</v>
      </c>
      <c r="D237">
        <v>40</v>
      </c>
      <c r="E237" t="s">
        <v>24</v>
      </c>
      <c r="F237" t="s">
        <v>63</v>
      </c>
      <c r="G237">
        <v>3</v>
      </c>
      <c r="H237" s="12">
        <v>326.37</v>
      </c>
      <c r="I237" t="s">
        <v>26</v>
      </c>
      <c r="J237" t="s">
        <v>968</v>
      </c>
      <c r="L237" t="s">
        <v>17</v>
      </c>
      <c r="M237">
        <v>39</v>
      </c>
      <c r="N237" s="21">
        <f t="shared" si="6"/>
        <v>979.11</v>
      </c>
      <c r="O237" s="21">
        <f t="shared" si="7"/>
        <v>293.733</v>
      </c>
    </row>
    <row r="238" spans="1:15" x14ac:dyDescent="0.3">
      <c r="A238">
        <v>33897</v>
      </c>
      <c r="B238" s="1">
        <v>45454</v>
      </c>
      <c r="C238">
        <v>755</v>
      </c>
      <c r="D238">
        <v>50</v>
      </c>
      <c r="E238" t="s">
        <v>18</v>
      </c>
      <c r="F238" t="s">
        <v>87</v>
      </c>
      <c r="G238">
        <v>1</v>
      </c>
      <c r="H238" s="12">
        <v>323.43</v>
      </c>
      <c r="I238" t="s">
        <v>15</v>
      </c>
      <c r="J238" t="s">
        <v>601</v>
      </c>
      <c r="K238">
        <v>5</v>
      </c>
      <c r="L238" t="s">
        <v>21</v>
      </c>
      <c r="M238">
        <v>48</v>
      </c>
      <c r="N238" s="21">
        <f t="shared" si="6"/>
        <v>323.43</v>
      </c>
      <c r="O238" s="21">
        <f t="shared" si="7"/>
        <v>97.028999999999996</v>
      </c>
    </row>
    <row r="239" spans="1:15" x14ac:dyDescent="0.3">
      <c r="A239">
        <v>17483</v>
      </c>
      <c r="B239" s="1">
        <v>45454</v>
      </c>
      <c r="C239">
        <v>205</v>
      </c>
      <c r="D239">
        <v>20</v>
      </c>
      <c r="E239" t="s">
        <v>28</v>
      </c>
      <c r="F239" t="s">
        <v>77</v>
      </c>
      <c r="G239">
        <v>4</v>
      </c>
      <c r="H239" s="12">
        <v>210.55</v>
      </c>
      <c r="I239" t="s">
        <v>35</v>
      </c>
      <c r="J239" t="s">
        <v>611</v>
      </c>
      <c r="K239">
        <v>5</v>
      </c>
      <c r="L239" t="s">
        <v>17</v>
      </c>
      <c r="M239">
        <v>48</v>
      </c>
      <c r="N239" s="21">
        <f t="shared" si="6"/>
        <v>842.2</v>
      </c>
      <c r="O239" s="21">
        <f t="shared" si="7"/>
        <v>252.66</v>
      </c>
    </row>
    <row r="240" spans="1:15" x14ac:dyDescent="0.3">
      <c r="A240">
        <v>68218</v>
      </c>
      <c r="B240" s="1">
        <v>45454</v>
      </c>
      <c r="C240">
        <v>680</v>
      </c>
      <c r="D240">
        <v>50</v>
      </c>
      <c r="E240" t="s">
        <v>18</v>
      </c>
      <c r="F240" t="s">
        <v>87</v>
      </c>
      <c r="G240">
        <v>4</v>
      </c>
      <c r="H240" s="12">
        <v>237.15</v>
      </c>
      <c r="I240" t="s">
        <v>35</v>
      </c>
      <c r="J240" t="s">
        <v>940</v>
      </c>
      <c r="K240">
        <v>4</v>
      </c>
      <c r="L240" t="s">
        <v>17</v>
      </c>
      <c r="M240">
        <v>39</v>
      </c>
      <c r="N240" s="21">
        <f t="shared" si="6"/>
        <v>948.6</v>
      </c>
      <c r="O240" s="21">
        <f t="shared" si="7"/>
        <v>284.58</v>
      </c>
    </row>
    <row r="241" spans="1:15" x14ac:dyDescent="0.3">
      <c r="A241">
        <v>88309</v>
      </c>
      <c r="B241" s="1">
        <v>45454</v>
      </c>
      <c r="C241">
        <v>524</v>
      </c>
      <c r="D241">
        <v>50</v>
      </c>
      <c r="E241" t="s">
        <v>18</v>
      </c>
      <c r="F241" t="s">
        <v>84</v>
      </c>
      <c r="G241">
        <v>1</v>
      </c>
      <c r="H241" s="12">
        <v>394.31</v>
      </c>
      <c r="I241" t="s">
        <v>26</v>
      </c>
      <c r="J241" t="s">
        <v>847</v>
      </c>
      <c r="K241">
        <v>4</v>
      </c>
      <c r="L241" t="s">
        <v>21</v>
      </c>
      <c r="M241">
        <v>41</v>
      </c>
      <c r="N241" s="21">
        <f t="shared" si="6"/>
        <v>394.31</v>
      </c>
      <c r="O241" s="21">
        <f t="shared" si="7"/>
        <v>118.29299999999999</v>
      </c>
    </row>
    <row r="242" spans="1:15" x14ac:dyDescent="0.3">
      <c r="A242">
        <v>69112</v>
      </c>
      <c r="B242" s="1">
        <v>45455</v>
      </c>
      <c r="C242">
        <v>234</v>
      </c>
      <c r="D242">
        <v>40</v>
      </c>
      <c r="E242" t="s">
        <v>24</v>
      </c>
      <c r="F242" t="s">
        <v>49</v>
      </c>
      <c r="G242">
        <v>2</v>
      </c>
      <c r="H242" s="12">
        <v>176.13</v>
      </c>
      <c r="I242" t="s">
        <v>15</v>
      </c>
      <c r="J242" t="s">
        <v>324</v>
      </c>
      <c r="K242">
        <v>4</v>
      </c>
      <c r="L242" t="s">
        <v>17</v>
      </c>
      <c r="M242">
        <v>29</v>
      </c>
      <c r="N242" s="21">
        <f t="shared" si="6"/>
        <v>352.26</v>
      </c>
      <c r="O242" s="21">
        <f t="shared" si="7"/>
        <v>105.678</v>
      </c>
    </row>
    <row r="243" spans="1:15" x14ac:dyDescent="0.3">
      <c r="A243">
        <v>73536</v>
      </c>
      <c r="B243" s="1">
        <v>45455</v>
      </c>
      <c r="C243">
        <v>311</v>
      </c>
      <c r="D243">
        <v>30</v>
      </c>
      <c r="E243" t="s">
        <v>37</v>
      </c>
      <c r="F243" t="s">
        <v>68</v>
      </c>
      <c r="G243">
        <v>5</v>
      </c>
      <c r="H243" s="12">
        <v>306.44</v>
      </c>
      <c r="I243" t="s">
        <v>15</v>
      </c>
      <c r="J243" t="s">
        <v>635</v>
      </c>
      <c r="L243" t="s">
        <v>21</v>
      </c>
      <c r="M243">
        <v>61</v>
      </c>
      <c r="N243" s="21">
        <f t="shared" si="6"/>
        <v>1532.2</v>
      </c>
      <c r="O243" s="21">
        <f t="shared" si="7"/>
        <v>459.66</v>
      </c>
    </row>
    <row r="244" spans="1:15" x14ac:dyDescent="0.3">
      <c r="A244">
        <v>43591</v>
      </c>
      <c r="B244" s="1">
        <v>45455</v>
      </c>
      <c r="C244">
        <v>302</v>
      </c>
      <c r="D244">
        <v>50</v>
      </c>
      <c r="E244" t="s">
        <v>18</v>
      </c>
      <c r="F244" t="s">
        <v>84</v>
      </c>
      <c r="G244">
        <v>4</v>
      </c>
      <c r="H244" s="12">
        <v>170.43</v>
      </c>
      <c r="I244" t="s">
        <v>35</v>
      </c>
      <c r="J244" t="s">
        <v>1001</v>
      </c>
      <c r="K244">
        <v>5</v>
      </c>
      <c r="L244" t="s">
        <v>21</v>
      </c>
      <c r="M244">
        <v>37</v>
      </c>
      <c r="N244" s="21">
        <f t="shared" si="6"/>
        <v>681.72</v>
      </c>
      <c r="O244" s="21">
        <f t="shared" si="7"/>
        <v>204.51599999999999</v>
      </c>
    </row>
    <row r="245" spans="1:15" x14ac:dyDescent="0.3">
      <c r="A245">
        <v>47962</v>
      </c>
      <c r="B245" s="1">
        <v>45456</v>
      </c>
      <c r="C245">
        <v>396</v>
      </c>
      <c r="D245">
        <v>10</v>
      </c>
      <c r="E245" t="s">
        <v>13</v>
      </c>
      <c r="F245" t="s">
        <v>111</v>
      </c>
      <c r="G245">
        <v>3</v>
      </c>
      <c r="H245" s="12">
        <v>23.45</v>
      </c>
      <c r="I245" t="s">
        <v>15</v>
      </c>
      <c r="J245" t="s">
        <v>642</v>
      </c>
      <c r="L245" t="s">
        <v>17</v>
      </c>
      <c r="M245">
        <v>22</v>
      </c>
      <c r="N245" s="21">
        <f t="shared" si="6"/>
        <v>70.349999999999994</v>
      </c>
      <c r="O245" s="21">
        <f t="shared" si="7"/>
        <v>21.104999999999997</v>
      </c>
    </row>
    <row r="246" spans="1:15" x14ac:dyDescent="0.3">
      <c r="A246">
        <v>39427</v>
      </c>
      <c r="B246" s="1">
        <v>45456</v>
      </c>
      <c r="C246">
        <v>292</v>
      </c>
      <c r="D246">
        <v>20</v>
      </c>
      <c r="E246" t="s">
        <v>28</v>
      </c>
      <c r="F246" t="s">
        <v>79</v>
      </c>
      <c r="G246">
        <v>3</v>
      </c>
      <c r="H246" s="12">
        <v>498.44</v>
      </c>
      <c r="I246" t="s">
        <v>26</v>
      </c>
      <c r="J246" t="s">
        <v>798</v>
      </c>
      <c r="K246">
        <v>3</v>
      </c>
      <c r="L246" t="s">
        <v>21</v>
      </c>
      <c r="M246">
        <v>60</v>
      </c>
      <c r="N246" s="21">
        <f t="shared" si="6"/>
        <v>1495.32</v>
      </c>
      <c r="O246" s="21">
        <f t="shared" si="7"/>
        <v>448.59599999999995</v>
      </c>
    </row>
    <row r="247" spans="1:15" x14ac:dyDescent="0.3">
      <c r="A247">
        <v>87052</v>
      </c>
      <c r="B247" s="1">
        <v>45456</v>
      </c>
      <c r="C247">
        <v>815</v>
      </c>
      <c r="D247">
        <v>10</v>
      </c>
      <c r="E247" t="s">
        <v>13</v>
      </c>
      <c r="F247" t="s">
        <v>32</v>
      </c>
      <c r="G247">
        <v>3</v>
      </c>
      <c r="H247" s="12">
        <v>310.7</v>
      </c>
      <c r="I247" t="s">
        <v>26</v>
      </c>
      <c r="J247" t="s">
        <v>828</v>
      </c>
      <c r="K247">
        <v>5</v>
      </c>
      <c r="L247" t="s">
        <v>21</v>
      </c>
      <c r="M247">
        <v>67</v>
      </c>
      <c r="N247" s="21">
        <f t="shared" si="6"/>
        <v>932.09999999999991</v>
      </c>
      <c r="O247" s="21">
        <f t="shared" si="7"/>
        <v>279.62999999999994</v>
      </c>
    </row>
    <row r="248" spans="1:15" x14ac:dyDescent="0.3">
      <c r="A248">
        <v>94316</v>
      </c>
      <c r="B248" s="1">
        <v>45457</v>
      </c>
      <c r="C248">
        <v>979</v>
      </c>
      <c r="D248">
        <v>30</v>
      </c>
      <c r="E248" t="s">
        <v>37</v>
      </c>
      <c r="F248" t="s">
        <v>68</v>
      </c>
      <c r="G248">
        <v>1</v>
      </c>
      <c r="H248" s="12">
        <v>146.35</v>
      </c>
      <c r="I248" t="s">
        <v>26</v>
      </c>
      <c r="J248" t="s">
        <v>143</v>
      </c>
      <c r="K248">
        <v>2</v>
      </c>
      <c r="L248" t="s">
        <v>21</v>
      </c>
      <c r="M248">
        <v>18</v>
      </c>
      <c r="N248" s="21">
        <f t="shared" si="6"/>
        <v>146.35</v>
      </c>
      <c r="O248" s="21">
        <f t="shared" si="7"/>
        <v>43.904999999999994</v>
      </c>
    </row>
    <row r="249" spans="1:15" x14ac:dyDescent="0.3">
      <c r="A249">
        <v>53652</v>
      </c>
      <c r="B249" s="1">
        <v>45457</v>
      </c>
      <c r="C249">
        <v>899</v>
      </c>
      <c r="D249">
        <v>40</v>
      </c>
      <c r="E249" t="s">
        <v>24</v>
      </c>
      <c r="F249" t="s">
        <v>63</v>
      </c>
      <c r="G249">
        <v>5</v>
      </c>
      <c r="H249" s="12">
        <v>416.12</v>
      </c>
      <c r="I249" t="s">
        <v>35</v>
      </c>
      <c r="J249" t="s">
        <v>606</v>
      </c>
      <c r="K249">
        <v>5</v>
      </c>
      <c r="L249" t="s">
        <v>17</v>
      </c>
      <c r="M249">
        <v>56</v>
      </c>
      <c r="N249" s="21">
        <f t="shared" si="6"/>
        <v>2080.6</v>
      </c>
      <c r="O249" s="21">
        <f t="shared" si="7"/>
        <v>624.17999999999995</v>
      </c>
    </row>
    <row r="250" spans="1:15" x14ac:dyDescent="0.3">
      <c r="A250">
        <v>94700</v>
      </c>
      <c r="B250" s="1">
        <v>45458</v>
      </c>
      <c r="C250">
        <v>675</v>
      </c>
      <c r="D250">
        <v>50</v>
      </c>
      <c r="E250" t="s">
        <v>18</v>
      </c>
      <c r="F250" t="s">
        <v>34</v>
      </c>
      <c r="G250">
        <v>3</v>
      </c>
      <c r="H250" s="12">
        <v>335.06</v>
      </c>
      <c r="I250" t="s">
        <v>15</v>
      </c>
      <c r="J250" t="s">
        <v>118</v>
      </c>
      <c r="K250">
        <v>5</v>
      </c>
      <c r="L250" t="s">
        <v>21</v>
      </c>
      <c r="M250">
        <v>23</v>
      </c>
      <c r="N250" s="21">
        <f t="shared" si="6"/>
        <v>1005.1800000000001</v>
      </c>
      <c r="O250" s="21">
        <f t="shared" si="7"/>
        <v>301.55400000000003</v>
      </c>
    </row>
    <row r="251" spans="1:15" x14ac:dyDescent="0.3">
      <c r="A251">
        <v>18819</v>
      </c>
      <c r="B251" s="1">
        <v>45459</v>
      </c>
      <c r="C251">
        <v>775</v>
      </c>
      <c r="D251">
        <v>10</v>
      </c>
      <c r="E251" t="s">
        <v>13</v>
      </c>
      <c r="F251" t="s">
        <v>47</v>
      </c>
      <c r="G251">
        <v>4</v>
      </c>
      <c r="H251" s="12">
        <v>476.13</v>
      </c>
      <c r="I251" t="s">
        <v>35</v>
      </c>
      <c r="J251" t="s">
        <v>278</v>
      </c>
      <c r="K251">
        <v>4</v>
      </c>
      <c r="L251" t="s">
        <v>17</v>
      </c>
      <c r="M251">
        <v>70</v>
      </c>
      <c r="N251" s="21">
        <f t="shared" si="6"/>
        <v>1904.52</v>
      </c>
      <c r="O251" s="21">
        <f t="shared" si="7"/>
        <v>571.35599999999999</v>
      </c>
    </row>
    <row r="252" spans="1:15" x14ac:dyDescent="0.3">
      <c r="A252">
        <v>12858</v>
      </c>
      <c r="B252" s="1">
        <v>45459</v>
      </c>
      <c r="C252">
        <v>957</v>
      </c>
      <c r="D252">
        <v>30</v>
      </c>
      <c r="E252" t="s">
        <v>37</v>
      </c>
      <c r="F252" t="s">
        <v>95</v>
      </c>
      <c r="G252">
        <v>3</v>
      </c>
      <c r="H252" s="12">
        <v>376.19</v>
      </c>
      <c r="I252" t="s">
        <v>26</v>
      </c>
      <c r="J252" t="s">
        <v>317</v>
      </c>
      <c r="K252">
        <v>5</v>
      </c>
      <c r="L252" t="s">
        <v>21</v>
      </c>
      <c r="M252">
        <v>28</v>
      </c>
      <c r="N252" s="21">
        <f t="shared" si="6"/>
        <v>1128.57</v>
      </c>
      <c r="O252" s="21">
        <f t="shared" si="7"/>
        <v>338.57099999999997</v>
      </c>
    </row>
    <row r="253" spans="1:15" x14ac:dyDescent="0.3">
      <c r="A253">
        <v>13725</v>
      </c>
      <c r="B253" s="1">
        <v>45459</v>
      </c>
      <c r="C253">
        <v>564</v>
      </c>
      <c r="D253">
        <v>10</v>
      </c>
      <c r="E253" t="s">
        <v>13</v>
      </c>
      <c r="F253" t="s">
        <v>14</v>
      </c>
      <c r="G253">
        <v>4</v>
      </c>
      <c r="H253" s="12">
        <v>285.72000000000003</v>
      </c>
      <c r="I253" t="s">
        <v>15</v>
      </c>
      <c r="J253" t="s">
        <v>628</v>
      </c>
      <c r="K253">
        <v>5</v>
      </c>
      <c r="L253" t="s">
        <v>17</v>
      </c>
      <c r="M253">
        <v>26</v>
      </c>
      <c r="N253" s="21">
        <f t="shared" si="6"/>
        <v>1142.8800000000001</v>
      </c>
      <c r="O253" s="21">
        <f t="shared" si="7"/>
        <v>342.86400000000003</v>
      </c>
    </row>
    <row r="254" spans="1:15" x14ac:dyDescent="0.3">
      <c r="A254">
        <v>65819</v>
      </c>
      <c r="B254" s="1">
        <v>45459</v>
      </c>
      <c r="C254">
        <v>691</v>
      </c>
      <c r="D254">
        <v>50</v>
      </c>
      <c r="E254" t="s">
        <v>18</v>
      </c>
      <c r="F254" t="s">
        <v>19</v>
      </c>
      <c r="G254">
        <v>2</v>
      </c>
      <c r="H254" s="12">
        <v>255.9</v>
      </c>
      <c r="I254" t="s">
        <v>15</v>
      </c>
      <c r="J254" t="s">
        <v>767</v>
      </c>
      <c r="K254">
        <v>4</v>
      </c>
      <c r="L254" t="s">
        <v>21</v>
      </c>
      <c r="M254">
        <v>34</v>
      </c>
      <c r="N254" s="21">
        <f t="shared" si="6"/>
        <v>511.8</v>
      </c>
      <c r="O254" s="21">
        <f t="shared" si="7"/>
        <v>153.54</v>
      </c>
    </row>
    <row r="255" spans="1:15" x14ac:dyDescent="0.3">
      <c r="A255">
        <v>77706</v>
      </c>
      <c r="B255" s="1">
        <v>45460</v>
      </c>
      <c r="C255">
        <v>111</v>
      </c>
      <c r="D255">
        <v>50</v>
      </c>
      <c r="E255" t="s">
        <v>18</v>
      </c>
      <c r="F255" t="s">
        <v>34</v>
      </c>
      <c r="G255">
        <v>2</v>
      </c>
      <c r="H255" s="12">
        <v>416.93</v>
      </c>
      <c r="I255" t="s">
        <v>26</v>
      </c>
      <c r="J255" t="s">
        <v>224</v>
      </c>
      <c r="K255">
        <v>5</v>
      </c>
      <c r="M255">
        <v>33</v>
      </c>
      <c r="N255" s="21">
        <f t="shared" si="6"/>
        <v>833.86</v>
      </c>
      <c r="O255" s="21">
        <f t="shared" si="7"/>
        <v>250.15799999999999</v>
      </c>
    </row>
    <row r="256" spans="1:15" x14ac:dyDescent="0.3">
      <c r="A256">
        <v>31412</v>
      </c>
      <c r="B256" s="1">
        <v>45460</v>
      </c>
      <c r="C256">
        <v>898</v>
      </c>
      <c r="D256">
        <v>20</v>
      </c>
      <c r="E256" t="s">
        <v>28</v>
      </c>
      <c r="F256" t="s">
        <v>29</v>
      </c>
      <c r="G256">
        <v>2</v>
      </c>
      <c r="H256" s="12">
        <v>279.81</v>
      </c>
      <c r="I256" t="s">
        <v>35</v>
      </c>
      <c r="J256" t="s">
        <v>441</v>
      </c>
      <c r="K256">
        <v>3</v>
      </c>
      <c r="L256" t="s">
        <v>17</v>
      </c>
      <c r="M256">
        <v>61</v>
      </c>
      <c r="N256" s="21">
        <f t="shared" si="6"/>
        <v>559.62</v>
      </c>
      <c r="O256" s="21">
        <f t="shared" si="7"/>
        <v>167.886</v>
      </c>
    </row>
    <row r="257" spans="1:15" x14ac:dyDescent="0.3">
      <c r="A257">
        <v>64496</v>
      </c>
      <c r="B257" s="1">
        <v>45461</v>
      </c>
      <c r="C257">
        <v>146</v>
      </c>
      <c r="D257">
        <v>40</v>
      </c>
      <c r="E257" t="s">
        <v>24</v>
      </c>
      <c r="F257" t="s">
        <v>49</v>
      </c>
      <c r="G257">
        <v>1</v>
      </c>
      <c r="H257" s="12">
        <v>405.91</v>
      </c>
      <c r="I257" t="s">
        <v>35</v>
      </c>
      <c r="J257" t="s">
        <v>277</v>
      </c>
      <c r="K257">
        <v>1</v>
      </c>
      <c r="L257" t="s">
        <v>21</v>
      </c>
      <c r="M257">
        <v>61</v>
      </c>
      <c r="N257" s="21">
        <f t="shared" si="6"/>
        <v>405.91</v>
      </c>
      <c r="O257" s="21">
        <f t="shared" si="7"/>
        <v>121.773</v>
      </c>
    </row>
    <row r="258" spans="1:15" x14ac:dyDescent="0.3">
      <c r="A258">
        <v>77850</v>
      </c>
      <c r="B258" s="1">
        <v>45462</v>
      </c>
      <c r="C258">
        <v>633</v>
      </c>
      <c r="D258">
        <v>10</v>
      </c>
      <c r="E258" t="s">
        <v>13</v>
      </c>
      <c r="F258" t="s">
        <v>111</v>
      </c>
      <c r="G258">
        <v>4</v>
      </c>
      <c r="H258" s="12">
        <v>272.92</v>
      </c>
      <c r="I258" t="s">
        <v>26</v>
      </c>
      <c r="J258" t="s">
        <v>227</v>
      </c>
      <c r="K258">
        <v>3</v>
      </c>
      <c r="L258" t="s">
        <v>17</v>
      </c>
      <c r="M258">
        <v>30</v>
      </c>
      <c r="N258" s="21">
        <f t="shared" si="6"/>
        <v>1091.68</v>
      </c>
      <c r="O258" s="21">
        <f t="shared" si="7"/>
        <v>327.50400000000002</v>
      </c>
    </row>
    <row r="259" spans="1:15" x14ac:dyDescent="0.3">
      <c r="A259">
        <v>38523</v>
      </c>
      <c r="B259" s="1">
        <v>45463</v>
      </c>
      <c r="C259">
        <v>383</v>
      </c>
      <c r="D259">
        <v>30</v>
      </c>
      <c r="E259" t="s">
        <v>37</v>
      </c>
      <c r="F259" t="s">
        <v>40</v>
      </c>
      <c r="G259">
        <v>3</v>
      </c>
      <c r="H259" s="12">
        <v>40.44</v>
      </c>
      <c r="I259" t="s">
        <v>15</v>
      </c>
      <c r="J259" t="s">
        <v>402</v>
      </c>
      <c r="K259">
        <v>4</v>
      </c>
      <c r="L259" t="s">
        <v>21</v>
      </c>
      <c r="M259">
        <v>60</v>
      </c>
      <c r="N259" s="21">
        <f t="shared" ref="N259:N322" si="8">H259*G259</f>
        <v>121.32</v>
      </c>
      <c r="O259" s="21">
        <f t="shared" ref="O259:O322" si="9">N259*0.3</f>
        <v>36.395999999999994</v>
      </c>
    </row>
    <row r="260" spans="1:15" x14ac:dyDescent="0.3">
      <c r="A260">
        <v>19293</v>
      </c>
      <c r="B260" s="1">
        <v>45463</v>
      </c>
      <c r="C260">
        <v>633</v>
      </c>
      <c r="D260">
        <v>20</v>
      </c>
      <c r="E260" t="s">
        <v>28</v>
      </c>
      <c r="F260" t="s">
        <v>51</v>
      </c>
      <c r="G260">
        <v>1</v>
      </c>
      <c r="H260" s="12">
        <v>118.31</v>
      </c>
      <c r="I260" t="s">
        <v>26</v>
      </c>
      <c r="J260" t="s">
        <v>425</v>
      </c>
      <c r="K260">
        <v>2</v>
      </c>
      <c r="L260" t="s">
        <v>17</v>
      </c>
      <c r="M260">
        <v>33</v>
      </c>
      <c r="N260" s="21">
        <f t="shared" si="8"/>
        <v>118.31</v>
      </c>
      <c r="O260" s="21">
        <f t="shared" si="9"/>
        <v>35.493000000000002</v>
      </c>
    </row>
    <row r="261" spans="1:15" x14ac:dyDescent="0.3">
      <c r="A261">
        <v>93277</v>
      </c>
      <c r="B261" s="1">
        <v>45463</v>
      </c>
      <c r="C261">
        <v>428</v>
      </c>
      <c r="D261">
        <v>40</v>
      </c>
      <c r="E261" t="s">
        <v>24</v>
      </c>
      <c r="F261" t="s">
        <v>49</v>
      </c>
      <c r="G261">
        <v>1</v>
      </c>
      <c r="H261" s="12">
        <v>487.74</v>
      </c>
      <c r="I261" t="s">
        <v>35</v>
      </c>
      <c r="J261" t="s">
        <v>838</v>
      </c>
      <c r="K261">
        <v>5</v>
      </c>
      <c r="L261" t="s">
        <v>17</v>
      </c>
      <c r="M261">
        <v>70</v>
      </c>
      <c r="N261" s="21">
        <f t="shared" si="8"/>
        <v>487.74</v>
      </c>
      <c r="O261" s="21">
        <f t="shared" si="9"/>
        <v>146.322</v>
      </c>
    </row>
    <row r="262" spans="1:15" x14ac:dyDescent="0.3">
      <c r="A262">
        <v>90933</v>
      </c>
      <c r="B262" s="1">
        <v>45464</v>
      </c>
      <c r="C262">
        <v>799</v>
      </c>
      <c r="D262">
        <v>50</v>
      </c>
      <c r="E262" t="s">
        <v>18</v>
      </c>
      <c r="F262" t="s">
        <v>34</v>
      </c>
      <c r="G262">
        <v>3</v>
      </c>
      <c r="H262" s="12">
        <v>348.24</v>
      </c>
      <c r="I262" t="s">
        <v>35</v>
      </c>
      <c r="J262" t="s">
        <v>403</v>
      </c>
      <c r="K262">
        <v>5</v>
      </c>
      <c r="L262" t="s">
        <v>21</v>
      </c>
      <c r="M262">
        <v>65</v>
      </c>
      <c r="N262" s="21">
        <f t="shared" si="8"/>
        <v>1044.72</v>
      </c>
      <c r="O262" s="21">
        <f t="shared" si="9"/>
        <v>313.416</v>
      </c>
    </row>
    <row r="263" spans="1:15" x14ac:dyDescent="0.3">
      <c r="A263">
        <v>75453</v>
      </c>
      <c r="B263" s="1">
        <v>45465</v>
      </c>
      <c r="C263">
        <v>260</v>
      </c>
      <c r="D263">
        <v>50</v>
      </c>
      <c r="E263" t="s">
        <v>18</v>
      </c>
      <c r="F263" t="s">
        <v>19</v>
      </c>
      <c r="G263">
        <v>3</v>
      </c>
      <c r="H263" s="12">
        <v>158.9</v>
      </c>
      <c r="I263" t="s">
        <v>15</v>
      </c>
      <c r="J263" t="s">
        <v>121</v>
      </c>
      <c r="K263">
        <v>4</v>
      </c>
      <c r="L263" t="s">
        <v>17</v>
      </c>
      <c r="M263">
        <v>33</v>
      </c>
      <c r="N263" s="21">
        <f t="shared" si="8"/>
        <v>476.70000000000005</v>
      </c>
      <c r="O263" s="21">
        <f t="shared" si="9"/>
        <v>143.01000000000002</v>
      </c>
    </row>
    <row r="264" spans="1:15" x14ac:dyDescent="0.3">
      <c r="A264">
        <v>63842</v>
      </c>
      <c r="B264" s="1">
        <v>45465</v>
      </c>
      <c r="C264">
        <v>781</v>
      </c>
      <c r="D264">
        <v>20</v>
      </c>
      <c r="E264" t="s">
        <v>28</v>
      </c>
      <c r="F264" t="s">
        <v>77</v>
      </c>
      <c r="G264">
        <v>2</v>
      </c>
      <c r="H264" s="12">
        <v>460.75</v>
      </c>
      <c r="I264" t="s">
        <v>35</v>
      </c>
      <c r="J264" t="s">
        <v>532</v>
      </c>
      <c r="K264">
        <v>5</v>
      </c>
      <c r="L264" t="s">
        <v>17</v>
      </c>
      <c r="M264">
        <v>68</v>
      </c>
      <c r="N264" s="21">
        <f t="shared" si="8"/>
        <v>921.5</v>
      </c>
      <c r="O264" s="21">
        <f t="shared" si="9"/>
        <v>276.45</v>
      </c>
    </row>
    <row r="265" spans="1:15" x14ac:dyDescent="0.3">
      <c r="A265">
        <v>12469</v>
      </c>
      <c r="B265" s="1">
        <v>45467</v>
      </c>
      <c r="C265">
        <v>816</v>
      </c>
      <c r="D265">
        <v>50</v>
      </c>
      <c r="E265" t="s">
        <v>18</v>
      </c>
      <c r="F265" t="s">
        <v>19</v>
      </c>
      <c r="G265">
        <v>3</v>
      </c>
      <c r="H265" s="12">
        <v>326.55</v>
      </c>
      <c r="I265" t="s">
        <v>26</v>
      </c>
      <c r="J265" t="s">
        <v>293</v>
      </c>
      <c r="K265">
        <v>4</v>
      </c>
      <c r="L265" t="s">
        <v>21</v>
      </c>
      <c r="M265">
        <v>35</v>
      </c>
      <c r="N265" s="21">
        <f t="shared" si="8"/>
        <v>979.65000000000009</v>
      </c>
      <c r="O265" s="21">
        <f t="shared" si="9"/>
        <v>293.89500000000004</v>
      </c>
    </row>
    <row r="266" spans="1:15" x14ac:dyDescent="0.3">
      <c r="A266">
        <v>63722</v>
      </c>
      <c r="B266" s="1">
        <v>45467</v>
      </c>
      <c r="C266">
        <v>614</v>
      </c>
      <c r="D266">
        <v>30</v>
      </c>
      <c r="E266" t="s">
        <v>37</v>
      </c>
      <c r="F266" t="s">
        <v>40</v>
      </c>
      <c r="G266">
        <v>1</v>
      </c>
      <c r="H266" s="12">
        <v>404.83</v>
      </c>
      <c r="I266" t="s">
        <v>15</v>
      </c>
      <c r="J266" t="s">
        <v>429</v>
      </c>
      <c r="K266">
        <v>4</v>
      </c>
      <c r="M266">
        <v>36</v>
      </c>
      <c r="N266" s="21">
        <f t="shared" si="8"/>
        <v>404.83</v>
      </c>
      <c r="O266" s="21">
        <f t="shared" si="9"/>
        <v>121.44899999999998</v>
      </c>
    </row>
    <row r="267" spans="1:15" x14ac:dyDescent="0.3">
      <c r="A267">
        <v>46834</v>
      </c>
      <c r="B267" s="1">
        <v>45467</v>
      </c>
      <c r="C267">
        <v>506</v>
      </c>
      <c r="D267">
        <v>10</v>
      </c>
      <c r="E267" t="s">
        <v>13</v>
      </c>
      <c r="F267" t="s">
        <v>14</v>
      </c>
      <c r="G267">
        <v>5</v>
      </c>
      <c r="H267" s="12">
        <v>365.33</v>
      </c>
      <c r="I267" t="s">
        <v>35</v>
      </c>
      <c r="J267" t="s">
        <v>881</v>
      </c>
      <c r="K267">
        <v>3</v>
      </c>
      <c r="L267" t="s">
        <v>21</v>
      </c>
      <c r="M267">
        <v>24</v>
      </c>
      <c r="N267" s="21">
        <f t="shared" si="8"/>
        <v>1826.6499999999999</v>
      </c>
      <c r="O267" s="21">
        <f t="shared" si="9"/>
        <v>547.99499999999989</v>
      </c>
    </row>
    <row r="268" spans="1:15" x14ac:dyDescent="0.3">
      <c r="A268">
        <v>95940</v>
      </c>
      <c r="B268" s="1">
        <v>45467</v>
      </c>
      <c r="C268">
        <v>672</v>
      </c>
      <c r="D268">
        <v>10</v>
      </c>
      <c r="E268" t="s">
        <v>13</v>
      </c>
      <c r="F268" t="s">
        <v>32</v>
      </c>
      <c r="G268">
        <v>3</v>
      </c>
      <c r="H268" s="12">
        <v>295.67</v>
      </c>
      <c r="I268" t="s">
        <v>35</v>
      </c>
      <c r="J268" t="s">
        <v>911</v>
      </c>
      <c r="K268">
        <v>4</v>
      </c>
      <c r="L268" t="s">
        <v>21</v>
      </c>
      <c r="M268">
        <v>29</v>
      </c>
      <c r="N268" s="21">
        <f t="shared" si="8"/>
        <v>887.01</v>
      </c>
      <c r="O268" s="21">
        <f t="shared" si="9"/>
        <v>266.10300000000001</v>
      </c>
    </row>
    <row r="269" spans="1:15" x14ac:dyDescent="0.3">
      <c r="A269">
        <v>80222</v>
      </c>
      <c r="B269" s="1">
        <v>45468</v>
      </c>
      <c r="C269">
        <v>543</v>
      </c>
      <c r="D269">
        <v>10</v>
      </c>
      <c r="E269" t="s">
        <v>13</v>
      </c>
      <c r="F269" t="s">
        <v>111</v>
      </c>
      <c r="G269">
        <v>2</v>
      </c>
      <c r="H269" s="12">
        <v>212.77</v>
      </c>
      <c r="I269" t="s">
        <v>15</v>
      </c>
      <c r="J269" t="s">
        <v>468</v>
      </c>
      <c r="K269">
        <v>5</v>
      </c>
      <c r="L269" t="s">
        <v>17</v>
      </c>
      <c r="M269">
        <v>50</v>
      </c>
      <c r="N269" s="21">
        <f t="shared" si="8"/>
        <v>425.54</v>
      </c>
      <c r="O269" s="21">
        <f t="shared" si="9"/>
        <v>127.66200000000001</v>
      </c>
    </row>
    <row r="270" spans="1:15" x14ac:dyDescent="0.3">
      <c r="A270">
        <v>90319</v>
      </c>
      <c r="B270" s="1">
        <v>45468</v>
      </c>
      <c r="C270">
        <v>797</v>
      </c>
      <c r="D270">
        <v>30</v>
      </c>
      <c r="E270" t="s">
        <v>37</v>
      </c>
      <c r="F270" t="s">
        <v>58</v>
      </c>
      <c r="G270">
        <v>4</v>
      </c>
      <c r="H270" s="12">
        <v>164.55</v>
      </c>
      <c r="I270" t="s">
        <v>35</v>
      </c>
      <c r="J270" t="s">
        <v>811</v>
      </c>
      <c r="K270">
        <v>5</v>
      </c>
      <c r="L270" t="s">
        <v>17</v>
      </c>
      <c r="M270">
        <v>69</v>
      </c>
      <c r="N270" s="21">
        <f t="shared" si="8"/>
        <v>658.2</v>
      </c>
      <c r="O270" s="21">
        <f t="shared" si="9"/>
        <v>197.46</v>
      </c>
    </row>
    <row r="271" spans="1:15" x14ac:dyDescent="0.3">
      <c r="A271">
        <v>21838</v>
      </c>
      <c r="B271" s="1">
        <v>45468</v>
      </c>
      <c r="C271">
        <v>582</v>
      </c>
      <c r="D271">
        <v>10</v>
      </c>
      <c r="E271" t="s">
        <v>13</v>
      </c>
      <c r="F271" t="s">
        <v>14</v>
      </c>
      <c r="G271">
        <v>2</v>
      </c>
      <c r="H271" s="12">
        <v>289.97000000000003</v>
      </c>
      <c r="I271" t="s">
        <v>35</v>
      </c>
      <c r="J271" t="s">
        <v>959</v>
      </c>
      <c r="K271">
        <v>4</v>
      </c>
      <c r="L271" t="s">
        <v>21</v>
      </c>
      <c r="M271">
        <v>70</v>
      </c>
      <c r="N271" s="21">
        <f t="shared" si="8"/>
        <v>579.94000000000005</v>
      </c>
      <c r="O271" s="21">
        <f t="shared" si="9"/>
        <v>173.982</v>
      </c>
    </row>
    <row r="272" spans="1:15" x14ac:dyDescent="0.3">
      <c r="A272">
        <v>11108</v>
      </c>
      <c r="B272" s="1">
        <v>45469</v>
      </c>
      <c r="C272">
        <v>575</v>
      </c>
      <c r="D272">
        <v>40</v>
      </c>
      <c r="E272" t="s">
        <v>24</v>
      </c>
      <c r="F272" t="s">
        <v>65</v>
      </c>
      <c r="G272">
        <v>2</v>
      </c>
      <c r="H272" s="12">
        <v>27.59</v>
      </c>
      <c r="I272" t="s">
        <v>15</v>
      </c>
      <c r="J272" t="s">
        <v>208</v>
      </c>
      <c r="K272">
        <v>1</v>
      </c>
      <c r="L272" t="s">
        <v>17</v>
      </c>
      <c r="M272">
        <v>58</v>
      </c>
      <c r="N272" s="21">
        <f t="shared" si="8"/>
        <v>55.18</v>
      </c>
      <c r="O272" s="21">
        <f t="shared" si="9"/>
        <v>16.553999999999998</v>
      </c>
    </row>
    <row r="273" spans="1:15" x14ac:dyDescent="0.3">
      <c r="A273">
        <v>29197</v>
      </c>
      <c r="B273" s="1">
        <v>45469</v>
      </c>
      <c r="C273">
        <v>491</v>
      </c>
      <c r="D273">
        <v>50</v>
      </c>
      <c r="E273" t="s">
        <v>18</v>
      </c>
      <c r="F273" t="s">
        <v>84</v>
      </c>
      <c r="G273">
        <v>5</v>
      </c>
      <c r="H273" s="12">
        <v>134.12</v>
      </c>
      <c r="I273" t="s">
        <v>35</v>
      </c>
      <c r="J273" t="s">
        <v>322</v>
      </c>
      <c r="L273" t="s">
        <v>21</v>
      </c>
      <c r="M273">
        <v>49</v>
      </c>
      <c r="N273" s="21">
        <f t="shared" si="8"/>
        <v>670.6</v>
      </c>
      <c r="O273" s="21">
        <f t="shared" si="9"/>
        <v>201.18</v>
      </c>
    </row>
    <row r="274" spans="1:15" x14ac:dyDescent="0.3">
      <c r="A274">
        <v>46587</v>
      </c>
      <c r="B274" s="1">
        <v>45469</v>
      </c>
      <c r="C274">
        <v>715</v>
      </c>
      <c r="D274">
        <v>50</v>
      </c>
      <c r="E274" t="s">
        <v>18</v>
      </c>
      <c r="F274" t="s">
        <v>84</v>
      </c>
      <c r="G274">
        <v>3</v>
      </c>
      <c r="H274" s="12">
        <v>405.02</v>
      </c>
      <c r="I274" t="s">
        <v>15</v>
      </c>
      <c r="J274" t="s">
        <v>449</v>
      </c>
      <c r="L274" t="s">
        <v>21</v>
      </c>
      <c r="M274">
        <v>52</v>
      </c>
      <c r="N274" s="21">
        <f t="shared" si="8"/>
        <v>1215.06</v>
      </c>
      <c r="O274" s="21">
        <f t="shared" si="9"/>
        <v>364.51799999999997</v>
      </c>
    </row>
    <row r="275" spans="1:15" x14ac:dyDescent="0.3">
      <c r="A275">
        <v>84308</v>
      </c>
      <c r="B275" s="1">
        <v>45469</v>
      </c>
      <c r="C275">
        <v>144</v>
      </c>
      <c r="D275">
        <v>20</v>
      </c>
      <c r="E275" t="s">
        <v>28</v>
      </c>
      <c r="F275" t="s">
        <v>72</v>
      </c>
      <c r="G275">
        <v>5</v>
      </c>
      <c r="H275" s="12">
        <v>291.3</v>
      </c>
      <c r="I275" t="s">
        <v>15</v>
      </c>
      <c r="J275" t="s">
        <v>985</v>
      </c>
      <c r="L275" t="s">
        <v>17</v>
      </c>
      <c r="M275">
        <v>68</v>
      </c>
      <c r="N275" s="21">
        <f t="shared" si="8"/>
        <v>1456.5</v>
      </c>
      <c r="O275" s="21">
        <f t="shared" si="9"/>
        <v>436.95</v>
      </c>
    </row>
    <row r="276" spans="1:15" x14ac:dyDescent="0.3">
      <c r="A276">
        <v>74067</v>
      </c>
      <c r="B276" s="1">
        <v>45470</v>
      </c>
      <c r="C276">
        <v>773</v>
      </c>
      <c r="D276">
        <v>40</v>
      </c>
      <c r="E276" t="s">
        <v>24</v>
      </c>
      <c r="F276" t="s">
        <v>44</v>
      </c>
      <c r="G276">
        <v>3</v>
      </c>
      <c r="H276" s="12">
        <v>494.87</v>
      </c>
      <c r="I276" t="s">
        <v>35</v>
      </c>
      <c r="J276" t="s">
        <v>45</v>
      </c>
      <c r="K276">
        <v>5</v>
      </c>
      <c r="L276" t="s">
        <v>21</v>
      </c>
      <c r="M276">
        <v>37</v>
      </c>
      <c r="N276" s="21">
        <f t="shared" si="8"/>
        <v>1484.6100000000001</v>
      </c>
      <c r="O276" s="21">
        <f t="shared" si="9"/>
        <v>445.38300000000004</v>
      </c>
    </row>
    <row r="277" spans="1:15" x14ac:dyDescent="0.3">
      <c r="A277">
        <v>84736</v>
      </c>
      <c r="B277" s="1">
        <v>45470</v>
      </c>
      <c r="C277">
        <v>624</v>
      </c>
      <c r="D277">
        <v>30</v>
      </c>
      <c r="E277" t="s">
        <v>37</v>
      </c>
      <c r="F277" t="s">
        <v>95</v>
      </c>
      <c r="G277">
        <v>1</v>
      </c>
      <c r="H277" s="12">
        <v>218.74</v>
      </c>
      <c r="I277" t="s">
        <v>15</v>
      </c>
      <c r="J277" t="s">
        <v>685</v>
      </c>
      <c r="L277" t="s">
        <v>17</v>
      </c>
      <c r="M277">
        <v>68</v>
      </c>
      <c r="N277" s="21">
        <f t="shared" si="8"/>
        <v>218.74</v>
      </c>
      <c r="O277" s="21">
        <f t="shared" si="9"/>
        <v>65.622</v>
      </c>
    </row>
    <row r="278" spans="1:15" x14ac:dyDescent="0.3">
      <c r="A278">
        <v>43869</v>
      </c>
      <c r="B278" s="1">
        <v>45470</v>
      </c>
      <c r="C278">
        <v>306</v>
      </c>
      <c r="D278">
        <v>30</v>
      </c>
      <c r="E278" t="s">
        <v>37</v>
      </c>
      <c r="F278" t="s">
        <v>38</v>
      </c>
      <c r="G278">
        <v>2</v>
      </c>
      <c r="H278" s="12">
        <v>55.63</v>
      </c>
      <c r="I278" t="s">
        <v>26</v>
      </c>
      <c r="J278" t="s">
        <v>956</v>
      </c>
      <c r="K278">
        <v>3</v>
      </c>
      <c r="L278" t="s">
        <v>17</v>
      </c>
      <c r="M278">
        <v>69</v>
      </c>
      <c r="N278" s="21">
        <f t="shared" si="8"/>
        <v>111.26</v>
      </c>
      <c r="O278" s="21">
        <f t="shared" si="9"/>
        <v>33.378</v>
      </c>
    </row>
    <row r="279" spans="1:15" x14ac:dyDescent="0.3">
      <c r="A279">
        <v>95795</v>
      </c>
      <c r="B279" s="1">
        <v>45471</v>
      </c>
      <c r="C279">
        <v>955</v>
      </c>
      <c r="D279">
        <v>10</v>
      </c>
      <c r="E279" t="s">
        <v>13</v>
      </c>
      <c r="F279" t="s">
        <v>42</v>
      </c>
      <c r="G279">
        <v>4</v>
      </c>
      <c r="H279" s="12">
        <v>205.6</v>
      </c>
      <c r="I279" t="s">
        <v>15</v>
      </c>
      <c r="J279" t="s">
        <v>900</v>
      </c>
      <c r="K279">
        <v>3</v>
      </c>
      <c r="L279" t="s">
        <v>21</v>
      </c>
      <c r="M279">
        <v>22</v>
      </c>
      <c r="N279" s="21">
        <f t="shared" si="8"/>
        <v>822.4</v>
      </c>
      <c r="O279" s="21">
        <f t="shared" si="9"/>
        <v>246.71999999999997</v>
      </c>
    </row>
    <row r="280" spans="1:15" x14ac:dyDescent="0.3">
      <c r="A280">
        <v>76140</v>
      </c>
      <c r="B280" s="1">
        <v>45472</v>
      </c>
      <c r="C280">
        <v>673</v>
      </c>
      <c r="D280">
        <v>50</v>
      </c>
      <c r="E280" t="s">
        <v>18</v>
      </c>
      <c r="F280" t="s">
        <v>87</v>
      </c>
      <c r="G280">
        <v>2</v>
      </c>
      <c r="H280" s="12">
        <v>293.67</v>
      </c>
      <c r="I280" t="s">
        <v>15</v>
      </c>
      <c r="J280" t="s">
        <v>90</v>
      </c>
      <c r="K280">
        <v>5</v>
      </c>
      <c r="L280" t="s">
        <v>21</v>
      </c>
      <c r="M280">
        <v>65</v>
      </c>
      <c r="N280" s="21">
        <f t="shared" si="8"/>
        <v>587.34</v>
      </c>
      <c r="O280" s="21">
        <f t="shared" si="9"/>
        <v>176.202</v>
      </c>
    </row>
    <row r="281" spans="1:15" x14ac:dyDescent="0.3">
      <c r="A281">
        <v>99624</v>
      </c>
      <c r="B281" s="1">
        <v>45472</v>
      </c>
      <c r="C281">
        <v>624</v>
      </c>
      <c r="D281">
        <v>20</v>
      </c>
      <c r="E281" t="s">
        <v>28</v>
      </c>
      <c r="F281" t="s">
        <v>72</v>
      </c>
      <c r="G281">
        <v>4</v>
      </c>
      <c r="H281" s="12">
        <v>120.07</v>
      </c>
      <c r="I281" t="s">
        <v>15</v>
      </c>
      <c r="J281" t="s">
        <v>124</v>
      </c>
      <c r="L281" t="s">
        <v>21</v>
      </c>
      <c r="M281">
        <v>20</v>
      </c>
      <c r="N281" s="21">
        <f t="shared" si="8"/>
        <v>480.28</v>
      </c>
      <c r="O281" s="21">
        <f t="shared" si="9"/>
        <v>144.08399999999997</v>
      </c>
    </row>
    <row r="282" spans="1:15" x14ac:dyDescent="0.3">
      <c r="A282">
        <v>92572</v>
      </c>
      <c r="B282" s="1">
        <v>45472</v>
      </c>
      <c r="C282">
        <v>634</v>
      </c>
      <c r="D282">
        <v>40</v>
      </c>
      <c r="E282" t="s">
        <v>24</v>
      </c>
      <c r="F282" t="s">
        <v>65</v>
      </c>
      <c r="G282">
        <v>4</v>
      </c>
      <c r="H282" s="12">
        <v>286.55</v>
      </c>
      <c r="I282" t="s">
        <v>15</v>
      </c>
      <c r="J282" t="s">
        <v>141</v>
      </c>
      <c r="L282" t="s">
        <v>21</v>
      </c>
      <c r="M282">
        <v>60</v>
      </c>
      <c r="N282" s="21">
        <f t="shared" si="8"/>
        <v>1146.2</v>
      </c>
      <c r="O282" s="21">
        <f t="shared" si="9"/>
        <v>343.86</v>
      </c>
    </row>
    <row r="283" spans="1:15" x14ac:dyDescent="0.3">
      <c r="A283">
        <v>77455</v>
      </c>
      <c r="B283" s="1">
        <v>45472</v>
      </c>
      <c r="C283">
        <v>845</v>
      </c>
      <c r="D283">
        <v>50</v>
      </c>
      <c r="E283" t="s">
        <v>18</v>
      </c>
      <c r="F283" t="s">
        <v>87</v>
      </c>
      <c r="G283">
        <v>3</v>
      </c>
      <c r="H283" s="12">
        <v>297.33</v>
      </c>
      <c r="I283" t="s">
        <v>15</v>
      </c>
      <c r="J283" t="s">
        <v>238</v>
      </c>
      <c r="K283">
        <v>3</v>
      </c>
      <c r="L283" t="s">
        <v>21</v>
      </c>
      <c r="M283">
        <v>64</v>
      </c>
      <c r="N283" s="21">
        <f t="shared" si="8"/>
        <v>891.99</v>
      </c>
      <c r="O283" s="21">
        <f t="shared" si="9"/>
        <v>267.59699999999998</v>
      </c>
    </row>
    <row r="284" spans="1:15" x14ac:dyDescent="0.3">
      <c r="A284">
        <v>19405</v>
      </c>
      <c r="B284" s="1">
        <v>45472</v>
      </c>
      <c r="C284">
        <v>433</v>
      </c>
      <c r="D284">
        <v>10</v>
      </c>
      <c r="E284" t="s">
        <v>13</v>
      </c>
      <c r="F284" t="s">
        <v>111</v>
      </c>
      <c r="G284">
        <v>4</v>
      </c>
      <c r="H284" s="12">
        <v>48.94</v>
      </c>
      <c r="I284" t="s">
        <v>26</v>
      </c>
      <c r="J284" t="s">
        <v>930</v>
      </c>
      <c r="L284" t="s">
        <v>17</v>
      </c>
      <c r="M284">
        <v>23</v>
      </c>
      <c r="N284" s="21">
        <f t="shared" si="8"/>
        <v>195.76</v>
      </c>
      <c r="O284" s="21">
        <f t="shared" si="9"/>
        <v>58.727999999999994</v>
      </c>
    </row>
    <row r="285" spans="1:15" x14ac:dyDescent="0.3">
      <c r="A285">
        <v>93547</v>
      </c>
      <c r="B285" s="1">
        <v>45472</v>
      </c>
      <c r="C285">
        <v>663</v>
      </c>
      <c r="D285">
        <v>40</v>
      </c>
      <c r="E285" t="s">
        <v>24</v>
      </c>
      <c r="F285" t="s">
        <v>44</v>
      </c>
      <c r="G285">
        <v>3</v>
      </c>
      <c r="H285" s="12">
        <v>100.15</v>
      </c>
      <c r="I285" t="s">
        <v>26</v>
      </c>
      <c r="J285" t="s">
        <v>931</v>
      </c>
      <c r="K285">
        <v>4</v>
      </c>
      <c r="L285" t="s">
        <v>21</v>
      </c>
      <c r="M285">
        <v>65</v>
      </c>
      <c r="N285" s="21">
        <f t="shared" si="8"/>
        <v>300.45000000000005</v>
      </c>
      <c r="O285" s="21">
        <f t="shared" si="9"/>
        <v>90.135000000000005</v>
      </c>
    </row>
    <row r="286" spans="1:15" x14ac:dyDescent="0.3">
      <c r="A286">
        <v>54318</v>
      </c>
      <c r="B286" s="1">
        <v>45472</v>
      </c>
      <c r="C286">
        <v>142</v>
      </c>
      <c r="D286">
        <v>10</v>
      </c>
      <c r="E286" t="s">
        <v>13</v>
      </c>
      <c r="F286" t="s">
        <v>111</v>
      </c>
      <c r="G286">
        <v>2</v>
      </c>
      <c r="H286" s="12">
        <v>491.97</v>
      </c>
      <c r="I286" t="s">
        <v>35</v>
      </c>
      <c r="J286" t="s">
        <v>971</v>
      </c>
      <c r="K286">
        <v>4</v>
      </c>
      <c r="L286" t="s">
        <v>21</v>
      </c>
      <c r="M286">
        <v>18</v>
      </c>
      <c r="N286" s="21">
        <f t="shared" si="8"/>
        <v>983.94</v>
      </c>
      <c r="O286" s="21">
        <f t="shared" si="9"/>
        <v>295.18200000000002</v>
      </c>
    </row>
    <row r="287" spans="1:15" x14ac:dyDescent="0.3">
      <c r="A287">
        <v>32747</v>
      </c>
      <c r="B287" s="1">
        <v>45473</v>
      </c>
      <c r="C287">
        <v>322</v>
      </c>
      <c r="D287">
        <v>50</v>
      </c>
      <c r="E287" t="s">
        <v>18</v>
      </c>
      <c r="F287" t="s">
        <v>87</v>
      </c>
      <c r="G287">
        <v>1</v>
      </c>
      <c r="H287" s="12">
        <v>24</v>
      </c>
      <c r="I287" t="s">
        <v>35</v>
      </c>
      <c r="J287" t="s">
        <v>837</v>
      </c>
      <c r="K287">
        <v>3</v>
      </c>
      <c r="M287">
        <v>71</v>
      </c>
      <c r="N287" s="21">
        <f t="shared" si="8"/>
        <v>24</v>
      </c>
      <c r="O287" s="21">
        <f t="shared" si="9"/>
        <v>7.1999999999999993</v>
      </c>
    </row>
    <row r="288" spans="1:15" x14ac:dyDescent="0.3">
      <c r="A288">
        <v>71248</v>
      </c>
      <c r="B288" s="1">
        <v>45474</v>
      </c>
      <c r="C288">
        <v>289</v>
      </c>
      <c r="D288">
        <v>10</v>
      </c>
      <c r="E288" t="s">
        <v>13</v>
      </c>
      <c r="F288" t="s">
        <v>14</v>
      </c>
      <c r="G288">
        <v>5</v>
      </c>
      <c r="H288" s="12">
        <v>207.28</v>
      </c>
      <c r="I288" t="s">
        <v>26</v>
      </c>
      <c r="J288" t="s">
        <v>76</v>
      </c>
      <c r="K288">
        <v>5</v>
      </c>
      <c r="L288" t="s">
        <v>21</v>
      </c>
      <c r="M288">
        <v>42</v>
      </c>
      <c r="N288" s="21">
        <f t="shared" si="8"/>
        <v>1036.4000000000001</v>
      </c>
      <c r="O288" s="21">
        <f t="shared" si="9"/>
        <v>310.92</v>
      </c>
    </row>
    <row r="289" spans="1:15" x14ac:dyDescent="0.3">
      <c r="A289">
        <v>64578</v>
      </c>
      <c r="B289" s="1">
        <v>45474</v>
      </c>
      <c r="C289">
        <v>650</v>
      </c>
      <c r="D289">
        <v>10</v>
      </c>
      <c r="E289" t="s">
        <v>13</v>
      </c>
      <c r="F289" t="s">
        <v>42</v>
      </c>
      <c r="G289">
        <v>1</v>
      </c>
      <c r="H289" s="12">
        <v>35.520000000000003</v>
      </c>
      <c r="I289" t="s">
        <v>26</v>
      </c>
      <c r="J289" t="s">
        <v>144</v>
      </c>
      <c r="K289">
        <v>1</v>
      </c>
      <c r="L289" t="s">
        <v>21</v>
      </c>
      <c r="M289">
        <v>54</v>
      </c>
      <c r="N289" s="21">
        <f t="shared" si="8"/>
        <v>35.520000000000003</v>
      </c>
      <c r="O289" s="21">
        <f t="shared" si="9"/>
        <v>10.656000000000001</v>
      </c>
    </row>
    <row r="290" spans="1:15" x14ac:dyDescent="0.3">
      <c r="A290">
        <v>30464</v>
      </c>
      <c r="B290" s="1">
        <v>45474</v>
      </c>
      <c r="C290">
        <v>563</v>
      </c>
      <c r="D290">
        <v>20</v>
      </c>
      <c r="E290" t="s">
        <v>28</v>
      </c>
      <c r="F290" t="s">
        <v>29</v>
      </c>
      <c r="G290">
        <v>2</v>
      </c>
      <c r="H290" s="12">
        <v>483.96</v>
      </c>
      <c r="I290" t="s">
        <v>35</v>
      </c>
      <c r="J290" t="s">
        <v>226</v>
      </c>
      <c r="K290">
        <v>3</v>
      </c>
      <c r="L290" t="s">
        <v>17</v>
      </c>
      <c r="M290">
        <v>25</v>
      </c>
      <c r="N290" s="21">
        <f t="shared" si="8"/>
        <v>967.92</v>
      </c>
      <c r="O290" s="21">
        <f t="shared" si="9"/>
        <v>290.37599999999998</v>
      </c>
    </row>
    <row r="291" spans="1:15" x14ac:dyDescent="0.3">
      <c r="A291">
        <v>58789</v>
      </c>
      <c r="B291" s="1">
        <v>45474</v>
      </c>
      <c r="C291">
        <v>318</v>
      </c>
      <c r="D291">
        <v>40</v>
      </c>
      <c r="E291" t="s">
        <v>24</v>
      </c>
      <c r="F291" t="s">
        <v>49</v>
      </c>
      <c r="G291">
        <v>4</v>
      </c>
      <c r="H291" s="12">
        <v>49.32</v>
      </c>
      <c r="I291" t="s">
        <v>35</v>
      </c>
      <c r="J291" t="s">
        <v>416</v>
      </c>
      <c r="K291">
        <v>5</v>
      </c>
      <c r="L291" t="s">
        <v>21</v>
      </c>
      <c r="M291">
        <v>72</v>
      </c>
      <c r="N291" s="21">
        <f t="shared" si="8"/>
        <v>197.28</v>
      </c>
      <c r="O291" s="21">
        <f t="shared" si="9"/>
        <v>59.183999999999997</v>
      </c>
    </row>
    <row r="292" spans="1:15" x14ac:dyDescent="0.3">
      <c r="A292">
        <v>24487</v>
      </c>
      <c r="B292" s="1">
        <v>45474</v>
      </c>
      <c r="C292">
        <v>468</v>
      </c>
      <c r="D292">
        <v>40</v>
      </c>
      <c r="E292" t="s">
        <v>24</v>
      </c>
      <c r="F292" t="s">
        <v>25</v>
      </c>
      <c r="G292">
        <v>1</v>
      </c>
      <c r="H292" s="12">
        <v>372.43</v>
      </c>
      <c r="I292" t="s">
        <v>26</v>
      </c>
      <c r="J292" t="s">
        <v>465</v>
      </c>
      <c r="K292">
        <v>3</v>
      </c>
      <c r="L292" t="s">
        <v>21</v>
      </c>
      <c r="M292">
        <v>38</v>
      </c>
      <c r="N292" s="21">
        <f t="shared" si="8"/>
        <v>372.43</v>
      </c>
      <c r="O292" s="21">
        <f t="shared" si="9"/>
        <v>111.729</v>
      </c>
    </row>
    <row r="293" spans="1:15" x14ac:dyDescent="0.3">
      <c r="A293">
        <v>96065</v>
      </c>
      <c r="B293" s="1">
        <v>45474</v>
      </c>
      <c r="C293">
        <v>297</v>
      </c>
      <c r="D293">
        <v>10</v>
      </c>
      <c r="E293" t="s">
        <v>13</v>
      </c>
      <c r="F293" t="s">
        <v>111</v>
      </c>
      <c r="G293">
        <v>2</v>
      </c>
      <c r="H293" s="12">
        <v>389.81</v>
      </c>
      <c r="I293" t="s">
        <v>26</v>
      </c>
      <c r="J293" t="s">
        <v>509</v>
      </c>
      <c r="K293">
        <v>4</v>
      </c>
      <c r="L293" t="s">
        <v>17</v>
      </c>
      <c r="M293">
        <v>62</v>
      </c>
      <c r="N293" s="21">
        <f t="shared" si="8"/>
        <v>779.62</v>
      </c>
      <c r="O293" s="21">
        <f t="shared" si="9"/>
        <v>233.886</v>
      </c>
    </row>
    <row r="294" spans="1:15" x14ac:dyDescent="0.3">
      <c r="A294">
        <v>41492</v>
      </c>
      <c r="B294" s="1">
        <v>45475</v>
      </c>
      <c r="C294">
        <v>631</v>
      </c>
      <c r="D294">
        <v>50</v>
      </c>
      <c r="E294" t="s">
        <v>18</v>
      </c>
      <c r="F294" t="s">
        <v>34</v>
      </c>
      <c r="G294">
        <v>2</v>
      </c>
      <c r="H294" s="12">
        <v>402.56</v>
      </c>
      <c r="I294" t="s">
        <v>35</v>
      </c>
      <c r="J294" t="s">
        <v>325</v>
      </c>
      <c r="K294">
        <v>4</v>
      </c>
      <c r="L294" t="s">
        <v>21</v>
      </c>
      <c r="M294">
        <v>74</v>
      </c>
      <c r="N294" s="21">
        <f t="shared" si="8"/>
        <v>805.12</v>
      </c>
      <c r="O294" s="21">
        <f t="shared" si="9"/>
        <v>241.536</v>
      </c>
    </row>
    <row r="295" spans="1:15" x14ac:dyDescent="0.3">
      <c r="A295">
        <v>75860</v>
      </c>
      <c r="B295" s="1">
        <v>45475</v>
      </c>
      <c r="C295">
        <v>370</v>
      </c>
      <c r="D295">
        <v>50</v>
      </c>
      <c r="E295" t="s">
        <v>18</v>
      </c>
      <c r="F295" t="s">
        <v>22</v>
      </c>
      <c r="G295">
        <v>3</v>
      </c>
      <c r="H295" s="12">
        <v>51.53</v>
      </c>
      <c r="I295" t="s">
        <v>15</v>
      </c>
      <c r="J295" t="s">
        <v>500</v>
      </c>
      <c r="K295">
        <v>3</v>
      </c>
      <c r="L295" t="s">
        <v>21</v>
      </c>
      <c r="M295">
        <v>63</v>
      </c>
      <c r="N295" s="21">
        <f t="shared" si="8"/>
        <v>154.59</v>
      </c>
      <c r="O295" s="21">
        <f t="shared" si="9"/>
        <v>46.377000000000002</v>
      </c>
    </row>
    <row r="296" spans="1:15" x14ac:dyDescent="0.3">
      <c r="A296">
        <v>12544</v>
      </c>
      <c r="B296" s="1">
        <v>45475</v>
      </c>
      <c r="C296">
        <v>958</v>
      </c>
      <c r="D296">
        <v>10</v>
      </c>
      <c r="E296" t="s">
        <v>13</v>
      </c>
      <c r="F296" t="s">
        <v>47</v>
      </c>
      <c r="G296">
        <v>3</v>
      </c>
      <c r="H296" s="12">
        <v>153.12</v>
      </c>
      <c r="I296" t="s">
        <v>26</v>
      </c>
      <c r="J296" t="s">
        <v>507</v>
      </c>
      <c r="K296">
        <v>1</v>
      </c>
      <c r="L296" t="s">
        <v>21</v>
      </c>
      <c r="M296">
        <v>28</v>
      </c>
      <c r="N296" s="21">
        <f t="shared" si="8"/>
        <v>459.36</v>
      </c>
      <c r="O296" s="21">
        <f t="shared" si="9"/>
        <v>137.80799999999999</v>
      </c>
    </row>
    <row r="297" spans="1:15" x14ac:dyDescent="0.3">
      <c r="A297">
        <v>58911</v>
      </c>
      <c r="B297" s="1">
        <v>45476</v>
      </c>
      <c r="C297">
        <v>489</v>
      </c>
      <c r="D297">
        <v>50</v>
      </c>
      <c r="E297" t="s">
        <v>18</v>
      </c>
      <c r="F297" t="s">
        <v>84</v>
      </c>
      <c r="G297">
        <v>1</v>
      </c>
      <c r="H297" s="12">
        <v>236.22</v>
      </c>
      <c r="I297" t="s">
        <v>26</v>
      </c>
      <c r="J297" t="s">
        <v>301</v>
      </c>
      <c r="K297">
        <v>5</v>
      </c>
      <c r="L297" t="s">
        <v>17</v>
      </c>
      <c r="M297">
        <v>72</v>
      </c>
      <c r="N297" s="21">
        <f t="shared" si="8"/>
        <v>236.22</v>
      </c>
      <c r="O297" s="21">
        <f t="shared" si="9"/>
        <v>70.866</v>
      </c>
    </row>
    <row r="298" spans="1:15" x14ac:dyDescent="0.3">
      <c r="A298">
        <v>49232</v>
      </c>
      <c r="B298" s="1">
        <v>45476</v>
      </c>
      <c r="C298">
        <v>172</v>
      </c>
      <c r="D298">
        <v>30</v>
      </c>
      <c r="E298" t="s">
        <v>37</v>
      </c>
      <c r="F298" t="s">
        <v>58</v>
      </c>
      <c r="G298">
        <v>1</v>
      </c>
      <c r="H298" s="12">
        <v>415.86</v>
      </c>
      <c r="I298" t="s">
        <v>35</v>
      </c>
      <c r="J298" t="s">
        <v>370</v>
      </c>
      <c r="K298">
        <v>4</v>
      </c>
      <c r="L298" t="s">
        <v>17</v>
      </c>
      <c r="M298">
        <v>53</v>
      </c>
      <c r="N298" s="21">
        <f t="shared" si="8"/>
        <v>415.86</v>
      </c>
      <c r="O298" s="21">
        <f t="shared" si="9"/>
        <v>124.758</v>
      </c>
    </row>
    <row r="299" spans="1:15" x14ac:dyDescent="0.3">
      <c r="A299">
        <v>46781</v>
      </c>
      <c r="B299" s="1">
        <v>45476</v>
      </c>
      <c r="C299">
        <v>543</v>
      </c>
      <c r="D299">
        <v>40</v>
      </c>
      <c r="E299" t="s">
        <v>24</v>
      </c>
      <c r="F299" t="s">
        <v>49</v>
      </c>
      <c r="G299">
        <v>1</v>
      </c>
      <c r="H299" s="12">
        <v>282.92</v>
      </c>
      <c r="I299" t="s">
        <v>35</v>
      </c>
      <c r="J299" t="s">
        <v>466</v>
      </c>
      <c r="K299">
        <v>4</v>
      </c>
      <c r="L299" t="s">
        <v>21</v>
      </c>
      <c r="M299">
        <v>32</v>
      </c>
      <c r="N299" s="21">
        <f t="shared" si="8"/>
        <v>282.92</v>
      </c>
      <c r="O299" s="21">
        <f t="shared" si="9"/>
        <v>84.876000000000005</v>
      </c>
    </row>
    <row r="300" spans="1:15" x14ac:dyDescent="0.3">
      <c r="A300">
        <v>40110</v>
      </c>
      <c r="B300" s="1">
        <v>45476</v>
      </c>
      <c r="C300">
        <v>325</v>
      </c>
      <c r="D300">
        <v>50</v>
      </c>
      <c r="E300" t="s">
        <v>18</v>
      </c>
      <c r="F300" t="s">
        <v>84</v>
      </c>
      <c r="G300">
        <v>5</v>
      </c>
      <c r="H300" s="12">
        <v>309.54000000000002</v>
      </c>
      <c r="I300" t="s">
        <v>35</v>
      </c>
      <c r="J300" t="s">
        <v>498</v>
      </c>
      <c r="L300" t="s">
        <v>21</v>
      </c>
      <c r="M300">
        <v>27</v>
      </c>
      <c r="N300" s="21">
        <f t="shared" si="8"/>
        <v>1547.7</v>
      </c>
      <c r="O300" s="21">
        <f t="shared" si="9"/>
        <v>464.31</v>
      </c>
    </row>
    <row r="301" spans="1:15" x14ac:dyDescent="0.3">
      <c r="A301">
        <v>76057</v>
      </c>
      <c r="B301" s="1">
        <v>45476</v>
      </c>
      <c r="C301">
        <v>560</v>
      </c>
      <c r="D301">
        <v>10</v>
      </c>
      <c r="E301" t="s">
        <v>13</v>
      </c>
      <c r="F301" t="s">
        <v>32</v>
      </c>
      <c r="G301">
        <v>4</v>
      </c>
      <c r="H301" s="12">
        <v>423.45</v>
      </c>
      <c r="I301" t="s">
        <v>26</v>
      </c>
      <c r="J301" t="s">
        <v>615</v>
      </c>
      <c r="K301">
        <v>5</v>
      </c>
      <c r="L301" t="s">
        <v>17</v>
      </c>
      <c r="M301">
        <v>52</v>
      </c>
      <c r="N301" s="21">
        <f t="shared" si="8"/>
        <v>1693.8</v>
      </c>
      <c r="O301" s="21">
        <f t="shared" si="9"/>
        <v>508.14</v>
      </c>
    </row>
    <row r="302" spans="1:15" x14ac:dyDescent="0.3">
      <c r="A302">
        <v>56431</v>
      </c>
      <c r="B302" s="1">
        <v>45476</v>
      </c>
      <c r="C302">
        <v>600</v>
      </c>
      <c r="D302">
        <v>20</v>
      </c>
      <c r="E302" t="s">
        <v>28</v>
      </c>
      <c r="F302" t="s">
        <v>77</v>
      </c>
      <c r="G302">
        <v>3</v>
      </c>
      <c r="H302" s="12">
        <v>150.41999999999999</v>
      </c>
      <c r="I302" t="s">
        <v>35</v>
      </c>
      <c r="J302" t="s">
        <v>982</v>
      </c>
      <c r="K302">
        <v>3</v>
      </c>
      <c r="L302" t="s">
        <v>21</v>
      </c>
      <c r="M302">
        <v>42</v>
      </c>
      <c r="N302" s="21">
        <f t="shared" si="8"/>
        <v>451.26</v>
      </c>
      <c r="O302" s="21">
        <f t="shared" si="9"/>
        <v>135.37799999999999</v>
      </c>
    </row>
    <row r="303" spans="1:15" x14ac:dyDescent="0.3">
      <c r="A303">
        <v>85352</v>
      </c>
      <c r="B303" s="1">
        <v>45477</v>
      </c>
      <c r="C303">
        <v>755</v>
      </c>
      <c r="D303">
        <v>20</v>
      </c>
      <c r="E303" t="s">
        <v>28</v>
      </c>
      <c r="F303" t="s">
        <v>79</v>
      </c>
      <c r="G303">
        <v>5</v>
      </c>
      <c r="H303" s="12">
        <v>149.06</v>
      </c>
      <c r="I303" t="s">
        <v>35</v>
      </c>
      <c r="J303" t="s">
        <v>123</v>
      </c>
      <c r="K303">
        <v>5</v>
      </c>
      <c r="L303" t="s">
        <v>21</v>
      </c>
      <c r="M303">
        <v>38</v>
      </c>
      <c r="N303" s="21">
        <f t="shared" si="8"/>
        <v>745.3</v>
      </c>
      <c r="O303" s="21">
        <f t="shared" si="9"/>
        <v>223.58999999999997</v>
      </c>
    </row>
    <row r="304" spans="1:15" x14ac:dyDescent="0.3">
      <c r="A304">
        <v>66782</v>
      </c>
      <c r="B304" s="1">
        <v>45477</v>
      </c>
      <c r="C304">
        <v>865</v>
      </c>
      <c r="D304">
        <v>20</v>
      </c>
      <c r="E304" t="s">
        <v>28</v>
      </c>
      <c r="F304" t="s">
        <v>72</v>
      </c>
      <c r="G304">
        <v>2</v>
      </c>
      <c r="H304" s="12">
        <v>62.97</v>
      </c>
      <c r="I304" t="s">
        <v>15</v>
      </c>
      <c r="J304" t="s">
        <v>148</v>
      </c>
      <c r="K304">
        <v>5</v>
      </c>
      <c r="L304" t="s">
        <v>17</v>
      </c>
      <c r="M304">
        <v>48</v>
      </c>
      <c r="N304" s="21">
        <f t="shared" si="8"/>
        <v>125.94</v>
      </c>
      <c r="O304" s="21">
        <f t="shared" si="9"/>
        <v>37.781999999999996</v>
      </c>
    </row>
    <row r="305" spans="1:15" x14ac:dyDescent="0.3">
      <c r="A305">
        <v>34740</v>
      </c>
      <c r="B305" s="1">
        <v>45477</v>
      </c>
      <c r="C305">
        <v>111</v>
      </c>
      <c r="D305">
        <v>50</v>
      </c>
      <c r="E305" t="s">
        <v>18</v>
      </c>
      <c r="F305" t="s">
        <v>84</v>
      </c>
      <c r="G305">
        <v>3</v>
      </c>
      <c r="H305" s="12">
        <v>163.74</v>
      </c>
      <c r="I305" t="s">
        <v>15</v>
      </c>
      <c r="J305" t="s">
        <v>378</v>
      </c>
      <c r="K305">
        <v>4</v>
      </c>
      <c r="L305" t="s">
        <v>17</v>
      </c>
      <c r="M305">
        <v>44</v>
      </c>
      <c r="N305" s="21">
        <f t="shared" si="8"/>
        <v>491.22</v>
      </c>
      <c r="O305" s="21">
        <f t="shared" si="9"/>
        <v>147.36600000000001</v>
      </c>
    </row>
    <row r="306" spans="1:15" x14ac:dyDescent="0.3">
      <c r="A306">
        <v>18651</v>
      </c>
      <c r="B306" s="1">
        <v>45477</v>
      </c>
      <c r="C306">
        <v>121</v>
      </c>
      <c r="D306">
        <v>40</v>
      </c>
      <c r="E306" t="s">
        <v>24</v>
      </c>
      <c r="F306" t="s">
        <v>25</v>
      </c>
      <c r="G306">
        <v>5</v>
      </c>
      <c r="H306" s="12">
        <v>412.7</v>
      </c>
      <c r="I306" t="s">
        <v>35</v>
      </c>
      <c r="J306" t="s">
        <v>707</v>
      </c>
      <c r="K306">
        <v>5</v>
      </c>
      <c r="L306" t="s">
        <v>21</v>
      </c>
      <c r="M306">
        <v>29</v>
      </c>
      <c r="N306" s="21">
        <f t="shared" si="8"/>
        <v>2063.5</v>
      </c>
      <c r="O306" s="21">
        <f t="shared" si="9"/>
        <v>619.04999999999995</v>
      </c>
    </row>
    <row r="307" spans="1:15" x14ac:dyDescent="0.3">
      <c r="A307">
        <v>72236</v>
      </c>
      <c r="B307" s="1">
        <v>45478</v>
      </c>
      <c r="C307">
        <v>959</v>
      </c>
      <c r="D307">
        <v>10</v>
      </c>
      <c r="E307" t="s">
        <v>13</v>
      </c>
      <c r="F307" t="s">
        <v>14</v>
      </c>
      <c r="G307">
        <v>5</v>
      </c>
      <c r="H307" s="12">
        <v>110.17</v>
      </c>
      <c r="I307" t="s">
        <v>15</v>
      </c>
      <c r="J307" t="s">
        <v>267</v>
      </c>
      <c r="K307">
        <v>5</v>
      </c>
      <c r="L307" t="s">
        <v>17</v>
      </c>
      <c r="M307">
        <v>47</v>
      </c>
      <c r="N307" s="21">
        <f t="shared" si="8"/>
        <v>550.85</v>
      </c>
      <c r="O307" s="21">
        <f t="shared" si="9"/>
        <v>165.255</v>
      </c>
    </row>
    <row r="308" spans="1:15" x14ac:dyDescent="0.3">
      <c r="A308">
        <v>80435</v>
      </c>
      <c r="B308" s="1">
        <v>45478</v>
      </c>
      <c r="C308">
        <v>681</v>
      </c>
      <c r="D308">
        <v>40</v>
      </c>
      <c r="E308" t="s">
        <v>24</v>
      </c>
      <c r="F308" t="s">
        <v>44</v>
      </c>
      <c r="G308">
        <v>1</v>
      </c>
      <c r="H308" s="12">
        <v>232.24</v>
      </c>
      <c r="I308" t="s">
        <v>35</v>
      </c>
      <c r="J308" t="s">
        <v>353</v>
      </c>
      <c r="L308" t="s">
        <v>21</v>
      </c>
      <c r="M308">
        <v>41</v>
      </c>
      <c r="N308" s="21">
        <f t="shared" si="8"/>
        <v>232.24</v>
      </c>
      <c r="O308" s="21">
        <f t="shared" si="9"/>
        <v>69.671999999999997</v>
      </c>
    </row>
    <row r="309" spans="1:15" x14ac:dyDescent="0.3">
      <c r="A309">
        <v>45435</v>
      </c>
      <c r="B309" s="1">
        <v>45479</v>
      </c>
      <c r="C309">
        <v>349</v>
      </c>
      <c r="D309">
        <v>40</v>
      </c>
      <c r="E309" t="s">
        <v>24</v>
      </c>
      <c r="F309" t="s">
        <v>25</v>
      </c>
      <c r="G309">
        <v>3</v>
      </c>
      <c r="H309" s="12">
        <v>421.85</v>
      </c>
      <c r="I309" t="s">
        <v>15</v>
      </c>
      <c r="J309" t="s">
        <v>140</v>
      </c>
      <c r="K309">
        <v>5</v>
      </c>
      <c r="L309" t="s">
        <v>17</v>
      </c>
      <c r="M309">
        <v>25</v>
      </c>
      <c r="N309" s="21">
        <f t="shared" si="8"/>
        <v>1265.5500000000002</v>
      </c>
      <c r="O309" s="21">
        <f t="shared" si="9"/>
        <v>379.66500000000002</v>
      </c>
    </row>
    <row r="310" spans="1:15" x14ac:dyDescent="0.3">
      <c r="A310">
        <v>89715</v>
      </c>
      <c r="B310" s="1">
        <v>45479</v>
      </c>
      <c r="C310">
        <v>941</v>
      </c>
      <c r="D310">
        <v>10</v>
      </c>
      <c r="E310" t="s">
        <v>13</v>
      </c>
      <c r="F310" t="s">
        <v>111</v>
      </c>
      <c r="G310">
        <v>1</v>
      </c>
      <c r="H310" s="12">
        <v>213.83</v>
      </c>
      <c r="I310" t="s">
        <v>15</v>
      </c>
      <c r="J310" t="s">
        <v>488</v>
      </c>
      <c r="M310">
        <v>28</v>
      </c>
      <c r="N310" s="21">
        <f t="shared" si="8"/>
        <v>213.83</v>
      </c>
      <c r="O310" s="21">
        <f t="shared" si="9"/>
        <v>64.149000000000001</v>
      </c>
    </row>
    <row r="311" spans="1:15" x14ac:dyDescent="0.3">
      <c r="A311">
        <v>43139</v>
      </c>
      <c r="B311" s="1">
        <v>45479</v>
      </c>
      <c r="C311">
        <v>669</v>
      </c>
      <c r="D311">
        <v>10</v>
      </c>
      <c r="E311" t="s">
        <v>13</v>
      </c>
      <c r="F311" t="s">
        <v>14</v>
      </c>
      <c r="G311">
        <v>5</v>
      </c>
      <c r="H311" s="12">
        <v>12.46</v>
      </c>
      <c r="I311" t="s">
        <v>35</v>
      </c>
      <c r="J311" t="s">
        <v>745</v>
      </c>
      <c r="K311">
        <v>3</v>
      </c>
      <c r="L311" t="s">
        <v>17</v>
      </c>
      <c r="M311">
        <v>67</v>
      </c>
      <c r="N311" s="21">
        <f t="shared" si="8"/>
        <v>62.300000000000004</v>
      </c>
      <c r="O311" s="21">
        <f t="shared" si="9"/>
        <v>18.690000000000001</v>
      </c>
    </row>
    <row r="312" spans="1:15" x14ac:dyDescent="0.3">
      <c r="A312">
        <v>24744</v>
      </c>
      <c r="B312" s="1">
        <v>45481</v>
      </c>
      <c r="C312">
        <v>818</v>
      </c>
      <c r="D312">
        <v>10</v>
      </c>
      <c r="E312" t="s">
        <v>13</v>
      </c>
      <c r="F312" t="s">
        <v>14</v>
      </c>
      <c r="G312">
        <v>5</v>
      </c>
      <c r="H312" s="12">
        <v>200.44</v>
      </c>
      <c r="I312" t="s">
        <v>26</v>
      </c>
      <c r="J312" t="s">
        <v>913</v>
      </c>
      <c r="K312">
        <v>5</v>
      </c>
      <c r="M312">
        <v>34</v>
      </c>
      <c r="N312" s="21">
        <f t="shared" si="8"/>
        <v>1002.2</v>
      </c>
      <c r="O312" s="21">
        <f t="shared" si="9"/>
        <v>300.66000000000003</v>
      </c>
    </row>
    <row r="313" spans="1:15" x14ac:dyDescent="0.3">
      <c r="A313">
        <v>30197</v>
      </c>
      <c r="B313" s="1">
        <v>45482</v>
      </c>
      <c r="C313">
        <v>386</v>
      </c>
      <c r="D313">
        <v>40</v>
      </c>
      <c r="E313" t="s">
        <v>24</v>
      </c>
      <c r="F313" t="s">
        <v>44</v>
      </c>
      <c r="G313">
        <v>1</v>
      </c>
      <c r="H313" s="12">
        <v>305.82</v>
      </c>
      <c r="I313" t="s">
        <v>15</v>
      </c>
      <c r="J313" t="s">
        <v>183</v>
      </c>
      <c r="M313">
        <v>39</v>
      </c>
      <c r="N313" s="21">
        <f t="shared" si="8"/>
        <v>305.82</v>
      </c>
      <c r="O313" s="21">
        <f t="shared" si="9"/>
        <v>91.745999999999995</v>
      </c>
    </row>
    <row r="314" spans="1:15" x14ac:dyDescent="0.3">
      <c r="A314">
        <v>98794</v>
      </c>
      <c r="B314" s="1">
        <v>45482</v>
      </c>
      <c r="C314">
        <v>993</v>
      </c>
      <c r="D314">
        <v>50</v>
      </c>
      <c r="E314" t="s">
        <v>18</v>
      </c>
      <c r="F314" t="s">
        <v>19</v>
      </c>
      <c r="G314">
        <v>2</v>
      </c>
      <c r="H314" s="12">
        <v>32.200000000000003</v>
      </c>
      <c r="I314" t="s">
        <v>15</v>
      </c>
      <c r="J314" t="s">
        <v>367</v>
      </c>
      <c r="K314">
        <v>5</v>
      </c>
      <c r="L314" t="s">
        <v>17</v>
      </c>
      <c r="M314">
        <v>57</v>
      </c>
      <c r="N314" s="21">
        <f t="shared" si="8"/>
        <v>64.400000000000006</v>
      </c>
      <c r="O314" s="21">
        <f t="shared" si="9"/>
        <v>19.32</v>
      </c>
    </row>
    <row r="315" spans="1:15" x14ac:dyDescent="0.3">
      <c r="A315">
        <v>20853</v>
      </c>
      <c r="B315" s="1">
        <v>45483</v>
      </c>
      <c r="C315">
        <v>499</v>
      </c>
      <c r="D315">
        <v>30</v>
      </c>
      <c r="E315" t="s">
        <v>37</v>
      </c>
      <c r="F315" t="s">
        <v>58</v>
      </c>
      <c r="G315">
        <v>3</v>
      </c>
      <c r="H315" s="12">
        <v>227.39</v>
      </c>
      <c r="I315" t="s">
        <v>15</v>
      </c>
      <c r="J315" t="s">
        <v>986</v>
      </c>
      <c r="M315">
        <v>39</v>
      </c>
      <c r="N315" s="21">
        <f t="shared" si="8"/>
        <v>682.17</v>
      </c>
      <c r="O315" s="21">
        <f t="shared" si="9"/>
        <v>204.65099999999998</v>
      </c>
    </row>
    <row r="316" spans="1:15" x14ac:dyDescent="0.3">
      <c r="A316">
        <v>93130</v>
      </c>
      <c r="B316" s="1">
        <v>45484</v>
      </c>
      <c r="C316">
        <v>233</v>
      </c>
      <c r="D316">
        <v>40</v>
      </c>
      <c r="E316" t="s">
        <v>24</v>
      </c>
      <c r="F316" t="s">
        <v>65</v>
      </c>
      <c r="G316">
        <v>2</v>
      </c>
      <c r="H316" s="12">
        <v>354.85</v>
      </c>
      <c r="I316" t="s">
        <v>15</v>
      </c>
      <c r="J316" t="s">
        <v>407</v>
      </c>
      <c r="K316">
        <v>5</v>
      </c>
      <c r="L316" t="s">
        <v>21</v>
      </c>
      <c r="M316">
        <v>38</v>
      </c>
      <c r="N316" s="21">
        <f t="shared" si="8"/>
        <v>709.7</v>
      </c>
      <c r="O316" s="21">
        <f t="shared" si="9"/>
        <v>212.91</v>
      </c>
    </row>
    <row r="317" spans="1:15" x14ac:dyDescent="0.3">
      <c r="A317">
        <v>53754</v>
      </c>
      <c r="B317" s="1">
        <v>45484</v>
      </c>
      <c r="C317">
        <v>190</v>
      </c>
      <c r="D317">
        <v>50</v>
      </c>
      <c r="E317" t="s">
        <v>18</v>
      </c>
      <c r="F317" t="s">
        <v>22</v>
      </c>
      <c r="G317">
        <v>1</v>
      </c>
      <c r="H317" s="12">
        <v>92.5</v>
      </c>
      <c r="I317" t="s">
        <v>35</v>
      </c>
      <c r="J317" t="s">
        <v>515</v>
      </c>
      <c r="K317">
        <v>2</v>
      </c>
      <c r="L317" t="s">
        <v>17</v>
      </c>
      <c r="M317">
        <v>73</v>
      </c>
      <c r="N317" s="21">
        <f t="shared" si="8"/>
        <v>92.5</v>
      </c>
      <c r="O317" s="21">
        <f t="shared" si="9"/>
        <v>27.75</v>
      </c>
    </row>
    <row r="318" spans="1:15" x14ac:dyDescent="0.3">
      <c r="A318">
        <v>92276</v>
      </c>
      <c r="B318" s="1">
        <v>45484</v>
      </c>
      <c r="C318">
        <v>555</v>
      </c>
      <c r="D318">
        <v>50</v>
      </c>
      <c r="E318" t="s">
        <v>18</v>
      </c>
      <c r="F318" t="s">
        <v>22</v>
      </c>
      <c r="G318">
        <v>4</v>
      </c>
      <c r="H318" s="12">
        <v>311.86</v>
      </c>
      <c r="I318" t="s">
        <v>26</v>
      </c>
      <c r="J318" t="s">
        <v>542</v>
      </c>
      <c r="L318" t="s">
        <v>21</v>
      </c>
      <c r="M318">
        <v>63</v>
      </c>
      <c r="N318" s="21">
        <f t="shared" si="8"/>
        <v>1247.44</v>
      </c>
      <c r="O318" s="21">
        <f t="shared" si="9"/>
        <v>374.23200000000003</v>
      </c>
    </row>
    <row r="319" spans="1:15" x14ac:dyDescent="0.3">
      <c r="A319">
        <v>78620</v>
      </c>
      <c r="B319" s="1">
        <v>45484</v>
      </c>
      <c r="C319">
        <v>909</v>
      </c>
      <c r="D319">
        <v>10</v>
      </c>
      <c r="E319" t="s">
        <v>13</v>
      </c>
      <c r="F319" t="s">
        <v>14</v>
      </c>
      <c r="G319">
        <v>1</v>
      </c>
      <c r="H319" s="12">
        <v>89.38</v>
      </c>
      <c r="I319" t="s">
        <v>15</v>
      </c>
      <c r="J319" t="s">
        <v>830</v>
      </c>
      <c r="K319">
        <v>3</v>
      </c>
      <c r="L319" t="s">
        <v>17</v>
      </c>
      <c r="M319">
        <v>47</v>
      </c>
      <c r="N319" s="21">
        <f t="shared" si="8"/>
        <v>89.38</v>
      </c>
      <c r="O319" s="21">
        <f t="shared" si="9"/>
        <v>26.813999999999997</v>
      </c>
    </row>
    <row r="320" spans="1:15" x14ac:dyDescent="0.3">
      <c r="A320">
        <v>41014</v>
      </c>
      <c r="B320" s="1">
        <v>45484</v>
      </c>
      <c r="C320">
        <v>569</v>
      </c>
      <c r="D320">
        <v>40</v>
      </c>
      <c r="E320" t="s">
        <v>24</v>
      </c>
      <c r="F320" t="s">
        <v>49</v>
      </c>
      <c r="G320">
        <v>1</v>
      </c>
      <c r="H320" s="12">
        <v>390.35</v>
      </c>
      <c r="I320" t="s">
        <v>35</v>
      </c>
      <c r="J320" t="s">
        <v>934</v>
      </c>
      <c r="K320">
        <v>5</v>
      </c>
      <c r="L320" t="s">
        <v>21</v>
      </c>
      <c r="M320">
        <v>34</v>
      </c>
      <c r="N320" s="21">
        <f t="shared" si="8"/>
        <v>390.35</v>
      </c>
      <c r="O320" s="21">
        <f t="shared" si="9"/>
        <v>117.105</v>
      </c>
    </row>
    <row r="321" spans="1:15" x14ac:dyDescent="0.3">
      <c r="A321">
        <v>37821</v>
      </c>
      <c r="B321" s="1">
        <v>45485</v>
      </c>
      <c r="C321">
        <v>855</v>
      </c>
      <c r="D321">
        <v>50</v>
      </c>
      <c r="E321" t="s">
        <v>18</v>
      </c>
      <c r="F321" t="s">
        <v>34</v>
      </c>
      <c r="G321">
        <v>2</v>
      </c>
      <c r="H321" s="12">
        <v>341.18</v>
      </c>
      <c r="I321" t="s">
        <v>35</v>
      </c>
      <c r="J321" t="s">
        <v>379</v>
      </c>
      <c r="K321">
        <v>5</v>
      </c>
      <c r="L321" t="s">
        <v>17</v>
      </c>
      <c r="M321">
        <v>37</v>
      </c>
      <c r="N321" s="21">
        <f t="shared" si="8"/>
        <v>682.36</v>
      </c>
      <c r="O321" s="21">
        <f t="shared" si="9"/>
        <v>204.708</v>
      </c>
    </row>
    <row r="322" spans="1:15" x14ac:dyDescent="0.3">
      <c r="A322">
        <v>83914</v>
      </c>
      <c r="B322" s="1">
        <v>45485</v>
      </c>
      <c r="C322">
        <v>738</v>
      </c>
      <c r="D322">
        <v>40</v>
      </c>
      <c r="E322" t="s">
        <v>24</v>
      </c>
      <c r="F322" t="s">
        <v>65</v>
      </c>
      <c r="G322">
        <v>2</v>
      </c>
      <c r="H322" s="12">
        <v>59.51</v>
      </c>
      <c r="I322" t="s">
        <v>26</v>
      </c>
      <c r="J322" t="s">
        <v>596</v>
      </c>
      <c r="K322">
        <v>3</v>
      </c>
      <c r="M322">
        <v>25</v>
      </c>
      <c r="N322" s="21">
        <f t="shared" si="8"/>
        <v>119.02</v>
      </c>
      <c r="O322" s="21">
        <f t="shared" si="9"/>
        <v>35.705999999999996</v>
      </c>
    </row>
    <row r="323" spans="1:15" x14ac:dyDescent="0.3">
      <c r="A323">
        <v>51714</v>
      </c>
      <c r="B323" s="1">
        <v>45485</v>
      </c>
      <c r="C323">
        <v>479</v>
      </c>
      <c r="D323">
        <v>40</v>
      </c>
      <c r="E323" t="s">
        <v>24</v>
      </c>
      <c r="F323" t="s">
        <v>25</v>
      </c>
      <c r="G323">
        <v>3</v>
      </c>
      <c r="H323" s="12">
        <v>453.2</v>
      </c>
      <c r="I323" t="s">
        <v>35</v>
      </c>
      <c r="J323" t="s">
        <v>732</v>
      </c>
      <c r="K323">
        <v>5</v>
      </c>
      <c r="L323" t="s">
        <v>21</v>
      </c>
      <c r="M323">
        <v>27</v>
      </c>
      <c r="N323" s="21">
        <f t="shared" ref="N323:N386" si="10">H323*G323</f>
        <v>1359.6</v>
      </c>
      <c r="O323" s="21">
        <f t="shared" ref="O323:O386" si="11">N323*0.3</f>
        <v>407.87999999999994</v>
      </c>
    </row>
    <row r="324" spans="1:15" x14ac:dyDescent="0.3">
      <c r="A324">
        <v>44902</v>
      </c>
      <c r="B324" s="1">
        <v>45485</v>
      </c>
      <c r="C324">
        <v>801</v>
      </c>
      <c r="D324">
        <v>40</v>
      </c>
      <c r="E324" t="s">
        <v>24</v>
      </c>
      <c r="F324" t="s">
        <v>25</v>
      </c>
      <c r="G324">
        <v>4</v>
      </c>
      <c r="H324" s="12">
        <v>474.25</v>
      </c>
      <c r="I324" t="s">
        <v>15</v>
      </c>
      <c r="J324" t="s">
        <v>992</v>
      </c>
      <c r="K324">
        <v>5</v>
      </c>
      <c r="L324" t="s">
        <v>17</v>
      </c>
      <c r="M324">
        <v>34</v>
      </c>
      <c r="N324" s="21">
        <f t="shared" si="10"/>
        <v>1897</v>
      </c>
      <c r="O324" s="21">
        <f t="shared" si="11"/>
        <v>569.1</v>
      </c>
    </row>
    <row r="325" spans="1:15" x14ac:dyDescent="0.3">
      <c r="A325">
        <v>95354</v>
      </c>
      <c r="B325" s="1">
        <v>45486</v>
      </c>
      <c r="C325">
        <v>394</v>
      </c>
      <c r="D325">
        <v>50</v>
      </c>
      <c r="E325" t="s">
        <v>18</v>
      </c>
      <c r="F325" t="s">
        <v>84</v>
      </c>
      <c r="G325">
        <v>2</v>
      </c>
      <c r="H325" s="12">
        <v>343.76</v>
      </c>
      <c r="I325" t="s">
        <v>35</v>
      </c>
      <c r="J325" t="s">
        <v>279</v>
      </c>
      <c r="K325">
        <v>5</v>
      </c>
      <c r="M325">
        <v>30</v>
      </c>
      <c r="N325" s="21">
        <f t="shared" si="10"/>
        <v>687.52</v>
      </c>
      <c r="O325" s="21">
        <f t="shared" si="11"/>
        <v>206.256</v>
      </c>
    </row>
    <row r="326" spans="1:15" x14ac:dyDescent="0.3">
      <c r="A326">
        <v>56955</v>
      </c>
      <c r="B326" s="1">
        <v>45487</v>
      </c>
      <c r="C326">
        <v>922</v>
      </c>
      <c r="D326">
        <v>20</v>
      </c>
      <c r="E326" t="s">
        <v>28</v>
      </c>
      <c r="F326" t="s">
        <v>79</v>
      </c>
      <c r="G326">
        <v>1</v>
      </c>
      <c r="H326" s="12">
        <v>183.3</v>
      </c>
      <c r="I326" t="s">
        <v>35</v>
      </c>
      <c r="J326" t="s">
        <v>105</v>
      </c>
      <c r="K326">
        <v>5</v>
      </c>
      <c r="L326" t="s">
        <v>21</v>
      </c>
      <c r="M326">
        <v>24</v>
      </c>
      <c r="N326" s="21">
        <f t="shared" si="10"/>
        <v>183.3</v>
      </c>
      <c r="O326" s="21">
        <f t="shared" si="11"/>
        <v>54.99</v>
      </c>
    </row>
    <row r="327" spans="1:15" x14ac:dyDescent="0.3">
      <c r="A327">
        <v>38806</v>
      </c>
      <c r="B327" s="1">
        <v>45487</v>
      </c>
      <c r="C327">
        <v>665</v>
      </c>
      <c r="D327">
        <v>30</v>
      </c>
      <c r="E327" t="s">
        <v>37</v>
      </c>
      <c r="F327" t="s">
        <v>95</v>
      </c>
      <c r="G327">
        <v>3</v>
      </c>
      <c r="H327" s="12">
        <v>149.85</v>
      </c>
      <c r="I327" t="s">
        <v>15</v>
      </c>
      <c r="J327" t="s">
        <v>390</v>
      </c>
      <c r="K327">
        <v>5</v>
      </c>
      <c r="L327" t="s">
        <v>21</v>
      </c>
      <c r="M327">
        <v>62</v>
      </c>
      <c r="N327" s="21">
        <f t="shared" si="10"/>
        <v>449.54999999999995</v>
      </c>
      <c r="O327" s="21">
        <f t="shared" si="11"/>
        <v>134.86499999999998</v>
      </c>
    </row>
    <row r="328" spans="1:15" x14ac:dyDescent="0.3">
      <c r="A328">
        <v>89114</v>
      </c>
      <c r="B328" s="1">
        <v>45487</v>
      </c>
      <c r="C328">
        <v>397</v>
      </c>
      <c r="D328">
        <v>30</v>
      </c>
      <c r="E328" t="s">
        <v>37</v>
      </c>
      <c r="F328" t="s">
        <v>95</v>
      </c>
      <c r="G328">
        <v>3</v>
      </c>
      <c r="H328" s="12">
        <v>251.63</v>
      </c>
      <c r="I328" t="s">
        <v>15</v>
      </c>
      <c r="J328" t="s">
        <v>470</v>
      </c>
      <c r="L328" t="s">
        <v>21</v>
      </c>
      <c r="M328">
        <v>40</v>
      </c>
      <c r="N328" s="21">
        <f t="shared" si="10"/>
        <v>754.89</v>
      </c>
      <c r="O328" s="21">
        <f t="shared" si="11"/>
        <v>226.46699999999998</v>
      </c>
    </row>
    <row r="329" spans="1:15" x14ac:dyDescent="0.3">
      <c r="A329">
        <v>77848</v>
      </c>
      <c r="B329" s="1">
        <v>45487</v>
      </c>
      <c r="C329">
        <v>713</v>
      </c>
      <c r="D329">
        <v>20</v>
      </c>
      <c r="E329" t="s">
        <v>28</v>
      </c>
      <c r="F329" t="s">
        <v>29</v>
      </c>
      <c r="G329">
        <v>4</v>
      </c>
      <c r="H329" s="12">
        <v>88.02</v>
      </c>
      <c r="I329" t="s">
        <v>35</v>
      </c>
      <c r="J329" t="s">
        <v>759</v>
      </c>
      <c r="K329">
        <v>5</v>
      </c>
      <c r="L329" t="s">
        <v>17</v>
      </c>
      <c r="M329">
        <v>39</v>
      </c>
      <c r="N329" s="21">
        <f t="shared" si="10"/>
        <v>352.08</v>
      </c>
      <c r="O329" s="21">
        <f t="shared" si="11"/>
        <v>105.624</v>
      </c>
    </row>
    <row r="330" spans="1:15" x14ac:dyDescent="0.3">
      <c r="A330">
        <v>49262</v>
      </c>
      <c r="B330" s="1">
        <v>45487</v>
      </c>
      <c r="C330">
        <v>910</v>
      </c>
      <c r="D330">
        <v>20</v>
      </c>
      <c r="E330" t="s">
        <v>28</v>
      </c>
      <c r="F330" t="s">
        <v>77</v>
      </c>
      <c r="G330">
        <v>3</v>
      </c>
      <c r="H330" s="12">
        <v>25.79</v>
      </c>
      <c r="I330" t="s">
        <v>15</v>
      </c>
      <c r="J330" t="s">
        <v>932</v>
      </c>
      <c r="K330">
        <v>5</v>
      </c>
      <c r="M330">
        <v>22</v>
      </c>
      <c r="N330" s="21">
        <f t="shared" si="10"/>
        <v>77.37</v>
      </c>
      <c r="O330" s="21">
        <f t="shared" si="11"/>
        <v>23.211000000000002</v>
      </c>
    </row>
    <row r="331" spans="1:15" x14ac:dyDescent="0.3">
      <c r="A331">
        <v>27282</v>
      </c>
      <c r="B331" s="1">
        <v>45488</v>
      </c>
      <c r="C331">
        <v>405</v>
      </c>
      <c r="D331">
        <v>50</v>
      </c>
      <c r="E331" t="s">
        <v>18</v>
      </c>
      <c r="F331" t="s">
        <v>34</v>
      </c>
      <c r="G331">
        <v>2</v>
      </c>
      <c r="H331" s="12">
        <v>292.89999999999998</v>
      </c>
      <c r="I331" t="s">
        <v>35</v>
      </c>
      <c r="J331" t="s">
        <v>36</v>
      </c>
      <c r="L331" t="s">
        <v>17</v>
      </c>
      <c r="M331">
        <v>60</v>
      </c>
      <c r="N331" s="21">
        <f t="shared" si="10"/>
        <v>585.79999999999995</v>
      </c>
      <c r="O331" s="21">
        <f t="shared" si="11"/>
        <v>175.73999999999998</v>
      </c>
    </row>
    <row r="332" spans="1:15" x14ac:dyDescent="0.3">
      <c r="A332">
        <v>85940</v>
      </c>
      <c r="B332" s="1">
        <v>45488</v>
      </c>
      <c r="C332">
        <v>722</v>
      </c>
      <c r="D332">
        <v>40</v>
      </c>
      <c r="E332" t="s">
        <v>24</v>
      </c>
      <c r="F332" t="s">
        <v>49</v>
      </c>
      <c r="G332">
        <v>1</v>
      </c>
      <c r="H332" s="12">
        <v>247.97</v>
      </c>
      <c r="I332" t="s">
        <v>26</v>
      </c>
      <c r="J332" t="s">
        <v>264</v>
      </c>
      <c r="K332">
        <v>4</v>
      </c>
      <c r="L332" t="s">
        <v>21</v>
      </c>
      <c r="M332">
        <v>37</v>
      </c>
      <c r="N332" s="21">
        <f t="shared" si="10"/>
        <v>247.97</v>
      </c>
      <c r="O332" s="21">
        <f t="shared" si="11"/>
        <v>74.390999999999991</v>
      </c>
    </row>
    <row r="333" spans="1:15" x14ac:dyDescent="0.3">
      <c r="A333">
        <v>22739</v>
      </c>
      <c r="B333" s="1">
        <v>45488</v>
      </c>
      <c r="C333">
        <v>196</v>
      </c>
      <c r="D333">
        <v>30</v>
      </c>
      <c r="E333" t="s">
        <v>37</v>
      </c>
      <c r="F333" t="s">
        <v>58</v>
      </c>
      <c r="G333">
        <v>5</v>
      </c>
      <c r="H333" s="12">
        <v>217.55</v>
      </c>
      <c r="I333" t="s">
        <v>26</v>
      </c>
      <c r="J333" t="s">
        <v>787</v>
      </c>
      <c r="K333">
        <v>5</v>
      </c>
      <c r="M333">
        <v>24</v>
      </c>
      <c r="N333" s="21">
        <f t="shared" si="10"/>
        <v>1087.75</v>
      </c>
      <c r="O333" s="21">
        <f t="shared" si="11"/>
        <v>326.32499999999999</v>
      </c>
    </row>
    <row r="334" spans="1:15" x14ac:dyDescent="0.3">
      <c r="A334">
        <v>32637</v>
      </c>
      <c r="B334" s="1">
        <v>45488</v>
      </c>
      <c r="C334">
        <v>175</v>
      </c>
      <c r="D334">
        <v>20</v>
      </c>
      <c r="E334" t="s">
        <v>28</v>
      </c>
      <c r="F334" t="s">
        <v>51</v>
      </c>
      <c r="G334">
        <v>3</v>
      </c>
      <c r="H334" s="12">
        <v>101.45</v>
      </c>
      <c r="I334" t="s">
        <v>26</v>
      </c>
      <c r="J334" t="s">
        <v>869</v>
      </c>
      <c r="K334">
        <v>3</v>
      </c>
      <c r="L334" t="s">
        <v>17</v>
      </c>
      <c r="M334">
        <v>33</v>
      </c>
      <c r="N334" s="21">
        <f t="shared" si="10"/>
        <v>304.35000000000002</v>
      </c>
      <c r="O334" s="21">
        <f t="shared" si="11"/>
        <v>91.305000000000007</v>
      </c>
    </row>
    <row r="335" spans="1:15" x14ac:dyDescent="0.3">
      <c r="A335">
        <v>90219</v>
      </c>
      <c r="B335" s="1">
        <v>45488</v>
      </c>
      <c r="C335">
        <v>430</v>
      </c>
      <c r="D335">
        <v>40</v>
      </c>
      <c r="E335" t="s">
        <v>24</v>
      </c>
      <c r="F335" t="s">
        <v>65</v>
      </c>
      <c r="G335">
        <v>1</v>
      </c>
      <c r="H335" s="12">
        <v>405.65</v>
      </c>
      <c r="I335" t="s">
        <v>35</v>
      </c>
      <c r="J335" t="s">
        <v>949</v>
      </c>
      <c r="K335">
        <v>5</v>
      </c>
      <c r="L335" t="s">
        <v>21</v>
      </c>
      <c r="M335">
        <v>58</v>
      </c>
      <c r="N335" s="21">
        <f t="shared" si="10"/>
        <v>405.65</v>
      </c>
      <c r="O335" s="21">
        <f t="shared" si="11"/>
        <v>121.69499999999999</v>
      </c>
    </row>
    <row r="336" spans="1:15" x14ac:dyDescent="0.3">
      <c r="A336">
        <v>79723</v>
      </c>
      <c r="B336" s="1">
        <v>45489</v>
      </c>
      <c r="C336">
        <v>568</v>
      </c>
      <c r="D336">
        <v>10</v>
      </c>
      <c r="E336" t="s">
        <v>13</v>
      </c>
      <c r="F336" t="s">
        <v>42</v>
      </c>
      <c r="G336">
        <v>1</v>
      </c>
      <c r="H336" s="12">
        <v>393.9</v>
      </c>
      <c r="I336" t="s">
        <v>26</v>
      </c>
      <c r="J336" t="s">
        <v>863</v>
      </c>
      <c r="K336">
        <v>5</v>
      </c>
      <c r="L336" t="s">
        <v>21</v>
      </c>
      <c r="M336">
        <v>44</v>
      </c>
      <c r="N336" s="21">
        <f t="shared" si="10"/>
        <v>393.9</v>
      </c>
      <c r="O336" s="21">
        <f t="shared" si="11"/>
        <v>118.16999999999999</v>
      </c>
    </row>
    <row r="337" spans="1:15" x14ac:dyDescent="0.3">
      <c r="A337">
        <v>21109</v>
      </c>
      <c r="B337" s="1">
        <v>45490</v>
      </c>
      <c r="C337">
        <v>719</v>
      </c>
      <c r="D337">
        <v>50</v>
      </c>
      <c r="E337" t="s">
        <v>18</v>
      </c>
      <c r="F337" t="s">
        <v>34</v>
      </c>
      <c r="G337">
        <v>3</v>
      </c>
      <c r="H337" s="12">
        <v>39.67</v>
      </c>
      <c r="I337" t="s">
        <v>26</v>
      </c>
      <c r="J337" t="s">
        <v>235</v>
      </c>
      <c r="L337" t="s">
        <v>21</v>
      </c>
      <c r="M337">
        <v>37</v>
      </c>
      <c r="N337" s="21">
        <f t="shared" si="10"/>
        <v>119.01</v>
      </c>
      <c r="O337" s="21">
        <f t="shared" si="11"/>
        <v>35.703000000000003</v>
      </c>
    </row>
    <row r="338" spans="1:15" x14ac:dyDescent="0.3">
      <c r="A338">
        <v>89639</v>
      </c>
      <c r="B338" s="1">
        <v>45490</v>
      </c>
      <c r="C338">
        <v>124</v>
      </c>
      <c r="D338">
        <v>10</v>
      </c>
      <c r="E338" t="s">
        <v>13</v>
      </c>
      <c r="F338" t="s">
        <v>32</v>
      </c>
      <c r="G338">
        <v>4</v>
      </c>
      <c r="H338" s="12">
        <v>36.1</v>
      </c>
      <c r="I338" t="s">
        <v>35</v>
      </c>
      <c r="J338" t="s">
        <v>306</v>
      </c>
      <c r="K338">
        <v>3</v>
      </c>
      <c r="L338" t="s">
        <v>21</v>
      </c>
      <c r="M338">
        <v>25</v>
      </c>
      <c r="N338" s="21">
        <f t="shared" si="10"/>
        <v>144.4</v>
      </c>
      <c r="O338" s="21">
        <f t="shared" si="11"/>
        <v>43.32</v>
      </c>
    </row>
    <row r="339" spans="1:15" x14ac:dyDescent="0.3">
      <c r="A339">
        <v>58295</v>
      </c>
      <c r="B339" s="1">
        <v>45490</v>
      </c>
      <c r="C339">
        <v>187</v>
      </c>
      <c r="D339">
        <v>20</v>
      </c>
      <c r="E339" t="s">
        <v>28</v>
      </c>
      <c r="F339" t="s">
        <v>79</v>
      </c>
      <c r="G339">
        <v>3</v>
      </c>
      <c r="H339" s="12">
        <v>248.91</v>
      </c>
      <c r="I339" t="s">
        <v>35</v>
      </c>
      <c r="J339" t="s">
        <v>662</v>
      </c>
      <c r="K339">
        <v>5</v>
      </c>
      <c r="L339" t="s">
        <v>21</v>
      </c>
      <c r="M339">
        <v>39</v>
      </c>
      <c r="N339" s="21">
        <f t="shared" si="10"/>
        <v>746.73</v>
      </c>
      <c r="O339" s="21">
        <f t="shared" si="11"/>
        <v>224.01900000000001</v>
      </c>
    </row>
    <row r="340" spans="1:15" x14ac:dyDescent="0.3">
      <c r="A340">
        <v>14109</v>
      </c>
      <c r="B340" s="1">
        <v>45490</v>
      </c>
      <c r="C340">
        <v>149</v>
      </c>
      <c r="D340">
        <v>20</v>
      </c>
      <c r="E340" t="s">
        <v>28</v>
      </c>
      <c r="F340" t="s">
        <v>79</v>
      </c>
      <c r="G340">
        <v>5</v>
      </c>
      <c r="H340" s="12">
        <v>179.92</v>
      </c>
      <c r="I340" t="s">
        <v>26</v>
      </c>
      <c r="J340" t="s">
        <v>918</v>
      </c>
      <c r="K340">
        <v>3</v>
      </c>
      <c r="L340" t="s">
        <v>21</v>
      </c>
      <c r="M340">
        <v>48</v>
      </c>
      <c r="N340" s="21">
        <f t="shared" si="10"/>
        <v>899.59999999999991</v>
      </c>
      <c r="O340" s="21">
        <f t="shared" si="11"/>
        <v>269.87999999999994</v>
      </c>
    </row>
    <row r="341" spans="1:15" x14ac:dyDescent="0.3">
      <c r="A341">
        <v>47814</v>
      </c>
      <c r="B341" s="1">
        <v>45490</v>
      </c>
      <c r="C341">
        <v>557</v>
      </c>
      <c r="D341">
        <v>20</v>
      </c>
      <c r="E341" t="s">
        <v>28</v>
      </c>
      <c r="F341" t="s">
        <v>51</v>
      </c>
      <c r="G341">
        <v>1</v>
      </c>
      <c r="H341" s="12">
        <v>146.28</v>
      </c>
      <c r="I341" t="s">
        <v>35</v>
      </c>
      <c r="J341" t="s">
        <v>951</v>
      </c>
      <c r="K341">
        <v>4</v>
      </c>
      <c r="L341" t="s">
        <v>17</v>
      </c>
      <c r="M341">
        <v>39</v>
      </c>
      <c r="N341" s="21">
        <f t="shared" si="10"/>
        <v>146.28</v>
      </c>
      <c r="O341" s="21">
        <f t="shared" si="11"/>
        <v>43.884</v>
      </c>
    </row>
    <row r="342" spans="1:15" x14ac:dyDescent="0.3">
      <c r="A342">
        <v>81289</v>
      </c>
      <c r="B342" s="1">
        <v>45491</v>
      </c>
      <c r="C342">
        <v>485</v>
      </c>
      <c r="D342">
        <v>40</v>
      </c>
      <c r="E342" t="s">
        <v>24</v>
      </c>
      <c r="F342" t="s">
        <v>63</v>
      </c>
      <c r="G342">
        <v>1</v>
      </c>
      <c r="H342" s="12">
        <v>489.21</v>
      </c>
      <c r="I342" t="s">
        <v>35</v>
      </c>
      <c r="J342" t="s">
        <v>64</v>
      </c>
      <c r="K342">
        <v>5</v>
      </c>
      <c r="L342" t="s">
        <v>21</v>
      </c>
      <c r="M342">
        <v>60</v>
      </c>
      <c r="N342" s="21">
        <f t="shared" si="10"/>
        <v>489.21</v>
      </c>
      <c r="O342" s="21">
        <f t="shared" si="11"/>
        <v>146.76299999999998</v>
      </c>
    </row>
    <row r="343" spans="1:15" x14ac:dyDescent="0.3">
      <c r="A343">
        <v>53928</v>
      </c>
      <c r="B343" s="1">
        <v>45491</v>
      </c>
      <c r="C343">
        <v>624</v>
      </c>
      <c r="D343">
        <v>10</v>
      </c>
      <c r="E343" t="s">
        <v>13</v>
      </c>
      <c r="F343" t="s">
        <v>47</v>
      </c>
      <c r="G343">
        <v>5</v>
      </c>
      <c r="H343" s="12">
        <v>257.73</v>
      </c>
      <c r="I343" t="s">
        <v>26</v>
      </c>
      <c r="J343" t="s">
        <v>697</v>
      </c>
      <c r="K343">
        <v>5</v>
      </c>
      <c r="L343" t="s">
        <v>17</v>
      </c>
      <c r="M343">
        <v>35</v>
      </c>
      <c r="N343" s="21">
        <f t="shared" si="10"/>
        <v>1288.6500000000001</v>
      </c>
      <c r="O343" s="21">
        <f t="shared" si="11"/>
        <v>386.59500000000003</v>
      </c>
    </row>
    <row r="344" spans="1:15" x14ac:dyDescent="0.3">
      <c r="A344">
        <v>92507</v>
      </c>
      <c r="B344" s="1">
        <v>45492</v>
      </c>
      <c r="C344">
        <v>170</v>
      </c>
      <c r="D344">
        <v>20</v>
      </c>
      <c r="E344" t="s">
        <v>28</v>
      </c>
      <c r="F344" t="s">
        <v>29</v>
      </c>
      <c r="G344">
        <v>1</v>
      </c>
      <c r="H344" s="12">
        <v>394.75</v>
      </c>
      <c r="I344" t="s">
        <v>15</v>
      </c>
      <c r="J344" t="s">
        <v>664</v>
      </c>
      <c r="L344" t="s">
        <v>21</v>
      </c>
      <c r="M344">
        <v>48</v>
      </c>
      <c r="N344" s="21">
        <f t="shared" si="10"/>
        <v>394.75</v>
      </c>
      <c r="O344" s="21">
        <f t="shared" si="11"/>
        <v>118.425</v>
      </c>
    </row>
    <row r="345" spans="1:15" x14ac:dyDescent="0.3">
      <c r="A345">
        <v>77451</v>
      </c>
      <c r="B345" s="1">
        <v>45493</v>
      </c>
      <c r="C345">
        <v>509</v>
      </c>
      <c r="D345">
        <v>20</v>
      </c>
      <c r="E345" t="s">
        <v>28</v>
      </c>
      <c r="F345" t="s">
        <v>72</v>
      </c>
      <c r="G345">
        <v>3</v>
      </c>
      <c r="H345" s="12">
        <v>55.58</v>
      </c>
      <c r="I345" t="s">
        <v>15</v>
      </c>
      <c r="J345" t="s">
        <v>563</v>
      </c>
      <c r="K345">
        <v>5</v>
      </c>
      <c r="L345" t="s">
        <v>17</v>
      </c>
      <c r="M345">
        <v>71</v>
      </c>
      <c r="N345" s="21">
        <f t="shared" si="10"/>
        <v>166.74</v>
      </c>
      <c r="O345" s="21">
        <f t="shared" si="11"/>
        <v>50.021999999999998</v>
      </c>
    </row>
    <row r="346" spans="1:15" x14ac:dyDescent="0.3">
      <c r="A346">
        <v>62981</v>
      </c>
      <c r="B346" s="1">
        <v>45493</v>
      </c>
      <c r="C346">
        <v>200</v>
      </c>
      <c r="D346">
        <v>30</v>
      </c>
      <c r="E346" t="s">
        <v>37</v>
      </c>
      <c r="F346" t="s">
        <v>95</v>
      </c>
      <c r="G346">
        <v>2</v>
      </c>
      <c r="H346" s="12">
        <v>422.99</v>
      </c>
      <c r="I346" t="s">
        <v>35</v>
      </c>
      <c r="J346" t="s">
        <v>633</v>
      </c>
      <c r="K346">
        <v>5</v>
      </c>
      <c r="M346">
        <v>67</v>
      </c>
      <c r="N346" s="21">
        <f t="shared" si="10"/>
        <v>845.98</v>
      </c>
      <c r="O346" s="21">
        <f t="shared" si="11"/>
        <v>253.79399999999998</v>
      </c>
    </row>
    <row r="347" spans="1:15" x14ac:dyDescent="0.3">
      <c r="A347">
        <v>41063</v>
      </c>
      <c r="B347" s="1">
        <v>45494</v>
      </c>
      <c r="C347">
        <v>890</v>
      </c>
      <c r="D347">
        <v>50</v>
      </c>
      <c r="E347" t="s">
        <v>18</v>
      </c>
      <c r="F347" t="s">
        <v>84</v>
      </c>
      <c r="G347">
        <v>5</v>
      </c>
      <c r="H347" s="12">
        <v>82.41</v>
      </c>
      <c r="I347" t="s">
        <v>35</v>
      </c>
      <c r="J347" t="s">
        <v>374</v>
      </c>
      <c r="K347">
        <v>1</v>
      </c>
      <c r="L347" t="s">
        <v>17</v>
      </c>
      <c r="M347">
        <v>27</v>
      </c>
      <c r="N347" s="21">
        <f t="shared" si="10"/>
        <v>412.04999999999995</v>
      </c>
      <c r="O347" s="21">
        <f t="shared" si="11"/>
        <v>123.61499999999998</v>
      </c>
    </row>
    <row r="348" spans="1:15" x14ac:dyDescent="0.3">
      <c r="A348">
        <v>37275</v>
      </c>
      <c r="B348" s="1">
        <v>45495</v>
      </c>
      <c r="C348">
        <v>765</v>
      </c>
      <c r="D348">
        <v>10</v>
      </c>
      <c r="E348" t="s">
        <v>13</v>
      </c>
      <c r="F348" t="s">
        <v>14</v>
      </c>
      <c r="G348">
        <v>1</v>
      </c>
      <c r="H348" s="12">
        <v>447.13</v>
      </c>
      <c r="I348" t="s">
        <v>35</v>
      </c>
      <c r="J348" t="s">
        <v>545</v>
      </c>
      <c r="K348">
        <v>5</v>
      </c>
      <c r="L348" t="s">
        <v>17</v>
      </c>
      <c r="M348">
        <v>57</v>
      </c>
      <c r="N348" s="21">
        <f t="shared" si="10"/>
        <v>447.13</v>
      </c>
      <c r="O348" s="21">
        <f t="shared" si="11"/>
        <v>134.13899999999998</v>
      </c>
    </row>
    <row r="349" spans="1:15" x14ac:dyDescent="0.3">
      <c r="A349">
        <v>11008</v>
      </c>
      <c r="B349" s="1">
        <v>45496</v>
      </c>
      <c r="C349">
        <v>981</v>
      </c>
      <c r="D349">
        <v>30</v>
      </c>
      <c r="E349" t="s">
        <v>37</v>
      </c>
      <c r="F349" t="s">
        <v>95</v>
      </c>
      <c r="G349">
        <v>2</v>
      </c>
      <c r="H349" s="12">
        <v>366.42</v>
      </c>
      <c r="I349" t="s">
        <v>35</v>
      </c>
      <c r="J349" t="s">
        <v>276</v>
      </c>
      <c r="K349">
        <v>5</v>
      </c>
      <c r="L349" t="s">
        <v>21</v>
      </c>
      <c r="M349">
        <v>58</v>
      </c>
      <c r="N349" s="21">
        <f t="shared" si="10"/>
        <v>732.84</v>
      </c>
      <c r="O349" s="21">
        <f t="shared" si="11"/>
        <v>219.852</v>
      </c>
    </row>
    <row r="350" spans="1:15" x14ac:dyDescent="0.3">
      <c r="A350">
        <v>46244</v>
      </c>
      <c r="B350" s="1">
        <v>45496</v>
      </c>
      <c r="C350">
        <v>263</v>
      </c>
      <c r="D350">
        <v>50</v>
      </c>
      <c r="E350" t="s">
        <v>18</v>
      </c>
      <c r="F350" t="s">
        <v>87</v>
      </c>
      <c r="G350">
        <v>5</v>
      </c>
      <c r="H350" s="12">
        <v>272.22000000000003</v>
      </c>
      <c r="I350" t="s">
        <v>35</v>
      </c>
      <c r="J350" t="s">
        <v>391</v>
      </c>
      <c r="K350">
        <v>5</v>
      </c>
      <c r="L350" t="s">
        <v>21</v>
      </c>
      <c r="M350">
        <v>62</v>
      </c>
      <c r="N350" s="21">
        <f t="shared" si="10"/>
        <v>1361.1000000000001</v>
      </c>
      <c r="O350" s="21">
        <f t="shared" si="11"/>
        <v>408.33000000000004</v>
      </c>
    </row>
    <row r="351" spans="1:15" x14ac:dyDescent="0.3">
      <c r="A351">
        <v>10211</v>
      </c>
      <c r="B351" s="1">
        <v>45496</v>
      </c>
      <c r="C351">
        <v>964</v>
      </c>
      <c r="D351">
        <v>30</v>
      </c>
      <c r="E351" t="s">
        <v>37</v>
      </c>
      <c r="F351" t="s">
        <v>38</v>
      </c>
      <c r="G351">
        <v>2</v>
      </c>
      <c r="H351" s="12">
        <v>32.51</v>
      </c>
      <c r="I351" t="s">
        <v>35</v>
      </c>
      <c r="J351" t="s">
        <v>75</v>
      </c>
      <c r="K351">
        <v>5</v>
      </c>
      <c r="L351" t="s">
        <v>17</v>
      </c>
      <c r="M351">
        <v>25</v>
      </c>
      <c r="N351" s="21">
        <f t="shared" si="10"/>
        <v>65.02</v>
      </c>
      <c r="O351" s="21">
        <f t="shared" si="11"/>
        <v>19.505999999999997</v>
      </c>
    </row>
    <row r="352" spans="1:15" x14ac:dyDescent="0.3">
      <c r="A352">
        <v>73282</v>
      </c>
      <c r="B352" s="1">
        <v>45496</v>
      </c>
      <c r="C352">
        <v>883</v>
      </c>
      <c r="D352">
        <v>50</v>
      </c>
      <c r="E352" t="s">
        <v>18</v>
      </c>
      <c r="F352" t="s">
        <v>34</v>
      </c>
      <c r="G352">
        <v>1</v>
      </c>
      <c r="H352" s="12">
        <v>423.98</v>
      </c>
      <c r="I352" t="s">
        <v>26</v>
      </c>
      <c r="J352" t="s">
        <v>886</v>
      </c>
      <c r="K352">
        <v>5</v>
      </c>
      <c r="L352" t="s">
        <v>21</v>
      </c>
      <c r="M352">
        <v>24</v>
      </c>
      <c r="N352" s="21">
        <f t="shared" si="10"/>
        <v>423.98</v>
      </c>
      <c r="O352" s="21">
        <f t="shared" si="11"/>
        <v>127.194</v>
      </c>
    </row>
    <row r="353" spans="1:15" x14ac:dyDescent="0.3">
      <c r="A353">
        <v>42238</v>
      </c>
      <c r="B353" s="1">
        <v>45497</v>
      </c>
      <c r="C353">
        <v>756</v>
      </c>
      <c r="D353">
        <v>10</v>
      </c>
      <c r="E353" t="s">
        <v>13</v>
      </c>
      <c r="F353" t="s">
        <v>14</v>
      </c>
      <c r="G353">
        <v>4</v>
      </c>
      <c r="H353" s="12">
        <v>338.88</v>
      </c>
      <c r="I353" t="s">
        <v>26</v>
      </c>
      <c r="J353" t="s">
        <v>329</v>
      </c>
      <c r="K353">
        <v>3</v>
      </c>
      <c r="L353" t="s">
        <v>17</v>
      </c>
      <c r="M353">
        <v>55</v>
      </c>
      <c r="N353" s="21">
        <f t="shared" si="10"/>
        <v>1355.52</v>
      </c>
      <c r="O353" s="21">
        <f t="shared" si="11"/>
        <v>406.65600000000001</v>
      </c>
    </row>
    <row r="354" spans="1:15" x14ac:dyDescent="0.3">
      <c r="A354">
        <v>29305</v>
      </c>
      <c r="B354" s="1">
        <v>45497</v>
      </c>
      <c r="C354">
        <v>596</v>
      </c>
      <c r="D354">
        <v>30</v>
      </c>
      <c r="E354" t="s">
        <v>37</v>
      </c>
      <c r="F354" t="s">
        <v>38</v>
      </c>
      <c r="G354">
        <v>3</v>
      </c>
      <c r="H354" s="12">
        <v>199.31</v>
      </c>
      <c r="I354" t="s">
        <v>26</v>
      </c>
      <c r="J354" t="s">
        <v>364</v>
      </c>
      <c r="K354">
        <v>5</v>
      </c>
      <c r="L354" t="s">
        <v>21</v>
      </c>
      <c r="M354">
        <v>23</v>
      </c>
      <c r="N354" s="21">
        <f t="shared" si="10"/>
        <v>597.93000000000006</v>
      </c>
      <c r="O354" s="21">
        <f t="shared" si="11"/>
        <v>179.37900000000002</v>
      </c>
    </row>
    <row r="355" spans="1:15" x14ac:dyDescent="0.3">
      <c r="A355">
        <v>97390</v>
      </c>
      <c r="B355" s="1">
        <v>45497</v>
      </c>
      <c r="C355">
        <v>512</v>
      </c>
      <c r="D355">
        <v>10</v>
      </c>
      <c r="E355" t="s">
        <v>13</v>
      </c>
      <c r="F355" t="s">
        <v>111</v>
      </c>
      <c r="G355">
        <v>3</v>
      </c>
      <c r="H355" s="12">
        <v>312.87</v>
      </c>
      <c r="I355" t="s">
        <v>15</v>
      </c>
      <c r="J355" t="s">
        <v>835</v>
      </c>
      <c r="K355">
        <v>5</v>
      </c>
      <c r="L355" t="s">
        <v>17</v>
      </c>
      <c r="M355">
        <v>71</v>
      </c>
      <c r="N355" s="21">
        <f t="shared" si="10"/>
        <v>938.61</v>
      </c>
      <c r="O355" s="21">
        <f t="shared" si="11"/>
        <v>281.58299999999997</v>
      </c>
    </row>
    <row r="356" spans="1:15" x14ac:dyDescent="0.3">
      <c r="A356">
        <v>57158</v>
      </c>
      <c r="B356" s="1">
        <v>45498</v>
      </c>
      <c r="C356">
        <v>294</v>
      </c>
      <c r="D356">
        <v>30</v>
      </c>
      <c r="E356" t="s">
        <v>37</v>
      </c>
      <c r="F356" t="s">
        <v>38</v>
      </c>
      <c r="G356">
        <v>4</v>
      </c>
      <c r="H356" s="12">
        <v>11.74</v>
      </c>
      <c r="I356" t="s">
        <v>15</v>
      </c>
      <c r="J356" t="s">
        <v>101</v>
      </c>
      <c r="K356">
        <v>5</v>
      </c>
      <c r="L356" t="s">
        <v>21</v>
      </c>
      <c r="M356">
        <v>59</v>
      </c>
      <c r="N356" s="21">
        <f t="shared" si="10"/>
        <v>46.96</v>
      </c>
      <c r="O356" s="21">
        <f t="shared" si="11"/>
        <v>14.087999999999999</v>
      </c>
    </row>
    <row r="357" spans="1:15" x14ac:dyDescent="0.3">
      <c r="A357">
        <v>72081</v>
      </c>
      <c r="B357" s="1">
        <v>45498</v>
      </c>
      <c r="C357">
        <v>563</v>
      </c>
      <c r="D357">
        <v>40</v>
      </c>
      <c r="E357" t="s">
        <v>24</v>
      </c>
      <c r="F357" t="s">
        <v>49</v>
      </c>
      <c r="G357">
        <v>3</v>
      </c>
      <c r="H357" s="12">
        <v>471.32</v>
      </c>
      <c r="I357" t="s">
        <v>15</v>
      </c>
      <c r="J357" t="s">
        <v>149</v>
      </c>
      <c r="L357" t="s">
        <v>17</v>
      </c>
      <c r="M357">
        <v>63</v>
      </c>
      <c r="N357" s="21">
        <f t="shared" si="10"/>
        <v>1413.96</v>
      </c>
      <c r="O357" s="21">
        <f t="shared" si="11"/>
        <v>424.18799999999999</v>
      </c>
    </row>
    <row r="358" spans="1:15" x14ac:dyDescent="0.3">
      <c r="A358">
        <v>79954</v>
      </c>
      <c r="B358" s="1">
        <v>45498</v>
      </c>
      <c r="C358">
        <v>295</v>
      </c>
      <c r="D358">
        <v>20</v>
      </c>
      <c r="E358" t="s">
        <v>28</v>
      </c>
      <c r="F358" t="s">
        <v>79</v>
      </c>
      <c r="G358">
        <v>5</v>
      </c>
      <c r="H358" s="12">
        <v>115.58</v>
      </c>
      <c r="I358" t="s">
        <v>26</v>
      </c>
      <c r="J358" t="s">
        <v>823</v>
      </c>
      <c r="K358">
        <v>4</v>
      </c>
      <c r="L358" t="s">
        <v>17</v>
      </c>
      <c r="M358">
        <v>31</v>
      </c>
      <c r="N358" s="21">
        <f t="shared" si="10"/>
        <v>577.9</v>
      </c>
      <c r="O358" s="21">
        <f t="shared" si="11"/>
        <v>173.36999999999998</v>
      </c>
    </row>
    <row r="359" spans="1:15" x14ac:dyDescent="0.3">
      <c r="A359">
        <v>31245</v>
      </c>
      <c r="B359" s="1">
        <v>45498</v>
      </c>
      <c r="C359">
        <v>209</v>
      </c>
      <c r="D359">
        <v>20</v>
      </c>
      <c r="E359" t="s">
        <v>28</v>
      </c>
      <c r="F359" t="s">
        <v>51</v>
      </c>
      <c r="G359">
        <v>1</v>
      </c>
      <c r="H359" s="12">
        <v>96.75</v>
      </c>
      <c r="I359" t="s">
        <v>35</v>
      </c>
      <c r="J359" t="s">
        <v>839</v>
      </c>
      <c r="K359">
        <v>4</v>
      </c>
      <c r="L359" t="s">
        <v>17</v>
      </c>
      <c r="M359">
        <v>39</v>
      </c>
      <c r="N359" s="21">
        <f t="shared" si="10"/>
        <v>96.75</v>
      </c>
      <c r="O359" s="21">
        <f t="shared" si="11"/>
        <v>29.024999999999999</v>
      </c>
    </row>
    <row r="360" spans="1:15" x14ac:dyDescent="0.3">
      <c r="A360">
        <v>39305</v>
      </c>
      <c r="B360" s="1">
        <v>45498</v>
      </c>
      <c r="C360">
        <v>846</v>
      </c>
      <c r="D360">
        <v>50</v>
      </c>
      <c r="E360" t="s">
        <v>18</v>
      </c>
      <c r="F360" t="s">
        <v>19</v>
      </c>
      <c r="G360">
        <v>4</v>
      </c>
      <c r="H360" s="12">
        <v>134.12</v>
      </c>
      <c r="I360" t="s">
        <v>35</v>
      </c>
      <c r="J360" t="s">
        <v>860</v>
      </c>
      <c r="K360">
        <v>2</v>
      </c>
      <c r="L360" t="s">
        <v>21</v>
      </c>
      <c r="M360">
        <v>32</v>
      </c>
      <c r="N360" s="21">
        <f t="shared" si="10"/>
        <v>536.48</v>
      </c>
      <c r="O360" s="21">
        <f t="shared" si="11"/>
        <v>160.94399999999999</v>
      </c>
    </row>
    <row r="361" spans="1:15" x14ac:dyDescent="0.3">
      <c r="A361">
        <v>52278</v>
      </c>
      <c r="B361" s="1">
        <v>45498</v>
      </c>
      <c r="C361">
        <v>749</v>
      </c>
      <c r="D361">
        <v>10</v>
      </c>
      <c r="E361" t="s">
        <v>13</v>
      </c>
      <c r="F361" t="s">
        <v>47</v>
      </c>
      <c r="G361">
        <v>3</v>
      </c>
      <c r="H361" s="12">
        <v>461.91</v>
      </c>
      <c r="I361" t="s">
        <v>26</v>
      </c>
      <c r="J361" t="s">
        <v>917</v>
      </c>
      <c r="K361">
        <v>3</v>
      </c>
      <c r="L361" t="s">
        <v>21</v>
      </c>
      <c r="M361">
        <v>21</v>
      </c>
      <c r="N361" s="21">
        <f t="shared" si="10"/>
        <v>1385.73</v>
      </c>
      <c r="O361" s="21">
        <f t="shared" si="11"/>
        <v>415.71899999999999</v>
      </c>
    </row>
    <row r="362" spans="1:15" x14ac:dyDescent="0.3">
      <c r="A362">
        <v>80441</v>
      </c>
      <c r="B362" s="1">
        <v>45499</v>
      </c>
      <c r="C362">
        <v>867</v>
      </c>
      <c r="D362">
        <v>30</v>
      </c>
      <c r="E362" t="s">
        <v>37</v>
      </c>
      <c r="F362" t="s">
        <v>58</v>
      </c>
      <c r="G362">
        <v>2</v>
      </c>
      <c r="H362" s="12">
        <v>308.39999999999998</v>
      </c>
      <c r="I362" t="s">
        <v>15</v>
      </c>
      <c r="J362" t="s">
        <v>60</v>
      </c>
      <c r="K362">
        <v>3</v>
      </c>
      <c r="L362" t="s">
        <v>21</v>
      </c>
      <c r="M362">
        <v>52</v>
      </c>
      <c r="N362" s="21">
        <f t="shared" si="10"/>
        <v>616.79999999999995</v>
      </c>
      <c r="O362" s="21">
        <f t="shared" si="11"/>
        <v>185.04</v>
      </c>
    </row>
    <row r="363" spans="1:15" x14ac:dyDescent="0.3">
      <c r="A363">
        <v>97433</v>
      </c>
      <c r="B363" s="1">
        <v>45499</v>
      </c>
      <c r="C363">
        <v>677</v>
      </c>
      <c r="D363">
        <v>10</v>
      </c>
      <c r="E363" t="s">
        <v>13</v>
      </c>
      <c r="F363" t="s">
        <v>14</v>
      </c>
      <c r="G363">
        <v>4</v>
      </c>
      <c r="H363" s="12">
        <v>418.88</v>
      </c>
      <c r="I363" t="s">
        <v>15</v>
      </c>
      <c r="J363" t="s">
        <v>880</v>
      </c>
      <c r="K363">
        <v>5</v>
      </c>
      <c r="M363">
        <v>59</v>
      </c>
      <c r="N363" s="21">
        <f t="shared" si="10"/>
        <v>1675.52</v>
      </c>
      <c r="O363" s="21">
        <f t="shared" si="11"/>
        <v>502.65599999999995</v>
      </c>
    </row>
    <row r="364" spans="1:15" x14ac:dyDescent="0.3">
      <c r="A364">
        <v>90154</v>
      </c>
      <c r="B364" s="1">
        <v>45500</v>
      </c>
      <c r="C364">
        <v>762</v>
      </c>
      <c r="D364">
        <v>50</v>
      </c>
      <c r="E364" t="s">
        <v>18</v>
      </c>
      <c r="F364" t="s">
        <v>19</v>
      </c>
      <c r="G364">
        <v>1</v>
      </c>
      <c r="H364" s="12">
        <v>388.35</v>
      </c>
      <c r="I364" t="s">
        <v>26</v>
      </c>
      <c r="J364" t="s">
        <v>541</v>
      </c>
      <c r="K364">
        <v>4</v>
      </c>
      <c r="L364" t="s">
        <v>17</v>
      </c>
      <c r="M364">
        <v>19</v>
      </c>
      <c r="N364" s="21">
        <f t="shared" si="10"/>
        <v>388.35</v>
      </c>
      <c r="O364" s="21">
        <f t="shared" si="11"/>
        <v>116.505</v>
      </c>
    </row>
    <row r="365" spans="1:15" x14ac:dyDescent="0.3">
      <c r="A365">
        <v>16797</v>
      </c>
      <c r="B365" s="1">
        <v>45500</v>
      </c>
      <c r="C365">
        <v>333</v>
      </c>
      <c r="D365">
        <v>40</v>
      </c>
      <c r="E365" t="s">
        <v>24</v>
      </c>
      <c r="F365" t="s">
        <v>63</v>
      </c>
      <c r="G365">
        <v>1</v>
      </c>
      <c r="H365" s="12">
        <v>124.08</v>
      </c>
      <c r="I365" t="s">
        <v>15</v>
      </c>
      <c r="J365" t="s">
        <v>852</v>
      </c>
      <c r="L365" t="s">
        <v>21</v>
      </c>
      <c r="M365">
        <v>59</v>
      </c>
      <c r="N365" s="21">
        <f t="shared" si="10"/>
        <v>124.08</v>
      </c>
      <c r="O365" s="21">
        <f t="shared" si="11"/>
        <v>37.223999999999997</v>
      </c>
    </row>
    <row r="366" spans="1:15" x14ac:dyDescent="0.3">
      <c r="A366">
        <v>66566</v>
      </c>
      <c r="B366" s="1">
        <v>45501</v>
      </c>
      <c r="C366">
        <v>794</v>
      </c>
      <c r="D366">
        <v>30</v>
      </c>
      <c r="E366" t="s">
        <v>37</v>
      </c>
      <c r="F366" t="s">
        <v>68</v>
      </c>
      <c r="G366">
        <v>5</v>
      </c>
      <c r="H366" s="12">
        <v>100.1</v>
      </c>
      <c r="I366" t="s">
        <v>35</v>
      </c>
      <c r="J366" t="s">
        <v>428</v>
      </c>
      <c r="K366">
        <v>4</v>
      </c>
      <c r="L366" t="s">
        <v>17</v>
      </c>
      <c r="M366">
        <v>19</v>
      </c>
      <c r="N366" s="21">
        <f t="shared" si="10"/>
        <v>500.5</v>
      </c>
      <c r="O366" s="21">
        <f t="shared" si="11"/>
        <v>150.15</v>
      </c>
    </row>
    <row r="367" spans="1:15" x14ac:dyDescent="0.3">
      <c r="A367">
        <v>87653</v>
      </c>
      <c r="B367" s="1">
        <v>45501</v>
      </c>
      <c r="C367">
        <v>653</v>
      </c>
      <c r="D367">
        <v>10</v>
      </c>
      <c r="E367" t="s">
        <v>13</v>
      </c>
      <c r="F367" t="s">
        <v>111</v>
      </c>
      <c r="G367">
        <v>2</v>
      </c>
      <c r="H367" s="12">
        <v>459.77</v>
      </c>
      <c r="I367" t="s">
        <v>15</v>
      </c>
      <c r="J367" t="s">
        <v>593</v>
      </c>
      <c r="K367">
        <v>5</v>
      </c>
      <c r="L367" t="s">
        <v>21</v>
      </c>
      <c r="M367">
        <v>28</v>
      </c>
      <c r="N367" s="21">
        <f t="shared" si="10"/>
        <v>919.54</v>
      </c>
      <c r="O367" s="21">
        <f t="shared" si="11"/>
        <v>275.86199999999997</v>
      </c>
    </row>
    <row r="368" spans="1:15" x14ac:dyDescent="0.3">
      <c r="A368">
        <v>19284</v>
      </c>
      <c r="B368" s="1">
        <v>45501</v>
      </c>
      <c r="C368">
        <v>944</v>
      </c>
      <c r="D368">
        <v>20</v>
      </c>
      <c r="E368" t="s">
        <v>28</v>
      </c>
      <c r="F368" t="s">
        <v>79</v>
      </c>
      <c r="G368">
        <v>5</v>
      </c>
      <c r="H368" s="12">
        <v>162.44999999999999</v>
      </c>
      <c r="I368" t="s">
        <v>35</v>
      </c>
      <c r="J368" t="s">
        <v>637</v>
      </c>
      <c r="K368">
        <v>4</v>
      </c>
      <c r="L368" t="s">
        <v>17</v>
      </c>
      <c r="M368">
        <v>52</v>
      </c>
      <c r="N368" s="21">
        <f t="shared" si="10"/>
        <v>812.25</v>
      </c>
      <c r="O368" s="21">
        <f t="shared" si="11"/>
        <v>243.67499999999998</v>
      </c>
    </row>
    <row r="369" spans="1:15" x14ac:dyDescent="0.3">
      <c r="A369">
        <v>37040</v>
      </c>
      <c r="B369" s="1">
        <v>45501</v>
      </c>
      <c r="C369">
        <v>628</v>
      </c>
      <c r="D369">
        <v>40</v>
      </c>
      <c r="E369" t="s">
        <v>24</v>
      </c>
      <c r="F369" t="s">
        <v>25</v>
      </c>
      <c r="G369">
        <v>3</v>
      </c>
      <c r="H369" s="12">
        <v>421.13</v>
      </c>
      <c r="I369" t="s">
        <v>35</v>
      </c>
      <c r="J369" t="s">
        <v>696</v>
      </c>
      <c r="K369">
        <v>5</v>
      </c>
      <c r="L369" t="s">
        <v>17</v>
      </c>
      <c r="M369">
        <v>41</v>
      </c>
      <c r="N369" s="21">
        <f t="shared" si="10"/>
        <v>1263.3899999999999</v>
      </c>
      <c r="O369" s="21">
        <f t="shared" si="11"/>
        <v>379.01699999999994</v>
      </c>
    </row>
    <row r="370" spans="1:15" x14ac:dyDescent="0.3">
      <c r="A370">
        <v>73957</v>
      </c>
      <c r="B370" s="1">
        <v>45501</v>
      </c>
      <c r="C370">
        <v>834</v>
      </c>
      <c r="D370">
        <v>40</v>
      </c>
      <c r="E370" t="s">
        <v>24</v>
      </c>
      <c r="F370" t="s">
        <v>44</v>
      </c>
      <c r="G370">
        <v>5</v>
      </c>
      <c r="H370" s="12">
        <v>137.29</v>
      </c>
      <c r="I370" t="s">
        <v>26</v>
      </c>
      <c r="J370" t="s">
        <v>824</v>
      </c>
      <c r="K370">
        <v>4</v>
      </c>
      <c r="M370">
        <v>24</v>
      </c>
      <c r="N370" s="21">
        <f t="shared" si="10"/>
        <v>686.44999999999993</v>
      </c>
      <c r="O370" s="21">
        <f t="shared" si="11"/>
        <v>205.93499999999997</v>
      </c>
    </row>
    <row r="371" spans="1:15" x14ac:dyDescent="0.3">
      <c r="A371">
        <v>35014</v>
      </c>
      <c r="B371" s="1">
        <v>45501</v>
      </c>
      <c r="C371">
        <v>149</v>
      </c>
      <c r="D371">
        <v>20</v>
      </c>
      <c r="E371" t="s">
        <v>28</v>
      </c>
      <c r="F371" t="s">
        <v>29</v>
      </c>
      <c r="G371">
        <v>1</v>
      </c>
      <c r="H371" s="12">
        <v>54.19</v>
      </c>
      <c r="I371" t="s">
        <v>26</v>
      </c>
      <c r="J371" t="s">
        <v>943</v>
      </c>
      <c r="K371">
        <v>5</v>
      </c>
      <c r="M371">
        <v>33</v>
      </c>
      <c r="N371" s="21">
        <f t="shared" si="10"/>
        <v>54.19</v>
      </c>
      <c r="O371" s="21">
        <f t="shared" si="11"/>
        <v>16.256999999999998</v>
      </c>
    </row>
    <row r="372" spans="1:15" x14ac:dyDescent="0.3">
      <c r="A372">
        <v>13011</v>
      </c>
      <c r="B372" s="1">
        <v>45502</v>
      </c>
      <c r="C372">
        <v>231</v>
      </c>
      <c r="D372">
        <v>20</v>
      </c>
      <c r="E372" t="s">
        <v>28</v>
      </c>
      <c r="F372" t="s">
        <v>29</v>
      </c>
      <c r="G372">
        <v>2</v>
      </c>
      <c r="H372" s="12">
        <v>276.11</v>
      </c>
      <c r="I372" t="s">
        <v>26</v>
      </c>
      <c r="J372" t="s">
        <v>729</v>
      </c>
      <c r="L372" t="s">
        <v>21</v>
      </c>
      <c r="M372">
        <v>69</v>
      </c>
      <c r="N372" s="21">
        <f t="shared" si="10"/>
        <v>552.22</v>
      </c>
      <c r="O372" s="21">
        <f t="shared" si="11"/>
        <v>165.666</v>
      </c>
    </row>
    <row r="373" spans="1:15" x14ac:dyDescent="0.3">
      <c r="A373">
        <v>65235</v>
      </c>
      <c r="B373" s="1">
        <v>45502</v>
      </c>
      <c r="C373">
        <v>554</v>
      </c>
      <c r="D373">
        <v>40</v>
      </c>
      <c r="E373" t="s">
        <v>24</v>
      </c>
      <c r="F373" t="s">
        <v>65</v>
      </c>
      <c r="G373">
        <v>1</v>
      </c>
      <c r="H373" s="12">
        <v>299.39</v>
      </c>
      <c r="I373" t="s">
        <v>15</v>
      </c>
      <c r="J373" t="s">
        <v>777</v>
      </c>
      <c r="K373">
        <v>3</v>
      </c>
      <c r="L373" t="s">
        <v>21</v>
      </c>
      <c r="M373">
        <v>19</v>
      </c>
      <c r="N373" s="21">
        <f t="shared" si="10"/>
        <v>299.39</v>
      </c>
      <c r="O373" s="21">
        <f t="shared" si="11"/>
        <v>89.816999999999993</v>
      </c>
    </row>
    <row r="374" spans="1:15" x14ac:dyDescent="0.3">
      <c r="A374">
        <v>86435</v>
      </c>
      <c r="B374" s="1">
        <v>45503</v>
      </c>
      <c r="C374">
        <v>988</v>
      </c>
      <c r="D374">
        <v>40</v>
      </c>
      <c r="E374" t="s">
        <v>24</v>
      </c>
      <c r="F374" t="s">
        <v>44</v>
      </c>
      <c r="G374">
        <v>4</v>
      </c>
      <c r="H374" s="12">
        <v>431.48</v>
      </c>
      <c r="I374" t="s">
        <v>26</v>
      </c>
      <c r="J374" t="s">
        <v>174</v>
      </c>
      <c r="K374">
        <v>3</v>
      </c>
      <c r="L374" t="s">
        <v>17</v>
      </c>
      <c r="M374">
        <v>48</v>
      </c>
      <c r="N374" s="21">
        <f t="shared" si="10"/>
        <v>1725.92</v>
      </c>
      <c r="O374" s="21">
        <f t="shared" si="11"/>
        <v>517.77599999999995</v>
      </c>
    </row>
    <row r="375" spans="1:15" x14ac:dyDescent="0.3">
      <c r="A375">
        <v>54645</v>
      </c>
      <c r="B375" s="1">
        <v>45503</v>
      </c>
      <c r="C375">
        <v>190</v>
      </c>
      <c r="D375">
        <v>50</v>
      </c>
      <c r="E375" t="s">
        <v>18</v>
      </c>
      <c r="F375" t="s">
        <v>19</v>
      </c>
      <c r="G375">
        <v>4</v>
      </c>
      <c r="H375" s="12">
        <v>354.69</v>
      </c>
      <c r="I375" t="s">
        <v>26</v>
      </c>
      <c r="J375" t="s">
        <v>590</v>
      </c>
      <c r="K375">
        <v>5</v>
      </c>
      <c r="L375" t="s">
        <v>17</v>
      </c>
      <c r="M375">
        <v>75</v>
      </c>
      <c r="N375" s="21">
        <f t="shared" si="10"/>
        <v>1418.76</v>
      </c>
      <c r="O375" s="21">
        <f t="shared" si="11"/>
        <v>425.62799999999999</v>
      </c>
    </row>
    <row r="376" spans="1:15" x14ac:dyDescent="0.3">
      <c r="A376">
        <v>47601</v>
      </c>
      <c r="B376" s="1">
        <v>45504</v>
      </c>
      <c r="C376">
        <v>793</v>
      </c>
      <c r="D376">
        <v>50</v>
      </c>
      <c r="E376" t="s">
        <v>18</v>
      </c>
      <c r="F376" t="s">
        <v>34</v>
      </c>
      <c r="G376">
        <v>2</v>
      </c>
      <c r="H376" s="12">
        <v>241.9</v>
      </c>
      <c r="I376" t="s">
        <v>35</v>
      </c>
      <c r="J376" t="s">
        <v>162</v>
      </c>
      <c r="K376">
        <v>3</v>
      </c>
      <c r="M376">
        <v>24</v>
      </c>
      <c r="N376" s="21">
        <f t="shared" si="10"/>
        <v>483.8</v>
      </c>
      <c r="O376" s="21">
        <f t="shared" si="11"/>
        <v>145.13999999999999</v>
      </c>
    </row>
    <row r="377" spans="1:15" x14ac:dyDescent="0.3">
      <c r="A377">
        <v>34368</v>
      </c>
      <c r="B377" s="1">
        <v>45504</v>
      </c>
      <c r="C377">
        <v>204</v>
      </c>
      <c r="D377">
        <v>20</v>
      </c>
      <c r="E377" t="s">
        <v>28</v>
      </c>
      <c r="F377" t="s">
        <v>72</v>
      </c>
      <c r="G377">
        <v>3</v>
      </c>
      <c r="H377" s="12">
        <v>475.53</v>
      </c>
      <c r="I377" t="s">
        <v>26</v>
      </c>
      <c r="J377" t="s">
        <v>666</v>
      </c>
      <c r="K377">
        <v>5</v>
      </c>
      <c r="L377" t="s">
        <v>17</v>
      </c>
      <c r="M377">
        <v>69</v>
      </c>
      <c r="N377" s="21">
        <f t="shared" si="10"/>
        <v>1426.59</v>
      </c>
      <c r="O377" s="21">
        <f t="shared" si="11"/>
        <v>427.97699999999998</v>
      </c>
    </row>
    <row r="378" spans="1:15" x14ac:dyDescent="0.3">
      <c r="A378">
        <v>83983</v>
      </c>
      <c r="B378" s="1">
        <v>45505</v>
      </c>
      <c r="C378">
        <v>395</v>
      </c>
      <c r="D378">
        <v>20</v>
      </c>
      <c r="E378" t="s">
        <v>28</v>
      </c>
      <c r="F378" t="s">
        <v>79</v>
      </c>
      <c r="G378">
        <v>5</v>
      </c>
      <c r="H378" s="12">
        <v>161.05000000000001</v>
      </c>
      <c r="I378" t="s">
        <v>15</v>
      </c>
      <c r="J378" t="s">
        <v>104</v>
      </c>
      <c r="K378">
        <v>5</v>
      </c>
      <c r="L378" t="s">
        <v>21</v>
      </c>
      <c r="M378">
        <v>55</v>
      </c>
      <c r="N378" s="21">
        <f t="shared" si="10"/>
        <v>805.25</v>
      </c>
      <c r="O378" s="21">
        <f t="shared" si="11"/>
        <v>241.57499999999999</v>
      </c>
    </row>
    <row r="379" spans="1:15" x14ac:dyDescent="0.3">
      <c r="A379">
        <v>73069</v>
      </c>
      <c r="B379" s="1">
        <v>45505</v>
      </c>
      <c r="C379">
        <v>171</v>
      </c>
      <c r="D379">
        <v>20</v>
      </c>
      <c r="E379" t="s">
        <v>28</v>
      </c>
      <c r="F379" t="s">
        <v>77</v>
      </c>
      <c r="G379">
        <v>2</v>
      </c>
      <c r="H379" s="12">
        <v>278.91000000000003</v>
      </c>
      <c r="I379" t="s">
        <v>35</v>
      </c>
      <c r="J379" t="s">
        <v>310</v>
      </c>
      <c r="K379">
        <v>5</v>
      </c>
      <c r="L379" t="s">
        <v>21</v>
      </c>
      <c r="M379">
        <v>38</v>
      </c>
      <c r="N379" s="21">
        <f t="shared" si="10"/>
        <v>557.82000000000005</v>
      </c>
      <c r="O379" s="21">
        <f t="shared" si="11"/>
        <v>167.346</v>
      </c>
    </row>
    <row r="380" spans="1:15" x14ac:dyDescent="0.3">
      <c r="A380">
        <v>37787</v>
      </c>
      <c r="B380" s="1">
        <v>45506</v>
      </c>
      <c r="C380">
        <v>971</v>
      </c>
      <c r="D380">
        <v>10</v>
      </c>
      <c r="E380" t="s">
        <v>13</v>
      </c>
      <c r="F380" t="s">
        <v>32</v>
      </c>
      <c r="G380">
        <v>3</v>
      </c>
      <c r="H380" s="12">
        <v>91.52</v>
      </c>
      <c r="I380" t="s">
        <v>26</v>
      </c>
      <c r="J380" t="s">
        <v>210</v>
      </c>
      <c r="K380">
        <v>5</v>
      </c>
      <c r="L380" t="s">
        <v>21</v>
      </c>
      <c r="M380">
        <v>35</v>
      </c>
      <c r="N380" s="21">
        <f t="shared" si="10"/>
        <v>274.56</v>
      </c>
      <c r="O380" s="21">
        <f t="shared" si="11"/>
        <v>82.367999999999995</v>
      </c>
    </row>
    <row r="381" spans="1:15" x14ac:dyDescent="0.3">
      <c r="A381">
        <v>59875</v>
      </c>
      <c r="B381" s="1">
        <v>45506</v>
      </c>
      <c r="C381">
        <v>210</v>
      </c>
      <c r="D381">
        <v>40</v>
      </c>
      <c r="E381" t="s">
        <v>24</v>
      </c>
      <c r="F381" t="s">
        <v>63</v>
      </c>
      <c r="G381">
        <v>4</v>
      </c>
      <c r="H381" s="12">
        <v>334.76</v>
      </c>
      <c r="I381" t="s">
        <v>35</v>
      </c>
      <c r="J381" t="s">
        <v>236</v>
      </c>
      <c r="K381">
        <v>5</v>
      </c>
      <c r="M381">
        <v>49</v>
      </c>
      <c r="N381" s="21">
        <f t="shared" si="10"/>
        <v>1339.04</v>
      </c>
      <c r="O381" s="21">
        <f t="shared" si="11"/>
        <v>401.71199999999999</v>
      </c>
    </row>
    <row r="382" spans="1:15" x14ac:dyDescent="0.3">
      <c r="A382">
        <v>37813</v>
      </c>
      <c r="B382" s="1">
        <v>45506</v>
      </c>
      <c r="C382">
        <v>792</v>
      </c>
      <c r="D382">
        <v>10</v>
      </c>
      <c r="E382" t="s">
        <v>13</v>
      </c>
      <c r="F382" t="s">
        <v>14</v>
      </c>
      <c r="G382">
        <v>5</v>
      </c>
      <c r="H382" s="12">
        <v>221.15</v>
      </c>
      <c r="I382" t="s">
        <v>26</v>
      </c>
      <c r="J382" t="s">
        <v>362</v>
      </c>
      <c r="K382">
        <v>5</v>
      </c>
      <c r="L382" t="s">
        <v>17</v>
      </c>
      <c r="M382">
        <v>24</v>
      </c>
      <c r="N382" s="21">
        <f t="shared" si="10"/>
        <v>1105.75</v>
      </c>
      <c r="O382" s="21">
        <f t="shared" si="11"/>
        <v>331.72499999999997</v>
      </c>
    </row>
    <row r="383" spans="1:15" x14ac:dyDescent="0.3">
      <c r="A383">
        <v>13595</v>
      </c>
      <c r="B383" s="1">
        <v>45506</v>
      </c>
      <c r="C383">
        <v>311</v>
      </c>
      <c r="D383">
        <v>40</v>
      </c>
      <c r="E383" t="s">
        <v>24</v>
      </c>
      <c r="F383" t="s">
        <v>44</v>
      </c>
      <c r="G383">
        <v>1</v>
      </c>
      <c r="H383" s="12">
        <v>496.5</v>
      </c>
      <c r="I383" t="s">
        <v>26</v>
      </c>
      <c r="J383" t="s">
        <v>415</v>
      </c>
      <c r="K383">
        <v>4</v>
      </c>
      <c r="M383">
        <v>25</v>
      </c>
      <c r="N383" s="21">
        <f t="shared" si="10"/>
        <v>496.5</v>
      </c>
      <c r="O383" s="21">
        <f t="shared" si="11"/>
        <v>148.94999999999999</v>
      </c>
    </row>
    <row r="384" spans="1:15" x14ac:dyDescent="0.3">
      <c r="A384">
        <v>81400</v>
      </c>
      <c r="B384" s="1">
        <v>45506</v>
      </c>
      <c r="C384">
        <v>950</v>
      </c>
      <c r="D384">
        <v>10</v>
      </c>
      <c r="E384" t="s">
        <v>13</v>
      </c>
      <c r="F384" t="s">
        <v>32</v>
      </c>
      <c r="G384">
        <v>4</v>
      </c>
      <c r="H384" s="12">
        <v>167.11</v>
      </c>
      <c r="I384" t="s">
        <v>26</v>
      </c>
      <c r="J384" t="s">
        <v>698</v>
      </c>
      <c r="K384">
        <v>5</v>
      </c>
      <c r="L384" t="s">
        <v>21</v>
      </c>
      <c r="M384">
        <v>48</v>
      </c>
      <c r="N384" s="21">
        <f t="shared" si="10"/>
        <v>668.44</v>
      </c>
      <c r="O384" s="21">
        <f t="shared" si="11"/>
        <v>200.53200000000001</v>
      </c>
    </row>
    <row r="385" spans="1:15" x14ac:dyDescent="0.3">
      <c r="A385">
        <v>78768</v>
      </c>
      <c r="B385" s="1">
        <v>45507</v>
      </c>
      <c r="C385">
        <v>880</v>
      </c>
      <c r="D385">
        <v>10</v>
      </c>
      <c r="E385" t="s">
        <v>13</v>
      </c>
      <c r="F385" t="s">
        <v>14</v>
      </c>
      <c r="G385">
        <v>1</v>
      </c>
      <c r="H385" s="12">
        <v>152.19999999999999</v>
      </c>
      <c r="I385" t="s">
        <v>26</v>
      </c>
      <c r="J385" t="s">
        <v>357</v>
      </c>
      <c r="K385">
        <v>5</v>
      </c>
      <c r="L385" t="s">
        <v>21</v>
      </c>
      <c r="M385">
        <v>49</v>
      </c>
      <c r="N385" s="21">
        <f t="shared" si="10"/>
        <v>152.19999999999999</v>
      </c>
      <c r="O385" s="21">
        <f t="shared" si="11"/>
        <v>45.66</v>
      </c>
    </row>
    <row r="386" spans="1:15" x14ac:dyDescent="0.3">
      <c r="A386">
        <v>98074</v>
      </c>
      <c r="B386" s="1">
        <v>45507</v>
      </c>
      <c r="C386">
        <v>463</v>
      </c>
      <c r="D386">
        <v>30</v>
      </c>
      <c r="E386" t="s">
        <v>37</v>
      </c>
      <c r="F386" t="s">
        <v>68</v>
      </c>
      <c r="G386">
        <v>4</v>
      </c>
      <c r="H386" s="12">
        <v>494.66</v>
      </c>
      <c r="I386" t="s">
        <v>35</v>
      </c>
      <c r="J386" t="s">
        <v>395</v>
      </c>
      <c r="K386">
        <v>4</v>
      </c>
      <c r="L386" t="s">
        <v>17</v>
      </c>
      <c r="M386">
        <v>47</v>
      </c>
      <c r="N386" s="21">
        <f t="shared" si="10"/>
        <v>1978.64</v>
      </c>
      <c r="O386" s="21">
        <f t="shared" si="11"/>
        <v>593.59199999999998</v>
      </c>
    </row>
    <row r="387" spans="1:15" x14ac:dyDescent="0.3">
      <c r="A387">
        <v>56829</v>
      </c>
      <c r="B387" s="1">
        <v>45508</v>
      </c>
      <c r="C387">
        <v>839</v>
      </c>
      <c r="D387">
        <v>10</v>
      </c>
      <c r="E387" t="s">
        <v>13</v>
      </c>
      <c r="F387" t="s">
        <v>32</v>
      </c>
      <c r="G387">
        <v>1</v>
      </c>
      <c r="H387" s="12">
        <v>311.67</v>
      </c>
      <c r="I387" t="s">
        <v>26</v>
      </c>
      <c r="J387" t="s">
        <v>233</v>
      </c>
      <c r="L387" t="s">
        <v>21</v>
      </c>
      <c r="M387">
        <v>59</v>
      </c>
      <c r="N387" s="21">
        <f t="shared" ref="N387:N450" si="12">H387*G387</f>
        <v>311.67</v>
      </c>
      <c r="O387" s="21">
        <f t="shared" ref="O387:O450" si="13">N387*0.3</f>
        <v>93.501000000000005</v>
      </c>
    </row>
    <row r="388" spans="1:15" x14ac:dyDescent="0.3">
      <c r="A388">
        <v>51963</v>
      </c>
      <c r="B388" s="1">
        <v>45508</v>
      </c>
      <c r="C388">
        <v>471</v>
      </c>
      <c r="D388">
        <v>40</v>
      </c>
      <c r="E388" t="s">
        <v>24</v>
      </c>
      <c r="F388" t="s">
        <v>65</v>
      </c>
      <c r="G388">
        <v>3</v>
      </c>
      <c r="H388" s="12">
        <v>149.61000000000001</v>
      </c>
      <c r="I388" t="s">
        <v>35</v>
      </c>
      <c r="J388" t="s">
        <v>299</v>
      </c>
      <c r="K388">
        <v>5</v>
      </c>
      <c r="L388" t="s">
        <v>21</v>
      </c>
      <c r="M388">
        <v>61</v>
      </c>
      <c r="N388" s="21">
        <f t="shared" si="12"/>
        <v>448.83000000000004</v>
      </c>
      <c r="O388" s="21">
        <f t="shared" si="13"/>
        <v>134.649</v>
      </c>
    </row>
    <row r="389" spans="1:15" x14ac:dyDescent="0.3">
      <c r="A389">
        <v>74288</v>
      </c>
      <c r="B389" s="1">
        <v>45508</v>
      </c>
      <c r="C389">
        <v>173</v>
      </c>
      <c r="D389">
        <v>50</v>
      </c>
      <c r="E389" t="s">
        <v>18</v>
      </c>
      <c r="F389" t="s">
        <v>22</v>
      </c>
      <c r="G389">
        <v>2</v>
      </c>
      <c r="H389" s="12">
        <v>308.43</v>
      </c>
      <c r="I389" t="s">
        <v>26</v>
      </c>
      <c r="J389" t="s">
        <v>649</v>
      </c>
      <c r="K389">
        <v>5</v>
      </c>
      <c r="L389" t="s">
        <v>17</v>
      </c>
      <c r="M389">
        <v>25</v>
      </c>
      <c r="N389" s="21">
        <f t="shared" si="12"/>
        <v>616.86</v>
      </c>
      <c r="O389" s="21">
        <f t="shared" si="13"/>
        <v>185.05799999999999</v>
      </c>
    </row>
    <row r="390" spans="1:15" x14ac:dyDescent="0.3">
      <c r="A390">
        <v>47453</v>
      </c>
      <c r="B390" s="1">
        <v>45508</v>
      </c>
      <c r="C390">
        <v>175</v>
      </c>
      <c r="D390">
        <v>30</v>
      </c>
      <c r="E390" t="s">
        <v>37</v>
      </c>
      <c r="F390" t="s">
        <v>58</v>
      </c>
      <c r="G390">
        <v>2</v>
      </c>
      <c r="H390" s="12">
        <v>36.36</v>
      </c>
      <c r="I390" t="s">
        <v>35</v>
      </c>
      <c r="J390" t="s">
        <v>721</v>
      </c>
      <c r="K390">
        <v>2</v>
      </c>
      <c r="L390" t="s">
        <v>17</v>
      </c>
      <c r="M390">
        <v>58</v>
      </c>
      <c r="N390" s="21">
        <f t="shared" si="12"/>
        <v>72.72</v>
      </c>
      <c r="O390" s="21">
        <f t="shared" si="13"/>
        <v>21.815999999999999</v>
      </c>
    </row>
    <row r="391" spans="1:15" x14ac:dyDescent="0.3">
      <c r="A391">
        <v>30037</v>
      </c>
      <c r="B391" s="1">
        <v>45509</v>
      </c>
      <c r="C391">
        <v>314</v>
      </c>
      <c r="D391">
        <v>20</v>
      </c>
      <c r="E391" t="s">
        <v>28</v>
      </c>
      <c r="F391" t="s">
        <v>72</v>
      </c>
      <c r="G391">
        <v>5</v>
      </c>
      <c r="H391" s="12">
        <v>337.8</v>
      </c>
      <c r="I391" t="s">
        <v>15</v>
      </c>
      <c r="J391" t="s">
        <v>73</v>
      </c>
      <c r="K391">
        <v>4</v>
      </c>
      <c r="L391" t="s">
        <v>17</v>
      </c>
      <c r="M391">
        <v>28</v>
      </c>
      <c r="N391" s="21">
        <f t="shared" si="12"/>
        <v>1689</v>
      </c>
      <c r="O391" s="21">
        <f t="shared" si="13"/>
        <v>506.7</v>
      </c>
    </row>
    <row r="392" spans="1:15" x14ac:dyDescent="0.3">
      <c r="A392">
        <v>25536</v>
      </c>
      <c r="B392" s="1">
        <v>45511</v>
      </c>
      <c r="C392">
        <v>482</v>
      </c>
      <c r="D392">
        <v>10</v>
      </c>
      <c r="E392" t="s">
        <v>13</v>
      </c>
      <c r="F392" t="s">
        <v>32</v>
      </c>
      <c r="G392">
        <v>3</v>
      </c>
      <c r="H392" s="12">
        <v>344.77</v>
      </c>
      <c r="I392" t="s">
        <v>15</v>
      </c>
      <c r="J392" t="s">
        <v>579</v>
      </c>
      <c r="K392">
        <v>3</v>
      </c>
      <c r="M392">
        <v>43</v>
      </c>
      <c r="N392" s="21">
        <f t="shared" si="12"/>
        <v>1034.31</v>
      </c>
      <c r="O392" s="21">
        <f t="shared" si="13"/>
        <v>310.29299999999995</v>
      </c>
    </row>
    <row r="393" spans="1:15" x14ac:dyDescent="0.3">
      <c r="A393">
        <v>58848</v>
      </c>
      <c r="B393" s="1">
        <v>45512</v>
      </c>
      <c r="C393">
        <v>876</v>
      </c>
      <c r="D393">
        <v>30</v>
      </c>
      <c r="E393" t="s">
        <v>37</v>
      </c>
      <c r="F393" t="s">
        <v>40</v>
      </c>
      <c r="G393">
        <v>2</v>
      </c>
      <c r="H393" s="12">
        <v>97.08</v>
      </c>
      <c r="I393" t="s">
        <v>15</v>
      </c>
      <c r="J393" t="s">
        <v>599</v>
      </c>
      <c r="K393">
        <v>5</v>
      </c>
      <c r="M393">
        <v>36</v>
      </c>
      <c r="N393" s="21">
        <f t="shared" si="12"/>
        <v>194.16</v>
      </c>
      <c r="O393" s="21">
        <f t="shared" si="13"/>
        <v>58.247999999999998</v>
      </c>
    </row>
    <row r="394" spans="1:15" x14ac:dyDescent="0.3">
      <c r="A394">
        <v>63313</v>
      </c>
      <c r="B394" s="1">
        <v>45513</v>
      </c>
      <c r="C394">
        <v>182</v>
      </c>
      <c r="D394">
        <v>50</v>
      </c>
      <c r="E394" t="s">
        <v>18</v>
      </c>
      <c r="F394" t="s">
        <v>22</v>
      </c>
      <c r="G394">
        <v>5</v>
      </c>
      <c r="H394" s="12">
        <v>266.16000000000003</v>
      </c>
      <c r="I394" t="s">
        <v>26</v>
      </c>
      <c r="J394" t="s">
        <v>91</v>
      </c>
      <c r="K394">
        <v>1</v>
      </c>
      <c r="L394" t="s">
        <v>17</v>
      </c>
      <c r="M394">
        <v>59</v>
      </c>
      <c r="N394" s="21">
        <f t="shared" si="12"/>
        <v>1330.8000000000002</v>
      </c>
      <c r="O394" s="21">
        <f t="shared" si="13"/>
        <v>399.24000000000007</v>
      </c>
    </row>
    <row r="395" spans="1:15" x14ac:dyDescent="0.3">
      <c r="A395">
        <v>53269</v>
      </c>
      <c r="B395" s="1">
        <v>45513</v>
      </c>
      <c r="C395">
        <v>314</v>
      </c>
      <c r="D395">
        <v>40</v>
      </c>
      <c r="E395" t="s">
        <v>24</v>
      </c>
      <c r="F395" t="s">
        <v>49</v>
      </c>
      <c r="G395">
        <v>5</v>
      </c>
      <c r="H395" s="12">
        <v>346.19</v>
      </c>
      <c r="I395" t="s">
        <v>26</v>
      </c>
      <c r="J395" t="s">
        <v>245</v>
      </c>
      <c r="K395">
        <v>5</v>
      </c>
      <c r="L395" t="s">
        <v>21</v>
      </c>
      <c r="M395">
        <v>54</v>
      </c>
      <c r="N395" s="21">
        <f t="shared" si="12"/>
        <v>1730.95</v>
      </c>
      <c r="O395" s="21">
        <f t="shared" si="13"/>
        <v>519.28499999999997</v>
      </c>
    </row>
    <row r="396" spans="1:15" x14ac:dyDescent="0.3">
      <c r="A396">
        <v>39126</v>
      </c>
      <c r="B396" s="1">
        <v>45513</v>
      </c>
      <c r="C396">
        <v>225</v>
      </c>
      <c r="D396">
        <v>20</v>
      </c>
      <c r="E396" t="s">
        <v>28</v>
      </c>
      <c r="F396" t="s">
        <v>29</v>
      </c>
      <c r="G396">
        <v>3</v>
      </c>
      <c r="H396" s="12">
        <v>482.28</v>
      </c>
      <c r="I396" t="s">
        <v>35</v>
      </c>
      <c r="J396" t="s">
        <v>505</v>
      </c>
      <c r="K396">
        <v>5</v>
      </c>
      <c r="L396" t="s">
        <v>21</v>
      </c>
      <c r="M396">
        <v>24</v>
      </c>
      <c r="N396" s="21">
        <f t="shared" si="12"/>
        <v>1446.84</v>
      </c>
      <c r="O396" s="21">
        <f t="shared" si="13"/>
        <v>434.05199999999996</v>
      </c>
    </row>
    <row r="397" spans="1:15" x14ac:dyDescent="0.3">
      <c r="A397">
        <v>44035</v>
      </c>
      <c r="B397" s="1">
        <v>45514</v>
      </c>
      <c r="C397">
        <v>974</v>
      </c>
      <c r="D397">
        <v>10</v>
      </c>
      <c r="E397" t="s">
        <v>13</v>
      </c>
      <c r="F397" t="s">
        <v>111</v>
      </c>
      <c r="G397">
        <v>4</v>
      </c>
      <c r="H397" s="12">
        <v>292.12</v>
      </c>
      <c r="I397" t="s">
        <v>35</v>
      </c>
      <c r="J397" t="s">
        <v>271</v>
      </c>
      <c r="K397">
        <v>4</v>
      </c>
      <c r="L397" t="s">
        <v>17</v>
      </c>
      <c r="M397">
        <v>39</v>
      </c>
      <c r="N397" s="21">
        <f t="shared" si="12"/>
        <v>1168.48</v>
      </c>
      <c r="O397" s="21">
        <f t="shared" si="13"/>
        <v>350.54399999999998</v>
      </c>
    </row>
    <row r="398" spans="1:15" x14ac:dyDescent="0.3">
      <c r="A398">
        <v>17341</v>
      </c>
      <c r="B398" s="1">
        <v>45514</v>
      </c>
      <c r="C398">
        <v>291</v>
      </c>
      <c r="D398">
        <v>20</v>
      </c>
      <c r="E398" t="s">
        <v>28</v>
      </c>
      <c r="F398" t="s">
        <v>51</v>
      </c>
      <c r="G398">
        <v>5</v>
      </c>
      <c r="H398" s="12">
        <v>98.76</v>
      </c>
      <c r="I398" t="s">
        <v>15</v>
      </c>
      <c r="J398" t="s">
        <v>655</v>
      </c>
      <c r="K398">
        <v>4</v>
      </c>
      <c r="L398" t="s">
        <v>17</v>
      </c>
      <c r="M398">
        <v>20</v>
      </c>
      <c r="N398" s="21">
        <f t="shared" si="12"/>
        <v>493.8</v>
      </c>
      <c r="O398" s="21">
        <f t="shared" si="13"/>
        <v>148.13999999999999</v>
      </c>
    </row>
    <row r="399" spans="1:15" x14ac:dyDescent="0.3">
      <c r="A399">
        <v>99909</v>
      </c>
      <c r="B399" s="1">
        <v>45515</v>
      </c>
      <c r="C399">
        <v>233</v>
      </c>
      <c r="D399">
        <v>10</v>
      </c>
      <c r="E399" t="s">
        <v>13</v>
      </c>
      <c r="F399" t="s">
        <v>32</v>
      </c>
      <c r="G399">
        <v>1</v>
      </c>
      <c r="H399" s="12">
        <v>474.06</v>
      </c>
      <c r="I399" t="s">
        <v>35</v>
      </c>
      <c r="J399" t="s">
        <v>195</v>
      </c>
      <c r="K399">
        <v>5</v>
      </c>
      <c r="L399" t="s">
        <v>17</v>
      </c>
      <c r="M399">
        <v>37</v>
      </c>
      <c r="N399" s="21">
        <f t="shared" si="12"/>
        <v>474.06</v>
      </c>
      <c r="O399" s="21">
        <f t="shared" si="13"/>
        <v>142.21799999999999</v>
      </c>
    </row>
    <row r="400" spans="1:15" x14ac:dyDescent="0.3">
      <c r="A400">
        <v>91742</v>
      </c>
      <c r="B400" s="1">
        <v>45515</v>
      </c>
      <c r="C400">
        <v>632</v>
      </c>
      <c r="D400">
        <v>20</v>
      </c>
      <c r="E400" t="s">
        <v>28</v>
      </c>
      <c r="F400" t="s">
        <v>77</v>
      </c>
      <c r="G400">
        <v>1</v>
      </c>
      <c r="H400" s="12">
        <v>332.78</v>
      </c>
      <c r="I400" t="s">
        <v>35</v>
      </c>
      <c r="J400" t="s">
        <v>349</v>
      </c>
      <c r="K400">
        <v>5</v>
      </c>
      <c r="L400" t="s">
        <v>21</v>
      </c>
      <c r="M400">
        <v>28</v>
      </c>
      <c r="N400" s="21">
        <f t="shared" si="12"/>
        <v>332.78</v>
      </c>
      <c r="O400" s="21">
        <f t="shared" si="13"/>
        <v>99.833999999999989</v>
      </c>
    </row>
    <row r="401" spans="1:15" x14ac:dyDescent="0.3">
      <c r="A401">
        <v>56705</v>
      </c>
      <c r="B401" s="1">
        <v>45516</v>
      </c>
      <c r="C401">
        <v>299</v>
      </c>
      <c r="D401">
        <v>20</v>
      </c>
      <c r="E401" t="s">
        <v>28</v>
      </c>
      <c r="F401" t="s">
        <v>51</v>
      </c>
      <c r="G401">
        <v>2</v>
      </c>
      <c r="H401" s="12">
        <v>168.65</v>
      </c>
      <c r="I401" t="s">
        <v>15</v>
      </c>
      <c r="J401" t="s">
        <v>241</v>
      </c>
      <c r="K401">
        <v>2</v>
      </c>
      <c r="L401" t="s">
        <v>21</v>
      </c>
      <c r="M401">
        <v>38</v>
      </c>
      <c r="N401" s="21">
        <f t="shared" si="12"/>
        <v>337.3</v>
      </c>
      <c r="O401" s="21">
        <f t="shared" si="13"/>
        <v>101.19</v>
      </c>
    </row>
    <row r="402" spans="1:15" x14ac:dyDescent="0.3">
      <c r="A402">
        <v>23601</v>
      </c>
      <c r="B402" s="1">
        <v>45516</v>
      </c>
      <c r="C402">
        <v>468</v>
      </c>
      <c r="D402">
        <v>40</v>
      </c>
      <c r="E402" t="s">
        <v>24</v>
      </c>
      <c r="F402" t="s">
        <v>44</v>
      </c>
      <c r="G402">
        <v>3</v>
      </c>
      <c r="H402" s="12">
        <v>408.46</v>
      </c>
      <c r="I402" t="s">
        <v>35</v>
      </c>
      <c r="J402" t="s">
        <v>292</v>
      </c>
      <c r="K402">
        <v>5</v>
      </c>
      <c r="M402">
        <v>57</v>
      </c>
      <c r="N402" s="21">
        <f t="shared" si="12"/>
        <v>1225.3799999999999</v>
      </c>
      <c r="O402" s="21">
        <f t="shared" si="13"/>
        <v>367.61399999999998</v>
      </c>
    </row>
    <row r="403" spans="1:15" x14ac:dyDescent="0.3">
      <c r="A403">
        <v>60664</v>
      </c>
      <c r="B403" s="1">
        <v>45516</v>
      </c>
      <c r="C403">
        <v>809</v>
      </c>
      <c r="D403">
        <v>30</v>
      </c>
      <c r="E403" t="s">
        <v>37</v>
      </c>
      <c r="F403" t="s">
        <v>68</v>
      </c>
      <c r="G403">
        <v>3</v>
      </c>
      <c r="H403" s="12">
        <v>186.36</v>
      </c>
      <c r="I403" t="s">
        <v>26</v>
      </c>
      <c r="J403" t="s">
        <v>292</v>
      </c>
      <c r="L403" t="s">
        <v>21</v>
      </c>
      <c r="M403">
        <v>21</v>
      </c>
      <c r="N403" s="21">
        <f t="shared" si="12"/>
        <v>559.08000000000004</v>
      </c>
      <c r="O403" s="21">
        <f t="shared" si="13"/>
        <v>167.72400000000002</v>
      </c>
    </row>
    <row r="404" spans="1:15" x14ac:dyDescent="0.3">
      <c r="A404">
        <v>17439</v>
      </c>
      <c r="B404" s="1">
        <v>45516</v>
      </c>
      <c r="C404">
        <v>520</v>
      </c>
      <c r="D404">
        <v>10</v>
      </c>
      <c r="E404" t="s">
        <v>13</v>
      </c>
      <c r="F404" t="s">
        <v>47</v>
      </c>
      <c r="G404">
        <v>4</v>
      </c>
      <c r="H404" s="12">
        <v>462.82</v>
      </c>
      <c r="I404" t="s">
        <v>26</v>
      </c>
      <c r="J404" t="s">
        <v>578</v>
      </c>
      <c r="K404">
        <v>5</v>
      </c>
      <c r="L404" t="s">
        <v>21</v>
      </c>
      <c r="M404">
        <v>55</v>
      </c>
      <c r="N404" s="21">
        <f t="shared" si="12"/>
        <v>1851.28</v>
      </c>
      <c r="O404" s="21">
        <f t="shared" si="13"/>
        <v>555.38400000000001</v>
      </c>
    </row>
    <row r="405" spans="1:15" x14ac:dyDescent="0.3">
      <c r="A405">
        <v>48216</v>
      </c>
      <c r="B405" s="1">
        <v>45516</v>
      </c>
      <c r="C405">
        <v>738</v>
      </c>
      <c r="D405">
        <v>40</v>
      </c>
      <c r="E405" t="s">
        <v>24</v>
      </c>
      <c r="F405" t="s">
        <v>49</v>
      </c>
      <c r="G405">
        <v>5</v>
      </c>
      <c r="H405" s="12">
        <v>228.23</v>
      </c>
      <c r="I405" t="s">
        <v>26</v>
      </c>
      <c r="J405" t="s">
        <v>755</v>
      </c>
      <c r="K405">
        <v>4</v>
      </c>
      <c r="L405" t="s">
        <v>21</v>
      </c>
      <c r="M405">
        <v>21</v>
      </c>
      <c r="N405" s="21">
        <f t="shared" si="12"/>
        <v>1141.1499999999999</v>
      </c>
      <c r="O405" s="21">
        <f t="shared" si="13"/>
        <v>342.34499999999997</v>
      </c>
    </row>
    <row r="406" spans="1:15" x14ac:dyDescent="0.3">
      <c r="A406">
        <v>29312</v>
      </c>
      <c r="B406" s="1">
        <v>45516</v>
      </c>
      <c r="C406">
        <v>481</v>
      </c>
      <c r="D406">
        <v>30</v>
      </c>
      <c r="E406" t="s">
        <v>37</v>
      </c>
      <c r="F406" t="s">
        <v>38</v>
      </c>
      <c r="G406">
        <v>4</v>
      </c>
      <c r="H406" s="12">
        <v>354.83</v>
      </c>
      <c r="I406" t="s">
        <v>35</v>
      </c>
      <c r="J406" t="s">
        <v>763</v>
      </c>
      <c r="K406">
        <v>5</v>
      </c>
      <c r="L406" t="s">
        <v>21</v>
      </c>
      <c r="M406">
        <v>64</v>
      </c>
      <c r="N406" s="21">
        <f t="shared" si="12"/>
        <v>1419.32</v>
      </c>
      <c r="O406" s="21">
        <f t="shared" si="13"/>
        <v>425.79599999999999</v>
      </c>
    </row>
    <row r="407" spans="1:15" x14ac:dyDescent="0.3">
      <c r="A407">
        <v>35514</v>
      </c>
      <c r="B407" s="1">
        <v>45516</v>
      </c>
      <c r="C407">
        <v>791</v>
      </c>
      <c r="D407">
        <v>20</v>
      </c>
      <c r="E407" t="s">
        <v>28</v>
      </c>
      <c r="F407" t="s">
        <v>72</v>
      </c>
      <c r="G407">
        <v>4</v>
      </c>
      <c r="H407" s="12">
        <v>216.69</v>
      </c>
      <c r="I407" t="s">
        <v>35</v>
      </c>
      <c r="J407" t="s">
        <v>829</v>
      </c>
      <c r="K407">
        <v>4</v>
      </c>
      <c r="L407" t="s">
        <v>17</v>
      </c>
      <c r="M407">
        <v>35</v>
      </c>
      <c r="N407" s="21">
        <f t="shared" si="12"/>
        <v>866.76</v>
      </c>
      <c r="O407" s="21">
        <f t="shared" si="13"/>
        <v>260.02799999999996</v>
      </c>
    </row>
    <row r="408" spans="1:15" x14ac:dyDescent="0.3">
      <c r="A408">
        <v>65789</v>
      </c>
      <c r="B408" s="1">
        <v>45516</v>
      </c>
      <c r="C408">
        <v>368</v>
      </c>
      <c r="D408">
        <v>30</v>
      </c>
      <c r="E408" t="s">
        <v>37</v>
      </c>
      <c r="F408" t="s">
        <v>68</v>
      </c>
      <c r="G408">
        <v>3</v>
      </c>
      <c r="H408" s="12">
        <v>91.58</v>
      </c>
      <c r="I408" t="s">
        <v>26</v>
      </c>
      <c r="J408" t="s">
        <v>939</v>
      </c>
      <c r="K408">
        <v>5</v>
      </c>
      <c r="L408" t="s">
        <v>21</v>
      </c>
      <c r="M408">
        <v>69</v>
      </c>
      <c r="N408" s="21">
        <f t="shared" si="12"/>
        <v>274.74</v>
      </c>
      <c r="O408" s="21">
        <f t="shared" si="13"/>
        <v>82.421999999999997</v>
      </c>
    </row>
    <row r="409" spans="1:15" x14ac:dyDescent="0.3">
      <c r="A409">
        <v>11021</v>
      </c>
      <c r="B409" s="1">
        <v>45516</v>
      </c>
      <c r="C409">
        <v>114</v>
      </c>
      <c r="D409">
        <v>20</v>
      </c>
      <c r="E409" t="s">
        <v>28</v>
      </c>
      <c r="F409" t="s">
        <v>79</v>
      </c>
      <c r="G409">
        <v>5</v>
      </c>
      <c r="H409" s="12">
        <v>67.92</v>
      </c>
      <c r="I409" t="s">
        <v>26</v>
      </c>
      <c r="J409" t="s">
        <v>962</v>
      </c>
      <c r="K409">
        <v>5</v>
      </c>
      <c r="L409" t="s">
        <v>21</v>
      </c>
      <c r="M409">
        <v>47</v>
      </c>
      <c r="N409" s="21">
        <f t="shared" si="12"/>
        <v>339.6</v>
      </c>
      <c r="O409" s="21">
        <f t="shared" si="13"/>
        <v>101.88000000000001</v>
      </c>
    </row>
    <row r="410" spans="1:15" x14ac:dyDescent="0.3">
      <c r="A410">
        <v>33094</v>
      </c>
      <c r="B410" s="1">
        <v>45516</v>
      </c>
      <c r="C410">
        <v>298</v>
      </c>
      <c r="D410">
        <v>30</v>
      </c>
      <c r="E410" t="s">
        <v>37</v>
      </c>
      <c r="F410" t="s">
        <v>40</v>
      </c>
      <c r="G410">
        <v>2</v>
      </c>
      <c r="H410" s="12">
        <v>387.05</v>
      </c>
      <c r="I410" t="s">
        <v>15</v>
      </c>
      <c r="J410" t="s">
        <v>977</v>
      </c>
      <c r="K410">
        <v>5</v>
      </c>
      <c r="M410">
        <v>68</v>
      </c>
      <c r="N410" s="21">
        <f t="shared" si="12"/>
        <v>774.1</v>
      </c>
      <c r="O410" s="21">
        <f t="shared" si="13"/>
        <v>232.23</v>
      </c>
    </row>
    <row r="411" spans="1:15" x14ac:dyDescent="0.3">
      <c r="A411">
        <v>21565</v>
      </c>
      <c r="B411" s="1">
        <v>45517</v>
      </c>
      <c r="C411">
        <v>499</v>
      </c>
      <c r="D411">
        <v>50</v>
      </c>
      <c r="E411" t="s">
        <v>18</v>
      </c>
      <c r="F411" t="s">
        <v>19</v>
      </c>
      <c r="G411">
        <v>4</v>
      </c>
      <c r="H411" s="12">
        <v>484.81</v>
      </c>
      <c r="I411" t="s">
        <v>15</v>
      </c>
      <c r="J411" t="s">
        <v>81</v>
      </c>
      <c r="L411" t="s">
        <v>17</v>
      </c>
      <c r="M411">
        <v>43</v>
      </c>
      <c r="N411" s="21">
        <f t="shared" si="12"/>
        <v>1939.24</v>
      </c>
      <c r="O411" s="21">
        <f t="shared" si="13"/>
        <v>581.77199999999993</v>
      </c>
    </row>
    <row r="412" spans="1:15" x14ac:dyDescent="0.3">
      <c r="A412">
        <v>11849</v>
      </c>
      <c r="B412" s="1">
        <v>45518</v>
      </c>
      <c r="C412">
        <v>141</v>
      </c>
      <c r="D412">
        <v>40</v>
      </c>
      <c r="E412" t="s">
        <v>24</v>
      </c>
      <c r="F412" t="s">
        <v>65</v>
      </c>
      <c r="G412">
        <v>5</v>
      </c>
      <c r="H412" s="12">
        <v>409.35</v>
      </c>
      <c r="I412" t="s">
        <v>35</v>
      </c>
      <c r="J412" t="s">
        <v>130</v>
      </c>
      <c r="K412">
        <v>4</v>
      </c>
      <c r="M412">
        <v>23</v>
      </c>
      <c r="N412" s="21">
        <f t="shared" si="12"/>
        <v>2046.75</v>
      </c>
      <c r="O412" s="21">
        <f t="shared" si="13"/>
        <v>614.02499999999998</v>
      </c>
    </row>
    <row r="413" spans="1:15" x14ac:dyDescent="0.3">
      <c r="A413">
        <v>79948</v>
      </c>
      <c r="B413" s="1">
        <v>45518</v>
      </c>
      <c r="C413">
        <v>858</v>
      </c>
      <c r="D413">
        <v>40</v>
      </c>
      <c r="E413" t="s">
        <v>24</v>
      </c>
      <c r="F413" t="s">
        <v>63</v>
      </c>
      <c r="G413">
        <v>2</v>
      </c>
      <c r="H413" s="12">
        <v>164.11</v>
      </c>
      <c r="I413" t="s">
        <v>26</v>
      </c>
      <c r="J413" t="s">
        <v>189</v>
      </c>
      <c r="L413" t="s">
        <v>17</v>
      </c>
      <c r="M413">
        <v>66</v>
      </c>
      <c r="N413" s="21">
        <f t="shared" si="12"/>
        <v>328.22</v>
      </c>
      <c r="O413" s="21">
        <f t="shared" si="13"/>
        <v>98.466000000000008</v>
      </c>
    </row>
    <row r="414" spans="1:15" x14ac:dyDescent="0.3">
      <c r="A414">
        <v>35088</v>
      </c>
      <c r="B414" s="1">
        <v>45518</v>
      </c>
      <c r="C414">
        <v>157</v>
      </c>
      <c r="D414">
        <v>30</v>
      </c>
      <c r="E414" t="s">
        <v>37</v>
      </c>
      <c r="F414" t="s">
        <v>68</v>
      </c>
      <c r="G414">
        <v>5</v>
      </c>
      <c r="H414" s="12">
        <v>305.27999999999997</v>
      </c>
      <c r="I414" t="s">
        <v>26</v>
      </c>
      <c r="J414" t="s">
        <v>327</v>
      </c>
      <c r="L414" t="s">
        <v>21</v>
      </c>
      <c r="M414">
        <v>50</v>
      </c>
      <c r="N414" s="21">
        <f t="shared" si="12"/>
        <v>1526.3999999999999</v>
      </c>
      <c r="O414" s="21">
        <f t="shared" si="13"/>
        <v>457.91999999999996</v>
      </c>
    </row>
    <row r="415" spans="1:15" x14ac:dyDescent="0.3">
      <c r="A415">
        <v>14303</v>
      </c>
      <c r="B415" s="1">
        <v>45518</v>
      </c>
      <c r="C415">
        <v>332</v>
      </c>
      <c r="D415">
        <v>10</v>
      </c>
      <c r="E415" t="s">
        <v>13</v>
      </c>
      <c r="F415" t="s">
        <v>32</v>
      </c>
      <c r="G415">
        <v>5</v>
      </c>
      <c r="H415" s="12">
        <v>425.1</v>
      </c>
      <c r="I415" t="s">
        <v>15</v>
      </c>
      <c r="J415" t="s">
        <v>431</v>
      </c>
      <c r="K415">
        <v>4</v>
      </c>
      <c r="L415" t="s">
        <v>17</v>
      </c>
      <c r="M415">
        <v>51</v>
      </c>
      <c r="N415" s="21">
        <f t="shared" si="12"/>
        <v>2125.5</v>
      </c>
      <c r="O415" s="21">
        <f t="shared" si="13"/>
        <v>637.65</v>
      </c>
    </row>
    <row r="416" spans="1:15" x14ac:dyDescent="0.3">
      <c r="A416">
        <v>64326</v>
      </c>
      <c r="B416" s="1">
        <v>45519</v>
      </c>
      <c r="C416">
        <v>348</v>
      </c>
      <c r="D416">
        <v>40</v>
      </c>
      <c r="E416" t="s">
        <v>24</v>
      </c>
      <c r="F416" t="s">
        <v>44</v>
      </c>
      <c r="G416">
        <v>5</v>
      </c>
      <c r="H416" s="12">
        <v>275.88</v>
      </c>
      <c r="I416" t="s">
        <v>26</v>
      </c>
      <c r="J416" t="s">
        <v>135</v>
      </c>
      <c r="L416" t="s">
        <v>17</v>
      </c>
      <c r="M416">
        <v>63</v>
      </c>
      <c r="N416" s="21">
        <f t="shared" si="12"/>
        <v>1379.4</v>
      </c>
      <c r="O416" s="21">
        <f t="shared" si="13"/>
        <v>413.82</v>
      </c>
    </row>
    <row r="417" spans="1:15" x14ac:dyDescent="0.3">
      <c r="A417">
        <v>45453</v>
      </c>
      <c r="B417" s="1">
        <v>45519</v>
      </c>
      <c r="C417">
        <v>363</v>
      </c>
      <c r="D417">
        <v>40</v>
      </c>
      <c r="E417" t="s">
        <v>24</v>
      </c>
      <c r="F417" t="s">
        <v>63</v>
      </c>
      <c r="G417">
        <v>3</v>
      </c>
      <c r="H417" s="12">
        <v>292.74</v>
      </c>
      <c r="I417" t="s">
        <v>35</v>
      </c>
      <c r="J417" t="s">
        <v>171</v>
      </c>
      <c r="L417" t="s">
        <v>21</v>
      </c>
      <c r="M417">
        <v>63</v>
      </c>
      <c r="N417" s="21">
        <f t="shared" si="12"/>
        <v>878.22</v>
      </c>
      <c r="O417" s="21">
        <f t="shared" si="13"/>
        <v>263.46600000000001</v>
      </c>
    </row>
    <row r="418" spans="1:15" x14ac:dyDescent="0.3">
      <c r="A418">
        <v>35603</v>
      </c>
      <c r="B418" s="1">
        <v>45519</v>
      </c>
      <c r="C418">
        <v>177</v>
      </c>
      <c r="D418">
        <v>40</v>
      </c>
      <c r="E418" t="s">
        <v>24</v>
      </c>
      <c r="F418" t="s">
        <v>25</v>
      </c>
      <c r="G418">
        <v>4</v>
      </c>
      <c r="H418" s="12">
        <v>228.81</v>
      </c>
      <c r="I418" t="s">
        <v>26</v>
      </c>
      <c r="J418" t="s">
        <v>200</v>
      </c>
      <c r="K418">
        <v>3</v>
      </c>
      <c r="L418" t="s">
        <v>17</v>
      </c>
      <c r="M418">
        <v>68</v>
      </c>
      <c r="N418" s="21">
        <f t="shared" si="12"/>
        <v>915.24</v>
      </c>
      <c r="O418" s="21">
        <f t="shared" si="13"/>
        <v>274.572</v>
      </c>
    </row>
    <row r="419" spans="1:15" x14ac:dyDescent="0.3">
      <c r="A419">
        <v>23747</v>
      </c>
      <c r="B419" s="1">
        <v>45519</v>
      </c>
      <c r="C419">
        <v>558</v>
      </c>
      <c r="D419">
        <v>10</v>
      </c>
      <c r="E419" t="s">
        <v>13</v>
      </c>
      <c r="F419" t="s">
        <v>111</v>
      </c>
      <c r="G419">
        <v>1</v>
      </c>
      <c r="H419" s="12">
        <v>51.1</v>
      </c>
      <c r="I419" t="s">
        <v>15</v>
      </c>
      <c r="J419" t="s">
        <v>304</v>
      </c>
      <c r="K419">
        <v>2</v>
      </c>
      <c r="M419">
        <v>36</v>
      </c>
      <c r="N419" s="21">
        <f t="shared" si="12"/>
        <v>51.1</v>
      </c>
      <c r="O419" s="21">
        <f t="shared" si="13"/>
        <v>15.33</v>
      </c>
    </row>
    <row r="420" spans="1:15" x14ac:dyDescent="0.3">
      <c r="A420">
        <v>45326</v>
      </c>
      <c r="B420" s="1">
        <v>45519</v>
      </c>
      <c r="C420">
        <v>714</v>
      </c>
      <c r="D420">
        <v>20</v>
      </c>
      <c r="E420" t="s">
        <v>28</v>
      </c>
      <c r="F420" t="s">
        <v>29</v>
      </c>
      <c r="G420">
        <v>2</v>
      </c>
      <c r="H420" s="12">
        <v>329.92</v>
      </c>
      <c r="I420" t="s">
        <v>26</v>
      </c>
      <c r="J420" t="s">
        <v>389</v>
      </c>
      <c r="K420">
        <v>4</v>
      </c>
      <c r="L420" t="s">
        <v>21</v>
      </c>
      <c r="M420">
        <v>41</v>
      </c>
      <c r="N420" s="21">
        <f t="shared" si="12"/>
        <v>659.84</v>
      </c>
      <c r="O420" s="21">
        <f t="shared" si="13"/>
        <v>197.952</v>
      </c>
    </row>
    <row r="421" spans="1:15" x14ac:dyDescent="0.3">
      <c r="A421">
        <v>63051</v>
      </c>
      <c r="B421" s="1">
        <v>45519</v>
      </c>
      <c r="C421">
        <v>525</v>
      </c>
      <c r="D421">
        <v>50</v>
      </c>
      <c r="E421" t="s">
        <v>18</v>
      </c>
      <c r="F421" t="s">
        <v>84</v>
      </c>
      <c r="G421">
        <v>1</v>
      </c>
      <c r="H421" s="12">
        <v>100.18</v>
      </c>
      <c r="I421" t="s">
        <v>35</v>
      </c>
      <c r="J421" t="s">
        <v>443</v>
      </c>
      <c r="K421">
        <v>5</v>
      </c>
      <c r="M421">
        <v>33</v>
      </c>
      <c r="N421" s="21">
        <f t="shared" si="12"/>
        <v>100.18</v>
      </c>
      <c r="O421" s="21">
        <f t="shared" si="13"/>
        <v>30.054000000000002</v>
      </c>
    </row>
    <row r="422" spans="1:15" x14ac:dyDescent="0.3">
      <c r="A422">
        <v>37401</v>
      </c>
      <c r="B422" s="1">
        <v>45520</v>
      </c>
      <c r="C422">
        <v>861</v>
      </c>
      <c r="D422">
        <v>50</v>
      </c>
      <c r="E422" t="s">
        <v>18</v>
      </c>
      <c r="F422" t="s">
        <v>19</v>
      </c>
      <c r="G422">
        <v>1</v>
      </c>
      <c r="H422" s="12">
        <v>376.51</v>
      </c>
      <c r="I422" t="s">
        <v>15</v>
      </c>
      <c r="J422" t="s">
        <v>86</v>
      </c>
      <c r="L422" t="s">
        <v>17</v>
      </c>
      <c r="M422">
        <v>63</v>
      </c>
      <c r="N422" s="21">
        <f t="shared" si="12"/>
        <v>376.51</v>
      </c>
      <c r="O422" s="21">
        <f t="shared" si="13"/>
        <v>112.95299999999999</v>
      </c>
    </row>
    <row r="423" spans="1:15" x14ac:dyDescent="0.3">
      <c r="A423">
        <v>44592</v>
      </c>
      <c r="B423" s="1">
        <v>45521</v>
      </c>
      <c r="C423">
        <v>909</v>
      </c>
      <c r="D423">
        <v>50</v>
      </c>
      <c r="E423" t="s">
        <v>18</v>
      </c>
      <c r="F423" t="s">
        <v>19</v>
      </c>
      <c r="G423">
        <v>2</v>
      </c>
      <c r="H423" s="12">
        <v>414.37</v>
      </c>
      <c r="I423" t="s">
        <v>15</v>
      </c>
      <c r="J423" t="s">
        <v>350</v>
      </c>
      <c r="M423">
        <v>66</v>
      </c>
      <c r="N423" s="21">
        <f t="shared" si="12"/>
        <v>828.74</v>
      </c>
      <c r="O423" s="21">
        <f t="shared" si="13"/>
        <v>248.62199999999999</v>
      </c>
    </row>
    <row r="424" spans="1:15" x14ac:dyDescent="0.3">
      <c r="A424">
        <v>41135</v>
      </c>
      <c r="B424" s="1">
        <v>45521</v>
      </c>
      <c r="C424">
        <v>862</v>
      </c>
      <c r="D424">
        <v>30</v>
      </c>
      <c r="E424" t="s">
        <v>37</v>
      </c>
      <c r="F424" t="s">
        <v>68</v>
      </c>
      <c r="G424">
        <v>4</v>
      </c>
      <c r="H424" s="12">
        <v>57.84</v>
      </c>
      <c r="I424" t="s">
        <v>35</v>
      </c>
      <c r="J424" t="s">
        <v>490</v>
      </c>
      <c r="K424">
        <v>5</v>
      </c>
      <c r="L424" t="s">
        <v>21</v>
      </c>
      <c r="M424">
        <v>23</v>
      </c>
      <c r="N424" s="21">
        <f t="shared" si="12"/>
        <v>231.36</v>
      </c>
      <c r="O424" s="21">
        <f t="shared" si="13"/>
        <v>69.408000000000001</v>
      </c>
    </row>
    <row r="425" spans="1:15" x14ac:dyDescent="0.3">
      <c r="A425">
        <v>27140</v>
      </c>
      <c r="B425" s="1">
        <v>45521</v>
      </c>
      <c r="C425">
        <v>260</v>
      </c>
      <c r="D425">
        <v>20</v>
      </c>
      <c r="E425" t="s">
        <v>28</v>
      </c>
      <c r="F425" t="s">
        <v>77</v>
      </c>
      <c r="G425">
        <v>1</v>
      </c>
      <c r="H425" s="12">
        <v>408.63</v>
      </c>
      <c r="I425" t="s">
        <v>15</v>
      </c>
      <c r="J425" t="s">
        <v>514</v>
      </c>
      <c r="K425">
        <v>4</v>
      </c>
      <c r="L425" t="s">
        <v>17</v>
      </c>
      <c r="M425">
        <v>21</v>
      </c>
      <c r="N425" s="21">
        <f t="shared" si="12"/>
        <v>408.63</v>
      </c>
      <c r="O425" s="21">
        <f t="shared" si="13"/>
        <v>122.589</v>
      </c>
    </row>
    <row r="426" spans="1:15" x14ac:dyDescent="0.3">
      <c r="A426">
        <v>62597</v>
      </c>
      <c r="B426" s="1">
        <v>45521</v>
      </c>
      <c r="C426">
        <v>828</v>
      </c>
      <c r="D426">
        <v>20</v>
      </c>
      <c r="E426" t="s">
        <v>28</v>
      </c>
      <c r="F426" t="s">
        <v>77</v>
      </c>
      <c r="G426">
        <v>1</v>
      </c>
      <c r="H426" s="12">
        <v>132.34</v>
      </c>
      <c r="I426" t="s">
        <v>35</v>
      </c>
      <c r="J426" t="s">
        <v>517</v>
      </c>
      <c r="K426">
        <v>3</v>
      </c>
      <c r="L426" t="s">
        <v>21</v>
      </c>
      <c r="M426">
        <v>54</v>
      </c>
      <c r="N426" s="21">
        <f t="shared" si="12"/>
        <v>132.34</v>
      </c>
      <c r="O426" s="21">
        <f t="shared" si="13"/>
        <v>39.701999999999998</v>
      </c>
    </row>
    <row r="427" spans="1:15" x14ac:dyDescent="0.3">
      <c r="A427">
        <v>78206</v>
      </c>
      <c r="B427" s="1">
        <v>45521</v>
      </c>
      <c r="C427">
        <v>610</v>
      </c>
      <c r="D427">
        <v>30</v>
      </c>
      <c r="E427" t="s">
        <v>37</v>
      </c>
      <c r="F427" t="s">
        <v>58</v>
      </c>
      <c r="G427">
        <v>5</v>
      </c>
      <c r="H427" s="12">
        <v>212.85</v>
      </c>
      <c r="I427" t="s">
        <v>35</v>
      </c>
      <c r="J427" t="s">
        <v>619</v>
      </c>
      <c r="K427">
        <v>1</v>
      </c>
      <c r="L427" t="s">
        <v>21</v>
      </c>
      <c r="M427">
        <v>18</v>
      </c>
      <c r="N427" s="21">
        <f t="shared" si="12"/>
        <v>1064.25</v>
      </c>
      <c r="O427" s="21">
        <f t="shared" si="13"/>
        <v>319.27499999999998</v>
      </c>
    </row>
    <row r="428" spans="1:15" x14ac:dyDescent="0.3">
      <c r="A428">
        <v>90329</v>
      </c>
      <c r="B428" s="1">
        <v>45521</v>
      </c>
      <c r="C428">
        <v>114</v>
      </c>
      <c r="D428">
        <v>30</v>
      </c>
      <c r="E428" t="s">
        <v>37</v>
      </c>
      <c r="F428" t="s">
        <v>40</v>
      </c>
      <c r="G428">
        <v>4</v>
      </c>
      <c r="H428" s="12">
        <v>379.26</v>
      </c>
      <c r="I428" t="s">
        <v>15</v>
      </c>
      <c r="J428" t="s">
        <v>718</v>
      </c>
      <c r="K428">
        <v>3</v>
      </c>
      <c r="L428" t="s">
        <v>17</v>
      </c>
      <c r="M428">
        <v>49</v>
      </c>
      <c r="N428" s="21">
        <f t="shared" si="12"/>
        <v>1517.04</v>
      </c>
      <c r="O428" s="21">
        <f t="shared" si="13"/>
        <v>455.11199999999997</v>
      </c>
    </row>
    <row r="429" spans="1:15" x14ac:dyDescent="0.3">
      <c r="A429">
        <v>19180</v>
      </c>
      <c r="B429" s="1">
        <v>45521</v>
      </c>
      <c r="C429">
        <v>427</v>
      </c>
      <c r="D429">
        <v>30</v>
      </c>
      <c r="E429" t="s">
        <v>37</v>
      </c>
      <c r="F429" t="s">
        <v>38</v>
      </c>
      <c r="G429">
        <v>2</v>
      </c>
      <c r="H429" s="12">
        <v>351.84</v>
      </c>
      <c r="I429" t="s">
        <v>26</v>
      </c>
      <c r="J429" t="s">
        <v>781</v>
      </c>
      <c r="K429">
        <v>1</v>
      </c>
      <c r="L429" t="s">
        <v>17</v>
      </c>
      <c r="M429">
        <v>50</v>
      </c>
      <c r="N429" s="21">
        <f t="shared" si="12"/>
        <v>703.68</v>
      </c>
      <c r="O429" s="21">
        <f t="shared" si="13"/>
        <v>211.10399999999998</v>
      </c>
    </row>
    <row r="430" spans="1:15" x14ac:dyDescent="0.3">
      <c r="A430">
        <v>56744</v>
      </c>
      <c r="B430" s="1">
        <v>45521</v>
      </c>
      <c r="C430">
        <v>798</v>
      </c>
      <c r="D430">
        <v>50</v>
      </c>
      <c r="E430" t="s">
        <v>18</v>
      </c>
      <c r="F430" t="s">
        <v>19</v>
      </c>
      <c r="G430">
        <v>5</v>
      </c>
      <c r="H430" s="12">
        <v>301.66000000000003</v>
      </c>
      <c r="I430" t="s">
        <v>26</v>
      </c>
      <c r="J430" t="s">
        <v>893</v>
      </c>
      <c r="L430" t="s">
        <v>17</v>
      </c>
      <c r="M430">
        <v>27</v>
      </c>
      <c r="N430" s="21">
        <f t="shared" si="12"/>
        <v>1508.3000000000002</v>
      </c>
      <c r="O430" s="21">
        <f t="shared" si="13"/>
        <v>452.49000000000007</v>
      </c>
    </row>
    <row r="431" spans="1:15" x14ac:dyDescent="0.3">
      <c r="A431">
        <v>99414</v>
      </c>
      <c r="B431" s="1">
        <v>45521</v>
      </c>
      <c r="C431">
        <v>186</v>
      </c>
      <c r="D431">
        <v>20</v>
      </c>
      <c r="E431" t="s">
        <v>28</v>
      </c>
      <c r="F431" t="s">
        <v>77</v>
      </c>
      <c r="G431">
        <v>4</v>
      </c>
      <c r="H431" s="12">
        <v>365.04</v>
      </c>
      <c r="I431" t="s">
        <v>26</v>
      </c>
      <c r="J431" t="s">
        <v>978</v>
      </c>
      <c r="K431">
        <v>3</v>
      </c>
      <c r="L431" t="s">
        <v>17</v>
      </c>
      <c r="M431">
        <v>55</v>
      </c>
      <c r="N431" s="21">
        <f t="shared" si="12"/>
        <v>1460.16</v>
      </c>
      <c r="O431" s="21">
        <f t="shared" si="13"/>
        <v>438.048</v>
      </c>
    </row>
    <row r="432" spans="1:15" x14ac:dyDescent="0.3">
      <c r="A432">
        <v>49509</v>
      </c>
      <c r="B432" s="1">
        <v>45522</v>
      </c>
      <c r="C432">
        <v>508</v>
      </c>
      <c r="D432">
        <v>10</v>
      </c>
      <c r="E432" t="s">
        <v>13</v>
      </c>
      <c r="F432" t="s">
        <v>111</v>
      </c>
      <c r="G432">
        <v>1</v>
      </c>
      <c r="H432" s="12">
        <v>194.81</v>
      </c>
      <c r="I432" t="s">
        <v>35</v>
      </c>
      <c r="J432" t="s">
        <v>432</v>
      </c>
      <c r="K432">
        <v>5</v>
      </c>
      <c r="L432" t="s">
        <v>17</v>
      </c>
      <c r="M432">
        <v>58</v>
      </c>
      <c r="N432" s="21">
        <f t="shared" si="12"/>
        <v>194.81</v>
      </c>
      <c r="O432" s="21">
        <f t="shared" si="13"/>
        <v>58.442999999999998</v>
      </c>
    </row>
    <row r="433" spans="1:15" x14ac:dyDescent="0.3">
      <c r="A433">
        <v>33753</v>
      </c>
      <c r="B433" s="1">
        <v>45522</v>
      </c>
      <c r="C433">
        <v>531</v>
      </c>
      <c r="D433">
        <v>50</v>
      </c>
      <c r="E433" t="s">
        <v>18</v>
      </c>
      <c r="F433" t="s">
        <v>19</v>
      </c>
      <c r="G433">
        <v>3</v>
      </c>
      <c r="H433" s="12">
        <v>477.5</v>
      </c>
      <c r="I433" t="s">
        <v>15</v>
      </c>
      <c r="J433" t="s">
        <v>556</v>
      </c>
      <c r="K433">
        <v>5</v>
      </c>
      <c r="L433" t="s">
        <v>17</v>
      </c>
      <c r="M433">
        <v>56</v>
      </c>
      <c r="N433" s="21">
        <f t="shared" si="12"/>
        <v>1432.5</v>
      </c>
      <c r="O433" s="21">
        <f t="shared" si="13"/>
        <v>429.75</v>
      </c>
    </row>
    <row r="434" spans="1:15" x14ac:dyDescent="0.3">
      <c r="A434">
        <v>54627</v>
      </c>
      <c r="B434" s="1">
        <v>45522</v>
      </c>
      <c r="C434">
        <v>297</v>
      </c>
      <c r="D434">
        <v>30</v>
      </c>
      <c r="E434" t="s">
        <v>37</v>
      </c>
      <c r="F434" t="s">
        <v>95</v>
      </c>
      <c r="G434">
        <v>1</v>
      </c>
      <c r="H434" s="12">
        <v>52.33</v>
      </c>
      <c r="I434" t="s">
        <v>26</v>
      </c>
      <c r="J434" t="s">
        <v>557</v>
      </c>
      <c r="L434" t="s">
        <v>21</v>
      </c>
      <c r="M434">
        <v>42</v>
      </c>
      <c r="N434" s="21">
        <f t="shared" si="12"/>
        <v>52.33</v>
      </c>
      <c r="O434" s="21">
        <f t="shared" si="13"/>
        <v>15.698999999999998</v>
      </c>
    </row>
    <row r="435" spans="1:15" x14ac:dyDescent="0.3">
      <c r="A435">
        <v>99026</v>
      </c>
      <c r="B435" s="1">
        <v>45522</v>
      </c>
      <c r="C435">
        <v>665</v>
      </c>
      <c r="D435">
        <v>20</v>
      </c>
      <c r="E435" t="s">
        <v>28</v>
      </c>
      <c r="F435" t="s">
        <v>29</v>
      </c>
      <c r="G435">
        <v>5</v>
      </c>
      <c r="H435" s="12">
        <v>470.2</v>
      </c>
      <c r="I435" t="s">
        <v>15</v>
      </c>
      <c r="J435" t="s">
        <v>760</v>
      </c>
      <c r="K435">
        <v>1</v>
      </c>
      <c r="L435" t="s">
        <v>17</v>
      </c>
      <c r="M435">
        <v>34</v>
      </c>
      <c r="N435" s="21">
        <f t="shared" si="12"/>
        <v>2351</v>
      </c>
      <c r="O435" s="21">
        <f t="shared" si="13"/>
        <v>705.3</v>
      </c>
    </row>
    <row r="436" spans="1:15" x14ac:dyDescent="0.3">
      <c r="A436">
        <v>21731</v>
      </c>
      <c r="B436" s="1">
        <v>45523</v>
      </c>
      <c r="C436">
        <v>206</v>
      </c>
      <c r="D436">
        <v>50</v>
      </c>
      <c r="E436" t="s">
        <v>18</v>
      </c>
      <c r="F436" t="s">
        <v>22</v>
      </c>
      <c r="G436">
        <v>5</v>
      </c>
      <c r="H436" s="12">
        <v>22.86</v>
      </c>
      <c r="I436" t="s">
        <v>35</v>
      </c>
      <c r="J436" t="s">
        <v>258</v>
      </c>
      <c r="K436">
        <v>5</v>
      </c>
      <c r="L436" t="s">
        <v>21</v>
      </c>
      <c r="M436">
        <v>34</v>
      </c>
      <c r="N436" s="21">
        <f t="shared" si="12"/>
        <v>114.3</v>
      </c>
      <c r="O436" s="21">
        <f t="shared" si="13"/>
        <v>34.29</v>
      </c>
    </row>
    <row r="437" spans="1:15" x14ac:dyDescent="0.3">
      <c r="A437">
        <v>23420</v>
      </c>
      <c r="B437" s="1">
        <v>45523</v>
      </c>
      <c r="C437">
        <v>508</v>
      </c>
      <c r="D437">
        <v>20</v>
      </c>
      <c r="E437" t="s">
        <v>28</v>
      </c>
      <c r="F437" t="s">
        <v>51</v>
      </c>
      <c r="G437">
        <v>4</v>
      </c>
      <c r="H437" s="12">
        <v>498.66</v>
      </c>
      <c r="I437" t="s">
        <v>15</v>
      </c>
      <c r="J437" t="s">
        <v>478</v>
      </c>
      <c r="K437">
        <v>5</v>
      </c>
      <c r="L437" t="s">
        <v>17</v>
      </c>
      <c r="M437">
        <v>56</v>
      </c>
      <c r="N437" s="21">
        <f t="shared" si="12"/>
        <v>1994.64</v>
      </c>
      <c r="O437" s="21">
        <f t="shared" si="13"/>
        <v>598.39200000000005</v>
      </c>
    </row>
    <row r="438" spans="1:15" x14ac:dyDescent="0.3">
      <c r="A438">
        <v>70317</v>
      </c>
      <c r="B438" s="1">
        <v>45524</v>
      </c>
      <c r="C438">
        <v>151</v>
      </c>
      <c r="D438">
        <v>30</v>
      </c>
      <c r="E438" t="s">
        <v>37</v>
      </c>
      <c r="F438" t="s">
        <v>95</v>
      </c>
      <c r="G438">
        <v>1</v>
      </c>
      <c r="H438" s="12">
        <v>357.67</v>
      </c>
      <c r="I438" t="s">
        <v>35</v>
      </c>
      <c r="J438" t="s">
        <v>338</v>
      </c>
      <c r="K438">
        <v>4</v>
      </c>
      <c r="L438" t="s">
        <v>17</v>
      </c>
      <c r="M438">
        <v>27</v>
      </c>
      <c r="N438" s="21">
        <f t="shared" si="12"/>
        <v>357.67</v>
      </c>
      <c r="O438" s="21">
        <f t="shared" si="13"/>
        <v>107.301</v>
      </c>
    </row>
    <row r="439" spans="1:15" x14ac:dyDescent="0.3">
      <c r="A439">
        <v>60024</v>
      </c>
      <c r="B439" s="1">
        <v>45525</v>
      </c>
      <c r="C439">
        <v>643</v>
      </c>
      <c r="D439">
        <v>50</v>
      </c>
      <c r="E439" t="s">
        <v>18</v>
      </c>
      <c r="F439" t="s">
        <v>34</v>
      </c>
      <c r="G439">
        <v>5</v>
      </c>
      <c r="H439" s="12">
        <v>234.44</v>
      </c>
      <c r="I439" t="s">
        <v>15</v>
      </c>
      <c r="J439" t="s">
        <v>244</v>
      </c>
      <c r="L439" t="s">
        <v>17</v>
      </c>
      <c r="M439">
        <v>71</v>
      </c>
      <c r="N439" s="21">
        <f t="shared" si="12"/>
        <v>1172.2</v>
      </c>
      <c r="O439" s="21">
        <f t="shared" si="13"/>
        <v>351.66</v>
      </c>
    </row>
    <row r="440" spans="1:15" x14ac:dyDescent="0.3">
      <c r="A440">
        <v>72471</v>
      </c>
      <c r="B440" s="1">
        <v>45526</v>
      </c>
      <c r="C440">
        <v>557</v>
      </c>
      <c r="D440">
        <v>30</v>
      </c>
      <c r="E440" t="s">
        <v>37</v>
      </c>
      <c r="F440" t="s">
        <v>38</v>
      </c>
      <c r="G440">
        <v>3</v>
      </c>
      <c r="H440" s="12">
        <v>116.13</v>
      </c>
      <c r="I440" t="s">
        <v>35</v>
      </c>
      <c r="J440" t="s">
        <v>774</v>
      </c>
      <c r="K440">
        <v>5</v>
      </c>
      <c r="L440" t="s">
        <v>17</v>
      </c>
      <c r="M440">
        <v>69</v>
      </c>
      <c r="N440" s="21">
        <f t="shared" si="12"/>
        <v>348.39</v>
      </c>
      <c r="O440" s="21">
        <f t="shared" si="13"/>
        <v>104.517</v>
      </c>
    </row>
    <row r="441" spans="1:15" x14ac:dyDescent="0.3">
      <c r="A441">
        <v>32285</v>
      </c>
      <c r="B441" s="1">
        <v>45527</v>
      </c>
      <c r="C441">
        <v>978</v>
      </c>
      <c r="D441">
        <v>10</v>
      </c>
      <c r="E441" t="s">
        <v>13</v>
      </c>
      <c r="F441" t="s">
        <v>47</v>
      </c>
      <c r="G441">
        <v>1</v>
      </c>
      <c r="H441" s="12">
        <v>127.53</v>
      </c>
      <c r="I441" t="s">
        <v>35</v>
      </c>
      <c r="J441" t="s">
        <v>176</v>
      </c>
      <c r="L441" t="s">
        <v>21</v>
      </c>
      <c r="M441">
        <v>43</v>
      </c>
      <c r="N441" s="21">
        <f t="shared" si="12"/>
        <v>127.53</v>
      </c>
      <c r="O441" s="21">
        <f t="shared" si="13"/>
        <v>38.259</v>
      </c>
    </row>
    <row r="442" spans="1:15" x14ac:dyDescent="0.3">
      <c r="A442">
        <v>61294</v>
      </c>
      <c r="B442" s="1">
        <v>45527</v>
      </c>
      <c r="C442">
        <v>645</v>
      </c>
      <c r="D442">
        <v>40</v>
      </c>
      <c r="E442" t="s">
        <v>24</v>
      </c>
      <c r="F442" t="s">
        <v>65</v>
      </c>
      <c r="G442">
        <v>2</v>
      </c>
      <c r="H442" s="12">
        <v>229.57</v>
      </c>
      <c r="I442" t="s">
        <v>26</v>
      </c>
      <c r="J442" t="s">
        <v>700</v>
      </c>
      <c r="K442">
        <v>4</v>
      </c>
      <c r="L442" t="s">
        <v>21</v>
      </c>
      <c r="M442">
        <v>38</v>
      </c>
      <c r="N442" s="21">
        <f t="shared" si="12"/>
        <v>459.14</v>
      </c>
      <c r="O442" s="21">
        <f t="shared" si="13"/>
        <v>137.74199999999999</v>
      </c>
    </row>
    <row r="443" spans="1:15" x14ac:dyDescent="0.3">
      <c r="A443">
        <v>24147</v>
      </c>
      <c r="B443" s="1">
        <v>45527</v>
      </c>
      <c r="C443">
        <v>568</v>
      </c>
      <c r="D443">
        <v>30</v>
      </c>
      <c r="E443" t="s">
        <v>37</v>
      </c>
      <c r="F443" t="s">
        <v>95</v>
      </c>
      <c r="G443">
        <v>1</v>
      </c>
      <c r="H443" s="12">
        <v>268.26</v>
      </c>
      <c r="I443" t="s">
        <v>35</v>
      </c>
      <c r="J443" t="s">
        <v>958</v>
      </c>
      <c r="K443">
        <v>1</v>
      </c>
      <c r="L443" t="s">
        <v>21</v>
      </c>
      <c r="M443">
        <v>29</v>
      </c>
      <c r="N443" s="21">
        <f t="shared" si="12"/>
        <v>268.26</v>
      </c>
      <c r="O443" s="21">
        <f t="shared" si="13"/>
        <v>80.477999999999994</v>
      </c>
    </row>
    <row r="444" spans="1:15" x14ac:dyDescent="0.3">
      <c r="A444">
        <v>82916</v>
      </c>
      <c r="B444" s="1">
        <v>45528</v>
      </c>
      <c r="C444">
        <v>180</v>
      </c>
      <c r="D444">
        <v>30</v>
      </c>
      <c r="E444" t="s">
        <v>37</v>
      </c>
      <c r="F444" t="s">
        <v>40</v>
      </c>
      <c r="G444">
        <v>1</v>
      </c>
      <c r="H444" s="12">
        <v>375.92</v>
      </c>
      <c r="I444" t="s">
        <v>26</v>
      </c>
      <c r="J444" t="s">
        <v>209</v>
      </c>
      <c r="K444">
        <v>5</v>
      </c>
      <c r="L444" t="s">
        <v>17</v>
      </c>
      <c r="M444">
        <v>73</v>
      </c>
      <c r="N444" s="21">
        <f t="shared" si="12"/>
        <v>375.92</v>
      </c>
      <c r="O444" s="21">
        <f t="shared" si="13"/>
        <v>112.776</v>
      </c>
    </row>
    <row r="445" spans="1:15" x14ac:dyDescent="0.3">
      <c r="A445">
        <v>25309</v>
      </c>
      <c r="B445" s="1">
        <v>45528</v>
      </c>
      <c r="C445">
        <v>977</v>
      </c>
      <c r="D445">
        <v>40</v>
      </c>
      <c r="E445" t="s">
        <v>24</v>
      </c>
      <c r="F445" t="s">
        <v>25</v>
      </c>
      <c r="G445">
        <v>3</v>
      </c>
      <c r="H445" s="12">
        <v>368.91</v>
      </c>
      <c r="I445" t="s">
        <v>35</v>
      </c>
      <c r="J445" t="s">
        <v>559</v>
      </c>
      <c r="K445">
        <v>5</v>
      </c>
      <c r="L445" t="s">
        <v>21</v>
      </c>
      <c r="M445">
        <v>52</v>
      </c>
      <c r="N445" s="21">
        <f t="shared" si="12"/>
        <v>1106.73</v>
      </c>
      <c r="O445" s="21">
        <f t="shared" si="13"/>
        <v>332.01900000000001</v>
      </c>
    </row>
    <row r="446" spans="1:15" x14ac:dyDescent="0.3">
      <c r="A446">
        <v>42991</v>
      </c>
      <c r="B446" s="1">
        <v>45528</v>
      </c>
      <c r="C446">
        <v>144</v>
      </c>
      <c r="D446">
        <v>30</v>
      </c>
      <c r="E446" t="s">
        <v>37</v>
      </c>
      <c r="F446" t="s">
        <v>68</v>
      </c>
      <c r="G446">
        <v>1</v>
      </c>
      <c r="H446" s="12">
        <v>261.60000000000002</v>
      </c>
      <c r="I446" t="s">
        <v>35</v>
      </c>
      <c r="J446" t="s">
        <v>572</v>
      </c>
      <c r="K446">
        <v>2</v>
      </c>
      <c r="L446" t="s">
        <v>17</v>
      </c>
      <c r="M446">
        <v>44</v>
      </c>
      <c r="N446" s="21">
        <f t="shared" si="12"/>
        <v>261.60000000000002</v>
      </c>
      <c r="O446" s="21">
        <f t="shared" si="13"/>
        <v>78.48</v>
      </c>
    </row>
    <row r="447" spans="1:15" x14ac:dyDescent="0.3">
      <c r="A447">
        <v>99265</v>
      </c>
      <c r="B447" s="1">
        <v>45528</v>
      </c>
      <c r="C447">
        <v>532</v>
      </c>
      <c r="D447">
        <v>10</v>
      </c>
      <c r="E447" t="s">
        <v>13</v>
      </c>
      <c r="F447" t="s">
        <v>42</v>
      </c>
      <c r="G447">
        <v>5</v>
      </c>
      <c r="H447" s="12">
        <v>266.04000000000002</v>
      </c>
      <c r="I447" t="s">
        <v>35</v>
      </c>
      <c r="J447" t="s">
        <v>785</v>
      </c>
      <c r="L447" t="s">
        <v>17</v>
      </c>
      <c r="M447">
        <v>43</v>
      </c>
      <c r="N447" s="21">
        <f t="shared" si="12"/>
        <v>1330.2</v>
      </c>
      <c r="O447" s="21">
        <f t="shared" si="13"/>
        <v>399.06</v>
      </c>
    </row>
    <row r="448" spans="1:15" x14ac:dyDescent="0.3">
      <c r="A448">
        <v>73481</v>
      </c>
      <c r="B448" s="1">
        <v>45528</v>
      </c>
      <c r="C448">
        <v>538</v>
      </c>
      <c r="D448">
        <v>30</v>
      </c>
      <c r="E448" t="s">
        <v>37</v>
      </c>
      <c r="F448" t="s">
        <v>38</v>
      </c>
      <c r="G448">
        <v>4</v>
      </c>
      <c r="H448" s="12">
        <v>197.51</v>
      </c>
      <c r="I448" t="s">
        <v>15</v>
      </c>
      <c r="J448" t="s">
        <v>805</v>
      </c>
      <c r="K448">
        <v>5</v>
      </c>
      <c r="L448" t="s">
        <v>21</v>
      </c>
      <c r="M448">
        <v>22</v>
      </c>
      <c r="N448" s="21">
        <f t="shared" si="12"/>
        <v>790.04</v>
      </c>
      <c r="O448" s="21">
        <f t="shared" si="13"/>
        <v>237.01199999999997</v>
      </c>
    </row>
    <row r="449" spans="1:15" x14ac:dyDescent="0.3">
      <c r="A449">
        <v>45719</v>
      </c>
      <c r="B449" s="1">
        <v>45529</v>
      </c>
      <c r="C449">
        <v>329</v>
      </c>
      <c r="D449">
        <v>40</v>
      </c>
      <c r="E449" t="s">
        <v>24</v>
      </c>
      <c r="F449" t="s">
        <v>65</v>
      </c>
      <c r="G449">
        <v>3</v>
      </c>
      <c r="H449" s="12">
        <v>348.31</v>
      </c>
      <c r="I449" t="s">
        <v>15</v>
      </c>
      <c r="J449" t="s">
        <v>487</v>
      </c>
      <c r="K449">
        <v>3</v>
      </c>
      <c r="L449" t="s">
        <v>21</v>
      </c>
      <c r="M449">
        <v>26</v>
      </c>
      <c r="N449" s="21">
        <f t="shared" si="12"/>
        <v>1044.93</v>
      </c>
      <c r="O449" s="21">
        <f t="shared" si="13"/>
        <v>313.47899999999998</v>
      </c>
    </row>
    <row r="450" spans="1:15" x14ac:dyDescent="0.3">
      <c r="A450">
        <v>56269</v>
      </c>
      <c r="B450" s="1">
        <v>45529</v>
      </c>
      <c r="C450">
        <v>575</v>
      </c>
      <c r="D450">
        <v>30</v>
      </c>
      <c r="E450" t="s">
        <v>37</v>
      </c>
      <c r="F450" t="s">
        <v>95</v>
      </c>
      <c r="G450">
        <v>5</v>
      </c>
      <c r="H450" s="12">
        <v>155.72999999999999</v>
      </c>
      <c r="I450" t="s">
        <v>15</v>
      </c>
      <c r="J450" t="s">
        <v>612</v>
      </c>
      <c r="L450" t="s">
        <v>17</v>
      </c>
      <c r="M450">
        <v>57</v>
      </c>
      <c r="N450" s="21">
        <f t="shared" si="12"/>
        <v>778.65</v>
      </c>
      <c r="O450" s="21">
        <f t="shared" si="13"/>
        <v>233.59499999999997</v>
      </c>
    </row>
    <row r="451" spans="1:15" x14ac:dyDescent="0.3">
      <c r="A451">
        <v>98186</v>
      </c>
      <c r="B451" s="1">
        <v>45529</v>
      </c>
      <c r="C451">
        <v>606</v>
      </c>
      <c r="D451">
        <v>50</v>
      </c>
      <c r="E451" t="s">
        <v>18</v>
      </c>
      <c r="F451" t="s">
        <v>84</v>
      </c>
      <c r="G451">
        <v>1</v>
      </c>
      <c r="H451" s="12">
        <v>134.35</v>
      </c>
      <c r="I451" t="s">
        <v>26</v>
      </c>
      <c r="J451" t="s">
        <v>686</v>
      </c>
      <c r="K451">
        <v>4</v>
      </c>
      <c r="L451" t="s">
        <v>17</v>
      </c>
      <c r="M451">
        <v>47</v>
      </c>
      <c r="N451" s="21">
        <f t="shared" ref="N451:N514" si="14">H451*G451</f>
        <v>134.35</v>
      </c>
      <c r="O451" s="21">
        <f t="shared" ref="O451:O514" si="15">N451*0.3</f>
        <v>40.305</v>
      </c>
    </row>
    <row r="452" spans="1:15" x14ac:dyDescent="0.3">
      <c r="A452">
        <v>47335</v>
      </c>
      <c r="B452" s="1">
        <v>45529</v>
      </c>
      <c r="C452">
        <v>776</v>
      </c>
      <c r="D452">
        <v>10</v>
      </c>
      <c r="E452" t="s">
        <v>13</v>
      </c>
      <c r="F452" t="s">
        <v>32</v>
      </c>
      <c r="G452">
        <v>5</v>
      </c>
      <c r="H452" s="12">
        <v>310.77999999999997</v>
      </c>
      <c r="I452" t="s">
        <v>35</v>
      </c>
      <c r="J452" t="s">
        <v>141</v>
      </c>
      <c r="K452">
        <v>5</v>
      </c>
      <c r="L452" t="s">
        <v>17</v>
      </c>
      <c r="M452">
        <v>49</v>
      </c>
      <c r="N452" s="21">
        <f t="shared" si="14"/>
        <v>1553.8999999999999</v>
      </c>
      <c r="O452" s="21">
        <f t="shared" si="15"/>
        <v>466.16999999999996</v>
      </c>
    </row>
    <row r="453" spans="1:15" x14ac:dyDescent="0.3">
      <c r="A453">
        <v>83687</v>
      </c>
      <c r="B453" s="1">
        <v>45530</v>
      </c>
      <c r="C453">
        <v>115</v>
      </c>
      <c r="D453">
        <v>50</v>
      </c>
      <c r="E453" t="s">
        <v>18</v>
      </c>
      <c r="F453" t="s">
        <v>22</v>
      </c>
      <c r="G453">
        <v>5</v>
      </c>
      <c r="H453" s="12">
        <v>475.89</v>
      </c>
      <c r="I453" t="s">
        <v>35</v>
      </c>
      <c r="J453" t="s">
        <v>184</v>
      </c>
      <c r="K453">
        <v>5</v>
      </c>
      <c r="L453" t="s">
        <v>17</v>
      </c>
      <c r="M453">
        <v>52</v>
      </c>
      <c r="N453" s="21">
        <f t="shared" si="14"/>
        <v>2379.4499999999998</v>
      </c>
      <c r="O453" s="21">
        <f t="shared" si="15"/>
        <v>713.83499999999992</v>
      </c>
    </row>
    <row r="454" spans="1:15" x14ac:dyDescent="0.3">
      <c r="A454">
        <v>50848</v>
      </c>
      <c r="B454" s="1">
        <v>45531</v>
      </c>
      <c r="C454">
        <v>721</v>
      </c>
      <c r="D454">
        <v>50</v>
      </c>
      <c r="E454" t="s">
        <v>18</v>
      </c>
      <c r="F454" t="s">
        <v>34</v>
      </c>
      <c r="G454">
        <v>4</v>
      </c>
      <c r="H454" s="12">
        <v>350.05</v>
      </c>
      <c r="I454" t="s">
        <v>26</v>
      </c>
      <c r="J454" t="s">
        <v>336</v>
      </c>
      <c r="K454">
        <v>1</v>
      </c>
      <c r="L454" t="s">
        <v>21</v>
      </c>
      <c r="M454">
        <v>65</v>
      </c>
      <c r="N454" s="21">
        <f t="shared" si="14"/>
        <v>1400.2</v>
      </c>
      <c r="O454" s="21">
        <f t="shared" si="15"/>
        <v>420.06</v>
      </c>
    </row>
    <row r="455" spans="1:15" x14ac:dyDescent="0.3">
      <c r="A455">
        <v>75246</v>
      </c>
      <c r="B455" s="1">
        <v>45531</v>
      </c>
      <c r="C455">
        <v>643</v>
      </c>
      <c r="D455">
        <v>10</v>
      </c>
      <c r="E455" t="s">
        <v>13</v>
      </c>
      <c r="F455" t="s">
        <v>14</v>
      </c>
      <c r="G455">
        <v>5</v>
      </c>
      <c r="H455" s="12">
        <v>208.59</v>
      </c>
      <c r="I455" t="s">
        <v>26</v>
      </c>
      <c r="J455" t="s">
        <v>452</v>
      </c>
      <c r="K455">
        <v>4</v>
      </c>
      <c r="L455" t="s">
        <v>21</v>
      </c>
      <c r="M455">
        <v>56</v>
      </c>
      <c r="N455" s="21">
        <f t="shared" si="14"/>
        <v>1042.95</v>
      </c>
      <c r="O455" s="21">
        <f t="shared" si="15"/>
        <v>312.88499999999999</v>
      </c>
    </row>
    <row r="456" spans="1:15" x14ac:dyDescent="0.3">
      <c r="A456">
        <v>39329</v>
      </c>
      <c r="B456" s="1">
        <v>45532</v>
      </c>
      <c r="C456">
        <v>218</v>
      </c>
      <c r="D456">
        <v>40</v>
      </c>
      <c r="E456" t="s">
        <v>24</v>
      </c>
      <c r="F456" t="s">
        <v>65</v>
      </c>
      <c r="G456">
        <v>2</v>
      </c>
      <c r="H456" s="12">
        <v>354.8</v>
      </c>
      <c r="I456" t="s">
        <v>35</v>
      </c>
      <c r="J456" t="s">
        <v>269</v>
      </c>
      <c r="K456">
        <v>4</v>
      </c>
      <c r="L456" t="s">
        <v>17</v>
      </c>
      <c r="M456">
        <v>59</v>
      </c>
      <c r="N456" s="21">
        <f t="shared" si="14"/>
        <v>709.6</v>
      </c>
      <c r="O456" s="21">
        <f t="shared" si="15"/>
        <v>212.88</v>
      </c>
    </row>
    <row r="457" spans="1:15" x14ac:dyDescent="0.3">
      <c r="A457">
        <v>37422</v>
      </c>
      <c r="B457" s="1">
        <v>45532</v>
      </c>
      <c r="C457">
        <v>444</v>
      </c>
      <c r="D457">
        <v>10</v>
      </c>
      <c r="E457" t="s">
        <v>13</v>
      </c>
      <c r="F457" t="s">
        <v>32</v>
      </c>
      <c r="G457">
        <v>5</v>
      </c>
      <c r="H457" s="12">
        <v>21.72</v>
      </c>
      <c r="I457" t="s">
        <v>35</v>
      </c>
      <c r="J457" t="s">
        <v>560</v>
      </c>
      <c r="K457">
        <v>3</v>
      </c>
      <c r="L457" t="s">
        <v>17</v>
      </c>
      <c r="M457">
        <v>22</v>
      </c>
      <c r="N457" s="21">
        <f t="shared" si="14"/>
        <v>108.6</v>
      </c>
      <c r="O457" s="21">
        <f t="shared" si="15"/>
        <v>32.58</v>
      </c>
    </row>
    <row r="458" spans="1:15" x14ac:dyDescent="0.3">
      <c r="A458">
        <v>69327</v>
      </c>
      <c r="B458" s="1">
        <v>45532</v>
      </c>
      <c r="C458">
        <v>183</v>
      </c>
      <c r="D458">
        <v>50</v>
      </c>
      <c r="E458" t="s">
        <v>18</v>
      </c>
      <c r="F458" t="s">
        <v>34</v>
      </c>
      <c r="G458">
        <v>3</v>
      </c>
      <c r="H458" s="12">
        <v>105.43</v>
      </c>
      <c r="I458" t="s">
        <v>35</v>
      </c>
      <c r="J458" t="s">
        <v>796</v>
      </c>
      <c r="K458">
        <v>4</v>
      </c>
      <c r="L458" t="s">
        <v>17</v>
      </c>
      <c r="M458">
        <v>72</v>
      </c>
      <c r="N458" s="21">
        <f t="shared" si="14"/>
        <v>316.29000000000002</v>
      </c>
      <c r="O458" s="21">
        <f t="shared" si="15"/>
        <v>94.887</v>
      </c>
    </row>
    <row r="459" spans="1:15" x14ac:dyDescent="0.3">
      <c r="A459">
        <v>39858</v>
      </c>
      <c r="B459" s="1">
        <v>45533</v>
      </c>
      <c r="C459">
        <v>339</v>
      </c>
      <c r="D459">
        <v>20</v>
      </c>
      <c r="E459" t="s">
        <v>28</v>
      </c>
      <c r="F459" t="s">
        <v>29</v>
      </c>
      <c r="G459">
        <v>5</v>
      </c>
      <c r="H459" s="12">
        <v>442.3</v>
      </c>
      <c r="I459" t="s">
        <v>15</v>
      </c>
      <c r="J459" t="s">
        <v>392</v>
      </c>
      <c r="K459">
        <v>5</v>
      </c>
      <c r="L459" t="s">
        <v>21</v>
      </c>
      <c r="M459">
        <v>19</v>
      </c>
      <c r="N459" s="21">
        <f t="shared" si="14"/>
        <v>2211.5</v>
      </c>
      <c r="O459" s="21">
        <f t="shared" si="15"/>
        <v>663.44999999999993</v>
      </c>
    </row>
    <row r="460" spans="1:15" x14ac:dyDescent="0.3">
      <c r="A460">
        <v>57134</v>
      </c>
      <c r="B460" s="1">
        <v>45533</v>
      </c>
      <c r="C460">
        <v>101</v>
      </c>
      <c r="D460">
        <v>10</v>
      </c>
      <c r="E460" t="s">
        <v>13</v>
      </c>
      <c r="F460" t="s">
        <v>111</v>
      </c>
      <c r="G460">
        <v>4</v>
      </c>
      <c r="H460" s="12">
        <v>49.31</v>
      </c>
      <c r="I460" t="s">
        <v>15</v>
      </c>
      <c r="J460" t="s">
        <v>854</v>
      </c>
      <c r="L460" t="s">
        <v>17</v>
      </c>
      <c r="M460">
        <v>42</v>
      </c>
      <c r="N460" s="21">
        <f t="shared" si="14"/>
        <v>197.24</v>
      </c>
      <c r="O460" s="21">
        <f t="shared" si="15"/>
        <v>59.171999999999997</v>
      </c>
    </row>
    <row r="461" spans="1:15" x14ac:dyDescent="0.3">
      <c r="A461">
        <v>89312</v>
      </c>
      <c r="B461" s="1">
        <v>45534</v>
      </c>
      <c r="C461">
        <v>276</v>
      </c>
      <c r="D461">
        <v>10</v>
      </c>
      <c r="E461" t="s">
        <v>13</v>
      </c>
      <c r="F461" t="s">
        <v>42</v>
      </c>
      <c r="G461">
        <v>3</v>
      </c>
      <c r="H461" s="12">
        <v>188.78</v>
      </c>
      <c r="I461" t="s">
        <v>15</v>
      </c>
      <c r="J461" t="s">
        <v>222</v>
      </c>
      <c r="L461" t="s">
        <v>21</v>
      </c>
      <c r="M461">
        <v>31</v>
      </c>
      <c r="N461" s="21">
        <f t="shared" si="14"/>
        <v>566.34</v>
      </c>
      <c r="O461" s="21">
        <f t="shared" si="15"/>
        <v>169.90200000000002</v>
      </c>
    </row>
    <row r="462" spans="1:15" x14ac:dyDescent="0.3">
      <c r="A462">
        <v>99423</v>
      </c>
      <c r="B462" s="1">
        <v>45534</v>
      </c>
      <c r="C462">
        <v>675</v>
      </c>
      <c r="D462">
        <v>30</v>
      </c>
      <c r="E462" t="s">
        <v>37</v>
      </c>
      <c r="F462" t="s">
        <v>95</v>
      </c>
      <c r="G462">
        <v>5</v>
      </c>
      <c r="H462" s="12">
        <v>175.5</v>
      </c>
      <c r="I462" t="s">
        <v>35</v>
      </c>
      <c r="J462" t="s">
        <v>523</v>
      </c>
      <c r="L462" t="s">
        <v>17</v>
      </c>
      <c r="M462">
        <v>73</v>
      </c>
      <c r="N462" s="21">
        <f t="shared" si="14"/>
        <v>877.5</v>
      </c>
      <c r="O462" s="21">
        <f t="shared" si="15"/>
        <v>263.25</v>
      </c>
    </row>
    <row r="463" spans="1:15" x14ac:dyDescent="0.3">
      <c r="A463">
        <v>47342</v>
      </c>
      <c r="B463" s="1">
        <v>45534</v>
      </c>
      <c r="C463">
        <v>141</v>
      </c>
      <c r="D463">
        <v>10</v>
      </c>
      <c r="E463" t="s">
        <v>13</v>
      </c>
      <c r="F463" t="s">
        <v>47</v>
      </c>
      <c r="G463">
        <v>4</v>
      </c>
      <c r="H463" s="12">
        <v>226.23</v>
      </c>
      <c r="I463" t="s">
        <v>15</v>
      </c>
      <c r="J463" t="s">
        <v>524</v>
      </c>
      <c r="K463">
        <v>5</v>
      </c>
      <c r="L463" t="s">
        <v>21</v>
      </c>
      <c r="M463">
        <v>59</v>
      </c>
      <c r="N463" s="21">
        <f t="shared" si="14"/>
        <v>904.92</v>
      </c>
      <c r="O463" s="21">
        <f t="shared" si="15"/>
        <v>271.476</v>
      </c>
    </row>
    <row r="464" spans="1:15" x14ac:dyDescent="0.3">
      <c r="A464">
        <v>26742</v>
      </c>
      <c r="B464" s="1">
        <v>45534</v>
      </c>
      <c r="C464">
        <v>349</v>
      </c>
      <c r="D464">
        <v>40</v>
      </c>
      <c r="E464" t="s">
        <v>24</v>
      </c>
      <c r="F464" t="s">
        <v>25</v>
      </c>
      <c r="G464">
        <v>3</v>
      </c>
      <c r="H464" s="12">
        <v>456.63</v>
      </c>
      <c r="I464" t="s">
        <v>35</v>
      </c>
      <c r="J464" t="s">
        <v>722</v>
      </c>
      <c r="K464">
        <v>5</v>
      </c>
      <c r="L464" t="s">
        <v>21</v>
      </c>
      <c r="M464">
        <v>75</v>
      </c>
      <c r="N464" s="21">
        <f t="shared" si="14"/>
        <v>1369.8899999999999</v>
      </c>
      <c r="O464" s="21">
        <f t="shared" si="15"/>
        <v>410.96699999999993</v>
      </c>
    </row>
    <row r="465" spans="1:15" x14ac:dyDescent="0.3">
      <c r="A465">
        <v>79189</v>
      </c>
      <c r="B465" s="1">
        <v>45534</v>
      </c>
      <c r="C465">
        <v>639</v>
      </c>
      <c r="D465">
        <v>40</v>
      </c>
      <c r="E465" t="s">
        <v>24</v>
      </c>
      <c r="F465" t="s">
        <v>44</v>
      </c>
      <c r="G465">
        <v>1</v>
      </c>
      <c r="H465" s="12">
        <v>399.18</v>
      </c>
      <c r="I465" t="s">
        <v>15</v>
      </c>
      <c r="J465" t="s">
        <v>158</v>
      </c>
      <c r="K465">
        <v>5</v>
      </c>
      <c r="L465" t="s">
        <v>21</v>
      </c>
      <c r="M465">
        <v>66</v>
      </c>
      <c r="N465" s="21">
        <f t="shared" si="14"/>
        <v>399.18</v>
      </c>
      <c r="O465" s="21">
        <f t="shared" si="15"/>
        <v>119.75399999999999</v>
      </c>
    </row>
    <row r="466" spans="1:15" x14ac:dyDescent="0.3">
      <c r="A466">
        <v>61717</v>
      </c>
      <c r="B466" s="1">
        <v>45535</v>
      </c>
      <c r="C466">
        <v>705</v>
      </c>
      <c r="D466">
        <v>10</v>
      </c>
      <c r="E466" t="s">
        <v>13</v>
      </c>
      <c r="F466" t="s">
        <v>42</v>
      </c>
      <c r="G466">
        <v>2</v>
      </c>
      <c r="H466" s="12">
        <v>393.49</v>
      </c>
      <c r="I466" t="s">
        <v>26</v>
      </c>
      <c r="J466" t="s">
        <v>151</v>
      </c>
      <c r="K466">
        <v>4</v>
      </c>
      <c r="L466" t="s">
        <v>17</v>
      </c>
      <c r="M466">
        <v>57</v>
      </c>
      <c r="N466" s="21">
        <f t="shared" si="14"/>
        <v>786.98</v>
      </c>
      <c r="O466" s="21">
        <f t="shared" si="15"/>
        <v>236.09399999999999</v>
      </c>
    </row>
    <row r="467" spans="1:15" x14ac:dyDescent="0.3">
      <c r="A467">
        <v>69487</v>
      </c>
      <c r="B467" s="1">
        <v>45535</v>
      </c>
      <c r="C467">
        <v>729</v>
      </c>
      <c r="D467">
        <v>50</v>
      </c>
      <c r="E467" t="s">
        <v>18</v>
      </c>
      <c r="F467" t="s">
        <v>34</v>
      </c>
      <c r="G467">
        <v>4</v>
      </c>
      <c r="H467" s="12">
        <v>464.28</v>
      </c>
      <c r="I467" t="s">
        <v>35</v>
      </c>
      <c r="J467" t="s">
        <v>961</v>
      </c>
      <c r="K467">
        <v>4</v>
      </c>
      <c r="L467" t="s">
        <v>17</v>
      </c>
      <c r="M467">
        <v>62</v>
      </c>
      <c r="N467" s="21">
        <f t="shared" si="14"/>
        <v>1857.12</v>
      </c>
      <c r="O467" s="21">
        <f t="shared" si="15"/>
        <v>557.13599999999997</v>
      </c>
    </row>
    <row r="468" spans="1:15" x14ac:dyDescent="0.3">
      <c r="A468">
        <v>52189</v>
      </c>
      <c r="B468" s="1">
        <v>45536</v>
      </c>
      <c r="C468">
        <v>653</v>
      </c>
      <c r="D468">
        <v>10</v>
      </c>
      <c r="E468" t="s">
        <v>13</v>
      </c>
      <c r="F468" t="s">
        <v>32</v>
      </c>
      <c r="G468">
        <v>1</v>
      </c>
      <c r="H468" s="12">
        <v>183.61</v>
      </c>
      <c r="I468" t="s">
        <v>26</v>
      </c>
      <c r="J468" t="s">
        <v>75</v>
      </c>
      <c r="K468">
        <v>4</v>
      </c>
      <c r="L468" t="s">
        <v>17</v>
      </c>
      <c r="M468">
        <v>49</v>
      </c>
      <c r="N468" s="21">
        <f t="shared" si="14"/>
        <v>183.61</v>
      </c>
      <c r="O468" s="21">
        <f t="shared" si="15"/>
        <v>55.083000000000006</v>
      </c>
    </row>
    <row r="469" spans="1:15" x14ac:dyDescent="0.3">
      <c r="A469">
        <v>94141</v>
      </c>
      <c r="B469" s="1">
        <v>45536</v>
      </c>
      <c r="C469">
        <v>701</v>
      </c>
      <c r="D469">
        <v>20</v>
      </c>
      <c r="E469" t="s">
        <v>28</v>
      </c>
      <c r="F469" t="s">
        <v>29</v>
      </c>
      <c r="G469">
        <v>4</v>
      </c>
      <c r="H469" s="12">
        <v>270.32</v>
      </c>
      <c r="I469" t="s">
        <v>26</v>
      </c>
      <c r="J469" t="s">
        <v>1003</v>
      </c>
      <c r="K469">
        <v>5</v>
      </c>
      <c r="L469" t="s">
        <v>21</v>
      </c>
      <c r="M469">
        <v>48</v>
      </c>
      <c r="N469" s="21">
        <f t="shared" si="14"/>
        <v>1081.28</v>
      </c>
      <c r="O469" s="21">
        <f t="shared" si="15"/>
        <v>324.38399999999996</v>
      </c>
    </row>
    <row r="470" spans="1:15" x14ac:dyDescent="0.3">
      <c r="A470">
        <v>58363</v>
      </c>
      <c r="B470" s="1">
        <v>45537</v>
      </c>
      <c r="C470">
        <v>536</v>
      </c>
      <c r="D470">
        <v>10</v>
      </c>
      <c r="E470" t="s">
        <v>13</v>
      </c>
      <c r="F470" t="s">
        <v>47</v>
      </c>
      <c r="G470">
        <v>5</v>
      </c>
      <c r="H470" s="12">
        <v>87.27</v>
      </c>
      <c r="I470" t="s">
        <v>15</v>
      </c>
      <c r="J470" t="s">
        <v>864</v>
      </c>
      <c r="K470">
        <v>5</v>
      </c>
      <c r="L470" t="s">
        <v>21</v>
      </c>
      <c r="M470">
        <v>63</v>
      </c>
      <c r="N470" s="21">
        <f t="shared" si="14"/>
        <v>436.34999999999997</v>
      </c>
      <c r="O470" s="21">
        <f t="shared" si="15"/>
        <v>130.90499999999997</v>
      </c>
    </row>
    <row r="471" spans="1:15" x14ac:dyDescent="0.3">
      <c r="A471">
        <v>63876</v>
      </c>
      <c r="B471" s="1">
        <v>45539</v>
      </c>
      <c r="C471">
        <v>545</v>
      </c>
      <c r="D471">
        <v>50</v>
      </c>
      <c r="E471" t="s">
        <v>18</v>
      </c>
      <c r="F471" t="s">
        <v>84</v>
      </c>
      <c r="G471">
        <v>2</v>
      </c>
      <c r="H471" s="12">
        <v>107.84</v>
      </c>
      <c r="I471" t="s">
        <v>15</v>
      </c>
      <c r="J471" t="s">
        <v>614</v>
      </c>
      <c r="K471">
        <v>1</v>
      </c>
      <c r="L471" t="s">
        <v>17</v>
      </c>
      <c r="M471">
        <v>53</v>
      </c>
      <c r="N471" s="21">
        <f t="shared" si="14"/>
        <v>215.68</v>
      </c>
      <c r="O471" s="21">
        <f t="shared" si="15"/>
        <v>64.703999999999994</v>
      </c>
    </row>
    <row r="472" spans="1:15" x14ac:dyDescent="0.3">
      <c r="A472">
        <v>99259</v>
      </c>
      <c r="B472" s="1">
        <v>45539</v>
      </c>
      <c r="C472">
        <v>426</v>
      </c>
      <c r="D472">
        <v>50</v>
      </c>
      <c r="E472" t="s">
        <v>18</v>
      </c>
      <c r="F472" t="s">
        <v>84</v>
      </c>
      <c r="G472">
        <v>3</v>
      </c>
      <c r="H472" s="12">
        <v>232.33</v>
      </c>
      <c r="I472" t="s">
        <v>26</v>
      </c>
      <c r="J472" t="s">
        <v>950</v>
      </c>
      <c r="L472" t="s">
        <v>17</v>
      </c>
      <c r="M472">
        <v>62</v>
      </c>
      <c r="N472" s="21">
        <f t="shared" si="14"/>
        <v>696.99</v>
      </c>
      <c r="O472" s="21">
        <f t="shared" si="15"/>
        <v>209.09700000000001</v>
      </c>
    </row>
    <row r="473" spans="1:15" x14ac:dyDescent="0.3">
      <c r="A473">
        <v>90952</v>
      </c>
      <c r="B473" s="1">
        <v>45540</v>
      </c>
      <c r="C473">
        <v>360</v>
      </c>
      <c r="D473">
        <v>50</v>
      </c>
      <c r="E473" t="s">
        <v>18</v>
      </c>
      <c r="F473" t="s">
        <v>22</v>
      </c>
      <c r="G473">
        <v>2</v>
      </c>
      <c r="H473" s="12">
        <v>55.78</v>
      </c>
      <c r="I473" t="s">
        <v>35</v>
      </c>
      <c r="J473" t="s">
        <v>348</v>
      </c>
      <c r="M473">
        <v>60</v>
      </c>
      <c r="N473" s="21">
        <f t="shared" si="14"/>
        <v>111.56</v>
      </c>
      <c r="O473" s="21">
        <f t="shared" si="15"/>
        <v>33.467999999999996</v>
      </c>
    </row>
    <row r="474" spans="1:15" x14ac:dyDescent="0.3">
      <c r="A474">
        <v>71237</v>
      </c>
      <c r="B474" s="1">
        <v>45540</v>
      </c>
      <c r="C474">
        <v>588</v>
      </c>
      <c r="D474">
        <v>10</v>
      </c>
      <c r="E474" t="s">
        <v>13</v>
      </c>
      <c r="F474" t="s">
        <v>47</v>
      </c>
      <c r="G474">
        <v>4</v>
      </c>
      <c r="H474" s="12">
        <v>264.14999999999998</v>
      </c>
      <c r="I474" t="s">
        <v>35</v>
      </c>
      <c r="J474" t="s">
        <v>377</v>
      </c>
      <c r="K474">
        <v>3</v>
      </c>
      <c r="L474" t="s">
        <v>17</v>
      </c>
      <c r="M474">
        <v>57</v>
      </c>
      <c r="N474" s="21">
        <f t="shared" si="14"/>
        <v>1056.5999999999999</v>
      </c>
      <c r="O474" s="21">
        <f t="shared" si="15"/>
        <v>316.97999999999996</v>
      </c>
    </row>
    <row r="475" spans="1:15" x14ac:dyDescent="0.3">
      <c r="A475">
        <v>84978</v>
      </c>
      <c r="B475" s="1">
        <v>45540</v>
      </c>
      <c r="C475">
        <v>292</v>
      </c>
      <c r="D475">
        <v>40</v>
      </c>
      <c r="E475" t="s">
        <v>24</v>
      </c>
      <c r="F475" t="s">
        <v>44</v>
      </c>
      <c r="G475">
        <v>1</v>
      </c>
      <c r="H475" s="12">
        <v>458.02</v>
      </c>
      <c r="I475" t="s">
        <v>26</v>
      </c>
      <c r="J475" t="s">
        <v>438</v>
      </c>
      <c r="K475">
        <v>3</v>
      </c>
      <c r="L475" t="s">
        <v>21</v>
      </c>
      <c r="M475">
        <v>64</v>
      </c>
      <c r="N475" s="21">
        <f t="shared" si="14"/>
        <v>458.02</v>
      </c>
      <c r="O475" s="21">
        <f t="shared" si="15"/>
        <v>137.40599999999998</v>
      </c>
    </row>
    <row r="476" spans="1:15" x14ac:dyDescent="0.3">
      <c r="A476">
        <v>59603</v>
      </c>
      <c r="B476" s="1">
        <v>45540</v>
      </c>
      <c r="C476">
        <v>125</v>
      </c>
      <c r="D476">
        <v>20</v>
      </c>
      <c r="E476" t="s">
        <v>28</v>
      </c>
      <c r="F476" t="s">
        <v>51</v>
      </c>
      <c r="G476">
        <v>2</v>
      </c>
      <c r="H476" s="12">
        <v>402.42</v>
      </c>
      <c r="I476" t="s">
        <v>15</v>
      </c>
      <c r="J476" t="s">
        <v>645</v>
      </c>
      <c r="K476">
        <v>2</v>
      </c>
      <c r="L476" t="s">
        <v>17</v>
      </c>
      <c r="M476">
        <v>28</v>
      </c>
      <c r="N476" s="21">
        <f t="shared" si="14"/>
        <v>804.84</v>
      </c>
      <c r="O476" s="21">
        <f t="shared" si="15"/>
        <v>241.452</v>
      </c>
    </row>
    <row r="477" spans="1:15" x14ac:dyDescent="0.3">
      <c r="A477">
        <v>48878</v>
      </c>
      <c r="B477" s="1">
        <v>45542</v>
      </c>
      <c r="C477">
        <v>814</v>
      </c>
      <c r="D477">
        <v>30</v>
      </c>
      <c r="E477" t="s">
        <v>37</v>
      </c>
      <c r="F477" t="s">
        <v>95</v>
      </c>
      <c r="G477">
        <v>2</v>
      </c>
      <c r="H477" s="12">
        <v>83.97</v>
      </c>
      <c r="I477" t="s">
        <v>15</v>
      </c>
      <c r="J477" t="s">
        <v>280</v>
      </c>
      <c r="K477">
        <v>4</v>
      </c>
      <c r="L477" t="s">
        <v>17</v>
      </c>
      <c r="M477">
        <v>75</v>
      </c>
      <c r="N477" s="21">
        <f t="shared" si="14"/>
        <v>167.94</v>
      </c>
      <c r="O477" s="21">
        <f t="shared" si="15"/>
        <v>50.381999999999998</v>
      </c>
    </row>
    <row r="478" spans="1:15" x14ac:dyDescent="0.3">
      <c r="A478">
        <v>69068</v>
      </c>
      <c r="B478" s="1">
        <v>45542</v>
      </c>
      <c r="C478">
        <v>220</v>
      </c>
      <c r="D478">
        <v>10</v>
      </c>
      <c r="E478" t="s">
        <v>13</v>
      </c>
      <c r="F478" t="s">
        <v>111</v>
      </c>
      <c r="G478">
        <v>5</v>
      </c>
      <c r="H478" s="12">
        <v>252.5</v>
      </c>
      <c r="I478" t="s">
        <v>35</v>
      </c>
      <c r="J478" t="s">
        <v>361</v>
      </c>
      <c r="K478">
        <v>5</v>
      </c>
      <c r="L478" t="s">
        <v>21</v>
      </c>
      <c r="M478">
        <v>71</v>
      </c>
      <c r="N478" s="21">
        <f t="shared" si="14"/>
        <v>1262.5</v>
      </c>
      <c r="O478" s="21">
        <f t="shared" si="15"/>
        <v>378.75</v>
      </c>
    </row>
    <row r="479" spans="1:15" x14ac:dyDescent="0.3">
      <c r="A479">
        <v>47566</v>
      </c>
      <c r="B479" s="1">
        <v>45542</v>
      </c>
      <c r="C479">
        <v>574</v>
      </c>
      <c r="D479">
        <v>20</v>
      </c>
      <c r="E479" t="s">
        <v>28</v>
      </c>
      <c r="F479" t="s">
        <v>72</v>
      </c>
      <c r="G479">
        <v>4</v>
      </c>
      <c r="H479" s="12">
        <v>216.03</v>
      </c>
      <c r="I479" t="s">
        <v>26</v>
      </c>
      <c r="J479" t="s">
        <v>657</v>
      </c>
      <c r="K479">
        <v>3</v>
      </c>
      <c r="L479" t="s">
        <v>17</v>
      </c>
      <c r="M479">
        <v>32</v>
      </c>
      <c r="N479" s="21">
        <f t="shared" si="14"/>
        <v>864.12</v>
      </c>
      <c r="O479" s="21">
        <f t="shared" si="15"/>
        <v>259.23599999999999</v>
      </c>
    </row>
    <row r="480" spans="1:15" x14ac:dyDescent="0.3">
      <c r="A480">
        <v>97111</v>
      </c>
      <c r="B480" s="1">
        <v>45542</v>
      </c>
      <c r="C480">
        <v>897</v>
      </c>
      <c r="D480">
        <v>40</v>
      </c>
      <c r="E480" t="s">
        <v>24</v>
      </c>
      <c r="F480" t="s">
        <v>44</v>
      </c>
      <c r="G480">
        <v>4</v>
      </c>
      <c r="H480" s="12">
        <v>14.47</v>
      </c>
      <c r="I480" t="s">
        <v>26</v>
      </c>
      <c r="J480" t="s">
        <v>844</v>
      </c>
      <c r="K480">
        <v>5</v>
      </c>
      <c r="L480" t="s">
        <v>17</v>
      </c>
      <c r="M480">
        <v>33</v>
      </c>
      <c r="N480" s="21">
        <f t="shared" si="14"/>
        <v>57.88</v>
      </c>
      <c r="O480" s="21">
        <f t="shared" si="15"/>
        <v>17.364000000000001</v>
      </c>
    </row>
    <row r="481" spans="1:15" x14ac:dyDescent="0.3">
      <c r="A481">
        <v>51171</v>
      </c>
      <c r="B481" s="1">
        <v>45543</v>
      </c>
      <c r="C481">
        <v>608</v>
      </c>
      <c r="D481">
        <v>50</v>
      </c>
      <c r="E481" t="s">
        <v>18</v>
      </c>
      <c r="F481" t="s">
        <v>34</v>
      </c>
      <c r="G481">
        <v>1</v>
      </c>
      <c r="H481" s="12">
        <v>439.96</v>
      </c>
      <c r="I481" t="s">
        <v>26</v>
      </c>
      <c r="J481" t="s">
        <v>50</v>
      </c>
      <c r="K481">
        <v>5</v>
      </c>
      <c r="L481" t="s">
        <v>17</v>
      </c>
      <c r="M481">
        <v>19</v>
      </c>
      <c r="N481" s="21">
        <f t="shared" si="14"/>
        <v>439.96</v>
      </c>
      <c r="O481" s="21">
        <f t="shared" si="15"/>
        <v>131.988</v>
      </c>
    </row>
    <row r="482" spans="1:15" x14ac:dyDescent="0.3">
      <c r="A482">
        <v>52751</v>
      </c>
      <c r="B482" s="1">
        <v>45543</v>
      </c>
      <c r="C482">
        <v>399</v>
      </c>
      <c r="D482">
        <v>50</v>
      </c>
      <c r="E482" t="s">
        <v>18</v>
      </c>
      <c r="F482" t="s">
        <v>34</v>
      </c>
      <c r="G482">
        <v>3</v>
      </c>
      <c r="H482" s="12">
        <v>250.37</v>
      </c>
      <c r="I482" t="s">
        <v>35</v>
      </c>
      <c r="J482" t="s">
        <v>727</v>
      </c>
      <c r="K482">
        <v>4</v>
      </c>
      <c r="L482" t="s">
        <v>21</v>
      </c>
      <c r="M482">
        <v>43</v>
      </c>
      <c r="N482" s="21">
        <f t="shared" si="14"/>
        <v>751.11</v>
      </c>
      <c r="O482" s="21">
        <f t="shared" si="15"/>
        <v>225.333</v>
      </c>
    </row>
    <row r="483" spans="1:15" x14ac:dyDescent="0.3">
      <c r="A483">
        <v>79018</v>
      </c>
      <c r="B483" s="1">
        <v>45543</v>
      </c>
      <c r="C483">
        <v>460</v>
      </c>
      <c r="D483">
        <v>50</v>
      </c>
      <c r="E483" t="s">
        <v>18</v>
      </c>
      <c r="F483" t="s">
        <v>22</v>
      </c>
      <c r="G483">
        <v>2</v>
      </c>
      <c r="H483" s="12">
        <v>150.37</v>
      </c>
      <c r="I483" t="s">
        <v>35</v>
      </c>
      <c r="J483" t="s">
        <v>794</v>
      </c>
      <c r="L483" t="s">
        <v>17</v>
      </c>
      <c r="M483">
        <v>54</v>
      </c>
      <c r="N483" s="21">
        <f t="shared" si="14"/>
        <v>300.74</v>
      </c>
      <c r="O483" s="21">
        <f t="shared" si="15"/>
        <v>90.221999999999994</v>
      </c>
    </row>
    <row r="484" spans="1:15" x14ac:dyDescent="0.3">
      <c r="A484">
        <v>27462</v>
      </c>
      <c r="B484" s="1">
        <v>45543</v>
      </c>
      <c r="C484">
        <v>864</v>
      </c>
      <c r="D484">
        <v>10</v>
      </c>
      <c r="E484" t="s">
        <v>13</v>
      </c>
      <c r="F484" t="s">
        <v>42</v>
      </c>
      <c r="G484">
        <v>5</v>
      </c>
      <c r="H484" s="12">
        <v>466.38</v>
      </c>
      <c r="I484" t="s">
        <v>26</v>
      </c>
      <c r="J484" t="s">
        <v>807</v>
      </c>
      <c r="K484">
        <v>3</v>
      </c>
      <c r="L484" t="s">
        <v>21</v>
      </c>
      <c r="M484">
        <v>67</v>
      </c>
      <c r="N484" s="21">
        <f t="shared" si="14"/>
        <v>2331.9</v>
      </c>
      <c r="O484" s="21">
        <f t="shared" si="15"/>
        <v>699.57</v>
      </c>
    </row>
    <row r="485" spans="1:15" x14ac:dyDescent="0.3">
      <c r="A485">
        <v>99233</v>
      </c>
      <c r="B485" s="1">
        <v>45543</v>
      </c>
      <c r="C485">
        <v>842</v>
      </c>
      <c r="D485">
        <v>20</v>
      </c>
      <c r="E485" t="s">
        <v>28</v>
      </c>
      <c r="F485" t="s">
        <v>51</v>
      </c>
      <c r="G485">
        <v>1</v>
      </c>
      <c r="H485" s="12">
        <v>273.56</v>
      </c>
      <c r="I485" t="s">
        <v>35</v>
      </c>
      <c r="J485" t="s">
        <v>937</v>
      </c>
      <c r="L485" t="s">
        <v>21</v>
      </c>
      <c r="M485">
        <v>43</v>
      </c>
      <c r="N485" s="21">
        <f t="shared" si="14"/>
        <v>273.56</v>
      </c>
      <c r="O485" s="21">
        <f t="shared" si="15"/>
        <v>82.067999999999998</v>
      </c>
    </row>
    <row r="486" spans="1:15" x14ac:dyDescent="0.3">
      <c r="A486">
        <v>10825</v>
      </c>
      <c r="B486" s="1">
        <v>45544</v>
      </c>
      <c r="C486">
        <v>693</v>
      </c>
      <c r="D486">
        <v>30</v>
      </c>
      <c r="E486" t="s">
        <v>37</v>
      </c>
      <c r="F486" t="s">
        <v>40</v>
      </c>
      <c r="G486">
        <v>1</v>
      </c>
      <c r="H486" s="12">
        <v>286.33999999999997</v>
      </c>
      <c r="I486" t="s">
        <v>35</v>
      </c>
      <c r="J486" t="s">
        <v>458</v>
      </c>
      <c r="K486">
        <v>5</v>
      </c>
      <c r="L486" t="s">
        <v>21</v>
      </c>
      <c r="M486">
        <v>63</v>
      </c>
      <c r="N486" s="21">
        <f t="shared" si="14"/>
        <v>286.33999999999997</v>
      </c>
      <c r="O486" s="21">
        <f t="shared" si="15"/>
        <v>85.901999999999987</v>
      </c>
    </row>
    <row r="487" spans="1:15" x14ac:dyDescent="0.3">
      <c r="A487">
        <v>43226</v>
      </c>
      <c r="B487" s="1">
        <v>45544</v>
      </c>
      <c r="C487">
        <v>221</v>
      </c>
      <c r="D487">
        <v>10</v>
      </c>
      <c r="E487" t="s">
        <v>13</v>
      </c>
      <c r="F487" t="s">
        <v>111</v>
      </c>
      <c r="G487">
        <v>1</v>
      </c>
      <c r="H487" s="12">
        <v>306.52999999999997</v>
      </c>
      <c r="I487" t="s">
        <v>35</v>
      </c>
      <c r="J487" t="s">
        <v>461</v>
      </c>
      <c r="K487">
        <v>5</v>
      </c>
      <c r="L487" t="s">
        <v>21</v>
      </c>
      <c r="M487">
        <v>32</v>
      </c>
      <c r="N487" s="21">
        <f t="shared" si="14"/>
        <v>306.52999999999997</v>
      </c>
      <c r="O487" s="21">
        <f t="shared" si="15"/>
        <v>91.958999999999989</v>
      </c>
    </row>
    <row r="488" spans="1:15" x14ac:dyDescent="0.3">
      <c r="A488">
        <v>25370</v>
      </c>
      <c r="B488" s="1">
        <v>45544</v>
      </c>
      <c r="C488">
        <v>576</v>
      </c>
      <c r="D488">
        <v>10</v>
      </c>
      <c r="E488" t="s">
        <v>13</v>
      </c>
      <c r="F488" t="s">
        <v>47</v>
      </c>
      <c r="G488">
        <v>1</v>
      </c>
      <c r="H488" s="12">
        <v>366.61</v>
      </c>
      <c r="I488" t="s">
        <v>35</v>
      </c>
      <c r="J488" t="s">
        <v>832</v>
      </c>
      <c r="K488">
        <v>2</v>
      </c>
      <c r="L488" t="s">
        <v>17</v>
      </c>
      <c r="M488">
        <v>57</v>
      </c>
      <c r="N488" s="21">
        <f t="shared" si="14"/>
        <v>366.61</v>
      </c>
      <c r="O488" s="21">
        <f t="shared" si="15"/>
        <v>109.983</v>
      </c>
    </row>
    <row r="489" spans="1:15" x14ac:dyDescent="0.3">
      <c r="A489">
        <v>10254</v>
      </c>
      <c r="B489" s="1">
        <v>45545</v>
      </c>
      <c r="C489">
        <v>318</v>
      </c>
      <c r="D489">
        <v>30</v>
      </c>
      <c r="E489" t="s">
        <v>37</v>
      </c>
      <c r="F489" t="s">
        <v>68</v>
      </c>
      <c r="G489">
        <v>1</v>
      </c>
      <c r="H489" s="12">
        <v>70.930000000000007</v>
      </c>
      <c r="I489" t="s">
        <v>35</v>
      </c>
      <c r="J489" t="s">
        <v>181</v>
      </c>
      <c r="K489">
        <v>3</v>
      </c>
      <c r="L489" t="s">
        <v>21</v>
      </c>
      <c r="M489">
        <v>73</v>
      </c>
      <c r="N489" s="21">
        <f t="shared" si="14"/>
        <v>70.930000000000007</v>
      </c>
      <c r="O489" s="21">
        <f t="shared" si="15"/>
        <v>21.279</v>
      </c>
    </row>
    <row r="490" spans="1:15" x14ac:dyDescent="0.3">
      <c r="A490">
        <v>29786</v>
      </c>
      <c r="B490" s="1">
        <v>45545</v>
      </c>
      <c r="C490">
        <v>749</v>
      </c>
      <c r="D490">
        <v>40</v>
      </c>
      <c r="E490" t="s">
        <v>24</v>
      </c>
      <c r="F490" t="s">
        <v>44</v>
      </c>
      <c r="G490">
        <v>3</v>
      </c>
      <c r="H490" s="12">
        <v>334.67</v>
      </c>
      <c r="I490" t="s">
        <v>26</v>
      </c>
      <c r="J490" t="s">
        <v>188</v>
      </c>
      <c r="K490">
        <v>5</v>
      </c>
      <c r="L490" t="s">
        <v>17</v>
      </c>
      <c r="M490">
        <v>23</v>
      </c>
      <c r="N490" s="21">
        <f t="shared" si="14"/>
        <v>1004.01</v>
      </c>
      <c r="O490" s="21">
        <f t="shared" si="15"/>
        <v>301.20299999999997</v>
      </c>
    </row>
    <row r="491" spans="1:15" x14ac:dyDescent="0.3">
      <c r="A491">
        <v>65102</v>
      </c>
      <c r="B491" s="1">
        <v>45545</v>
      </c>
      <c r="C491">
        <v>294</v>
      </c>
      <c r="D491">
        <v>20</v>
      </c>
      <c r="E491" t="s">
        <v>28</v>
      </c>
      <c r="F491" t="s">
        <v>77</v>
      </c>
      <c r="G491">
        <v>1</v>
      </c>
      <c r="H491" s="12">
        <v>107.09</v>
      </c>
      <c r="I491" t="s">
        <v>26</v>
      </c>
      <c r="J491" t="s">
        <v>575</v>
      </c>
      <c r="K491">
        <v>3</v>
      </c>
      <c r="L491" t="s">
        <v>17</v>
      </c>
      <c r="M491">
        <v>52</v>
      </c>
      <c r="N491" s="21">
        <f t="shared" si="14"/>
        <v>107.09</v>
      </c>
      <c r="O491" s="21">
        <f t="shared" si="15"/>
        <v>32.127000000000002</v>
      </c>
    </row>
    <row r="492" spans="1:15" x14ac:dyDescent="0.3">
      <c r="A492">
        <v>29007</v>
      </c>
      <c r="B492" s="1">
        <v>45546</v>
      </c>
      <c r="C492">
        <v>951</v>
      </c>
      <c r="D492">
        <v>50</v>
      </c>
      <c r="E492" t="s">
        <v>18</v>
      </c>
      <c r="F492" t="s">
        <v>19</v>
      </c>
      <c r="G492">
        <v>4</v>
      </c>
      <c r="H492" s="12">
        <v>334.37</v>
      </c>
      <c r="I492" t="s">
        <v>35</v>
      </c>
      <c r="J492" t="s">
        <v>674</v>
      </c>
      <c r="K492">
        <v>5</v>
      </c>
      <c r="L492" t="s">
        <v>21</v>
      </c>
      <c r="M492">
        <v>24</v>
      </c>
      <c r="N492" s="21">
        <f t="shared" si="14"/>
        <v>1337.48</v>
      </c>
      <c r="O492" s="21">
        <f t="shared" si="15"/>
        <v>401.24399999999997</v>
      </c>
    </row>
    <row r="493" spans="1:15" x14ac:dyDescent="0.3">
      <c r="A493">
        <v>47725</v>
      </c>
      <c r="B493" s="1">
        <v>45547</v>
      </c>
      <c r="C493">
        <v>320</v>
      </c>
      <c r="D493">
        <v>20</v>
      </c>
      <c r="E493" t="s">
        <v>28</v>
      </c>
      <c r="F493" t="s">
        <v>72</v>
      </c>
      <c r="G493">
        <v>3</v>
      </c>
      <c r="H493" s="12">
        <v>106.66</v>
      </c>
      <c r="I493" t="s">
        <v>35</v>
      </c>
      <c r="J493" t="s">
        <v>277</v>
      </c>
      <c r="L493" t="s">
        <v>17</v>
      </c>
      <c r="M493">
        <v>36</v>
      </c>
      <c r="N493" s="21">
        <f t="shared" si="14"/>
        <v>319.98</v>
      </c>
      <c r="O493" s="21">
        <f t="shared" si="15"/>
        <v>95.994</v>
      </c>
    </row>
    <row r="494" spans="1:15" x14ac:dyDescent="0.3">
      <c r="A494">
        <v>96162</v>
      </c>
      <c r="B494" s="1">
        <v>45547</v>
      </c>
      <c r="C494">
        <v>887</v>
      </c>
      <c r="D494">
        <v>50</v>
      </c>
      <c r="E494" t="s">
        <v>18</v>
      </c>
      <c r="F494" t="s">
        <v>34</v>
      </c>
      <c r="G494">
        <v>5</v>
      </c>
      <c r="H494" s="12">
        <v>292.95999999999998</v>
      </c>
      <c r="I494" t="s">
        <v>35</v>
      </c>
      <c r="J494" t="s">
        <v>424</v>
      </c>
      <c r="K494">
        <v>5</v>
      </c>
      <c r="L494" t="s">
        <v>21</v>
      </c>
      <c r="M494">
        <v>34</v>
      </c>
      <c r="N494" s="21">
        <f t="shared" si="14"/>
        <v>1464.8</v>
      </c>
      <c r="O494" s="21">
        <f t="shared" si="15"/>
        <v>439.44</v>
      </c>
    </row>
    <row r="495" spans="1:15" x14ac:dyDescent="0.3">
      <c r="A495">
        <v>92859</v>
      </c>
      <c r="B495" s="1">
        <v>45547</v>
      </c>
      <c r="C495">
        <v>727</v>
      </c>
      <c r="D495">
        <v>50</v>
      </c>
      <c r="E495" t="s">
        <v>18</v>
      </c>
      <c r="F495" t="s">
        <v>84</v>
      </c>
      <c r="G495">
        <v>3</v>
      </c>
      <c r="H495" s="12">
        <v>498.35</v>
      </c>
      <c r="I495" t="s">
        <v>35</v>
      </c>
      <c r="J495" t="s">
        <v>731</v>
      </c>
      <c r="L495" t="s">
        <v>17</v>
      </c>
      <c r="M495">
        <v>27</v>
      </c>
      <c r="N495" s="21">
        <f t="shared" si="14"/>
        <v>1495.0500000000002</v>
      </c>
      <c r="O495" s="21">
        <f t="shared" si="15"/>
        <v>448.51500000000004</v>
      </c>
    </row>
    <row r="496" spans="1:15" x14ac:dyDescent="0.3">
      <c r="A496">
        <v>29123</v>
      </c>
      <c r="B496" s="1">
        <v>45547</v>
      </c>
      <c r="C496">
        <v>506</v>
      </c>
      <c r="D496">
        <v>20</v>
      </c>
      <c r="E496" t="s">
        <v>28</v>
      </c>
      <c r="F496" t="s">
        <v>79</v>
      </c>
      <c r="G496">
        <v>3</v>
      </c>
      <c r="H496" s="12">
        <v>72.66</v>
      </c>
      <c r="I496" t="s">
        <v>35</v>
      </c>
      <c r="J496" t="s">
        <v>771</v>
      </c>
      <c r="L496" t="s">
        <v>17</v>
      </c>
      <c r="M496">
        <v>39</v>
      </c>
      <c r="N496" s="21">
        <f t="shared" si="14"/>
        <v>217.98</v>
      </c>
      <c r="O496" s="21">
        <f t="shared" si="15"/>
        <v>65.393999999999991</v>
      </c>
    </row>
    <row r="497" spans="1:15" x14ac:dyDescent="0.3">
      <c r="A497">
        <v>99828</v>
      </c>
      <c r="B497" s="1">
        <v>45547</v>
      </c>
      <c r="C497">
        <v>510</v>
      </c>
      <c r="D497">
        <v>40</v>
      </c>
      <c r="E497" t="s">
        <v>24</v>
      </c>
      <c r="F497" t="s">
        <v>25</v>
      </c>
      <c r="G497">
        <v>5</v>
      </c>
      <c r="H497" s="12">
        <v>427.73</v>
      </c>
      <c r="I497" t="s">
        <v>15</v>
      </c>
      <c r="J497" t="s">
        <v>1006</v>
      </c>
      <c r="K497">
        <v>3</v>
      </c>
      <c r="L497" t="s">
        <v>17</v>
      </c>
      <c r="M497">
        <v>72</v>
      </c>
      <c r="N497" s="21">
        <f t="shared" si="14"/>
        <v>2138.65</v>
      </c>
      <c r="O497" s="21">
        <f t="shared" si="15"/>
        <v>641.59500000000003</v>
      </c>
    </row>
    <row r="498" spans="1:15" x14ac:dyDescent="0.3">
      <c r="A498">
        <v>10486</v>
      </c>
      <c r="B498" s="1">
        <v>45548</v>
      </c>
      <c r="C498">
        <v>297</v>
      </c>
      <c r="D498">
        <v>20</v>
      </c>
      <c r="E498" t="s">
        <v>28</v>
      </c>
      <c r="F498" t="s">
        <v>51</v>
      </c>
      <c r="G498">
        <v>2</v>
      </c>
      <c r="H498" s="12">
        <v>274.10000000000002</v>
      </c>
      <c r="I498" t="s">
        <v>35</v>
      </c>
      <c r="J498" t="s">
        <v>52</v>
      </c>
      <c r="K498">
        <v>4</v>
      </c>
      <c r="L498" t="s">
        <v>17</v>
      </c>
      <c r="M498">
        <v>54</v>
      </c>
      <c r="N498" s="21">
        <f t="shared" si="14"/>
        <v>548.20000000000005</v>
      </c>
      <c r="O498" s="21">
        <f t="shared" si="15"/>
        <v>164.46</v>
      </c>
    </row>
    <row r="499" spans="1:15" x14ac:dyDescent="0.3">
      <c r="A499">
        <v>55931</v>
      </c>
      <c r="B499" s="1">
        <v>45548</v>
      </c>
      <c r="C499">
        <v>431</v>
      </c>
      <c r="D499">
        <v>40</v>
      </c>
      <c r="E499" t="s">
        <v>24</v>
      </c>
      <c r="F499" t="s">
        <v>49</v>
      </c>
      <c r="G499">
        <v>2</v>
      </c>
      <c r="H499" s="12">
        <v>328.1</v>
      </c>
      <c r="I499" t="s">
        <v>15</v>
      </c>
      <c r="J499" t="s">
        <v>597</v>
      </c>
      <c r="K499">
        <v>5</v>
      </c>
      <c r="L499" t="s">
        <v>17</v>
      </c>
      <c r="M499">
        <v>46</v>
      </c>
      <c r="N499" s="21">
        <f t="shared" si="14"/>
        <v>656.2</v>
      </c>
      <c r="O499" s="21">
        <f t="shared" si="15"/>
        <v>196.86</v>
      </c>
    </row>
    <row r="500" spans="1:15" x14ac:dyDescent="0.3">
      <c r="A500">
        <v>76854</v>
      </c>
      <c r="B500" s="1">
        <v>45549</v>
      </c>
      <c r="C500">
        <v>845</v>
      </c>
      <c r="D500">
        <v>30</v>
      </c>
      <c r="E500" t="s">
        <v>37</v>
      </c>
      <c r="F500" t="s">
        <v>38</v>
      </c>
      <c r="G500">
        <v>2</v>
      </c>
      <c r="H500" s="12">
        <v>148.59</v>
      </c>
      <c r="I500" t="s">
        <v>26</v>
      </c>
      <c r="J500" t="s">
        <v>199</v>
      </c>
      <c r="K500">
        <v>5</v>
      </c>
      <c r="L500" t="s">
        <v>17</v>
      </c>
      <c r="M500">
        <v>64</v>
      </c>
      <c r="N500" s="21">
        <f t="shared" si="14"/>
        <v>297.18</v>
      </c>
      <c r="O500" s="21">
        <f t="shared" si="15"/>
        <v>89.153999999999996</v>
      </c>
    </row>
    <row r="501" spans="1:15" x14ac:dyDescent="0.3">
      <c r="A501">
        <v>82077</v>
      </c>
      <c r="B501" s="1">
        <v>45549</v>
      </c>
      <c r="C501">
        <v>889</v>
      </c>
      <c r="D501">
        <v>20</v>
      </c>
      <c r="E501" t="s">
        <v>28</v>
      </c>
      <c r="F501" t="s">
        <v>51</v>
      </c>
      <c r="G501">
        <v>1</v>
      </c>
      <c r="H501" s="12">
        <v>239.33</v>
      </c>
      <c r="I501" t="s">
        <v>15</v>
      </c>
      <c r="J501" t="s">
        <v>396</v>
      </c>
      <c r="K501">
        <v>5</v>
      </c>
      <c r="L501" t="s">
        <v>21</v>
      </c>
      <c r="M501">
        <v>37</v>
      </c>
      <c r="N501" s="21">
        <f t="shared" si="14"/>
        <v>239.33</v>
      </c>
      <c r="O501" s="21">
        <f t="shared" si="15"/>
        <v>71.799000000000007</v>
      </c>
    </row>
    <row r="502" spans="1:15" x14ac:dyDescent="0.3">
      <c r="A502">
        <v>13425</v>
      </c>
      <c r="B502" s="1">
        <v>45549</v>
      </c>
      <c r="C502">
        <v>852</v>
      </c>
      <c r="D502">
        <v>30</v>
      </c>
      <c r="E502" t="s">
        <v>37</v>
      </c>
      <c r="F502" t="s">
        <v>68</v>
      </c>
      <c r="G502">
        <v>4</v>
      </c>
      <c r="H502" s="12">
        <v>409.58</v>
      </c>
      <c r="I502" t="s">
        <v>35</v>
      </c>
      <c r="J502" t="s">
        <v>474</v>
      </c>
      <c r="K502">
        <v>5</v>
      </c>
      <c r="L502" t="s">
        <v>21</v>
      </c>
      <c r="M502">
        <v>46</v>
      </c>
      <c r="N502" s="21">
        <f t="shared" si="14"/>
        <v>1638.32</v>
      </c>
      <c r="O502" s="21">
        <f t="shared" si="15"/>
        <v>491.49599999999998</v>
      </c>
    </row>
    <row r="503" spans="1:15" x14ac:dyDescent="0.3">
      <c r="A503">
        <v>14276</v>
      </c>
      <c r="B503" s="1">
        <v>45549</v>
      </c>
      <c r="C503">
        <v>513</v>
      </c>
      <c r="D503">
        <v>50</v>
      </c>
      <c r="E503" t="s">
        <v>18</v>
      </c>
      <c r="F503" t="s">
        <v>34</v>
      </c>
      <c r="G503">
        <v>5</v>
      </c>
      <c r="H503" s="12">
        <v>212.42</v>
      </c>
      <c r="I503" t="s">
        <v>15</v>
      </c>
      <c r="J503" t="s">
        <v>660</v>
      </c>
      <c r="L503" t="s">
        <v>21</v>
      </c>
      <c r="M503">
        <v>73</v>
      </c>
      <c r="N503" s="21">
        <f t="shared" si="14"/>
        <v>1062.0999999999999</v>
      </c>
      <c r="O503" s="21">
        <f t="shared" si="15"/>
        <v>318.62999999999994</v>
      </c>
    </row>
    <row r="504" spans="1:15" x14ac:dyDescent="0.3">
      <c r="A504">
        <v>60295</v>
      </c>
      <c r="B504" s="1">
        <v>45549</v>
      </c>
      <c r="C504">
        <v>636</v>
      </c>
      <c r="D504">
        <v>50</v>
      </c>
      <c r="E504" t="s">
        <v>18</v>
      </c>
      <c r="F504" t="s">
        <v>34</v>
      </c>
      <c r="G504">
        <v>2</v>
      </c>
      <c r="H504" s="12">
        <v>349.54</v>
      </c>
      <c r="I504" t="s">
        <v>15</v>
      </c>
      <c r="J504" t="s">
        <v>720</v>
      </c>
      <c r="K504">
        <v>5</v>
      </c>
      <c r="L504" t="s">
        <v>21</v>
      </c>
      <c r="M504">
        <v>71</v>
      </c>
      <c r="N504" s="21">
        <f t="shared" si="14"/>
        <v>699.08</v>
      </c>
      <c r="O504" s="21">
        <f t="shared" si="15"/>
        <v>209.72400000000002</v>
      </c>
    </row>
    <row r="505" spans="1:15" x14ac:dyDescent="0.3">
      <c r="A505">
        <v>68220</v>
      </c>
      <c r="B505" s="1">
        <v>45550</v>
      </c>
      <c r="C505">
        <v>961</v>
      </c>
      <c r="D505">
        <v>30</v>
      </c>
      <c r="E505" t="s">
        <v>37</v>
      </c>
      <c r="F505" t="s">
        <v>58</v>
      </c>
      <c r="G505">
        <v>2</v>
      </c>
      <c r="H505" s="12">
        <v>113.21</v>
      </c>
      <c r="I505" t="s">
        <v>26</v>
      </c>
      <c r="J505" t="s">
        <v>99</v>
      </c>
      <c r="K505">
        <v>1</v>
      </c>
      <c r="L505" t="s">
        <v>17</v>
      </c>
      <c r="M505">
        <v>50</v>
      </c>
      <c r="N505" s="21">
        <f t="shared" si="14"/>
        <v>226.42</v>
      </c>
      <c r="O505" s="21">
        <f t="shared" si="15"/>
        <v>67.925999999999988</v>
      </c>
    </row>
    <row r="506" spans="1:15" x14ac:dyDescent="0.3">
      <c r="A506">
        <v>53270</v>
      </c>
      <c r="B506" s="1">
        <v>45550</v>
      </c>
      <c r="C506">
        <v>848</v>
      </c>
      <c r="D506">
        <v>20</v>
      </c>
      <c r="E506" t="s">
        <v>28</v>
      </c>
      <c r="F506" t="s">
        <v>29</v>
      </c>
      <c r="G506">
        <v>1</v>
      </c>
      <c r="H506" s="12">
        <v>431.8</v>
      </c>
      <c r="I506" t="s">
        <v>35</v>
      </c>
      <c r="J506" t="s">
        <v>539</v>
      </c>
      <c r="K506">
        <v>4</v>
      </c>
      <c r="L506" t="s">
        <v>17</v>
      </c>
      <c r="M506">
        <v>65</v>
      </c>
      <c r="N506" s="21">
        <f t="shared" si="14"/>
        <v>431.8</v>
      </c>
      <c r="O506" s="21">
        <f t="shared" si="15"/>
        <v>129.54</v>
      </c>
    </row>
    <row r="507" spans="1:15" x14ac:dyDescent="0.3">
      <c r="A507">
        <v>71646</v>
      </c>
      <c r="B507" s="1">
        <v>45550</v>
      </c>
      <c r="C507">
        <v>693</v>
      </c>
      <c r="D507">
        <v>30</v>
      </c>
      <c r="E507" t="s">
        <v>37</v>
      </c>
      <c r="F507" t="s">
        <v>40</v>
      </c>
      <c r="G507">
        <v>2</v>
      </c>
      <c r="H507" s="12">
        <v>60.33</v>
      </c>
      <c r="I507" t="s">
        <v>35</v>
      </c>
      <c r="J507" t="s">
        <v>668</v>
      </c>
      <c r="K507">
        <v>4</v>
      </c>
      <c r="L507" t="s">
        <v>21</v>
      </c>
      <c r="M507">
        <v>48</v>
      </c>
      <c r="N507" s="21">
        <f t="shared" si="14"/>
        <v>120.66</v>
      </c>
      <c r="O507" s="21">
        <f t="shared" si="15"/>
        <v>36.198</v>
      </c>
    </row>
    <row r="508" spans="1:15" x14ac:dyDescent="0.3">
      <c r="A508">
        <v>79047</v>
      </c>
      <c r="B508" s="1">
        <v>45551</v>
      </c>
      <c r="C508">
        <v>517</v>
      </c>
      <c r="D508">
        <v>50</v>
      </c>
      <c r="E508" t="s">
        <v>18</v>
      </c>
      <c r="F508" t="s">
        <v>87</v>
      </c>
      <c r="G508">
        <v>3</v>
      </c>
      <c r="H508" s="12">
        <v>310.39</v>
      </c>
      <c r="I508" t="s">
        <v>26</v>
      </c>
      <c r="J508" t="s">
        <v>874</v>
      </c>
      <c r="K508">
        <v>4</v>
      </c>
      <c r="L508" t="s">
        <v>21</v>
      </c>
      <c r="M508">
        <v>62</v>
      </c>
      <c r="N508" s="21">
        <f t="shared" si="14"/>
        <v>931.17</v>
      </c>
      <c r="O508" s="21">
        <f t="shared" si="15"/>
        <v>279.351</v>
      </c>
    </row>
    <row r="509" spans="1:15" x14ac:dyDescent="0.3">
      <c r="A509">
        <v>77178</v>
      </c>
      <c r="B509" s="1">
        <v>45552</v>
      </c>
      <c r="C509">
        <v>167</v>
      </c>
      <c r="D509">
        <v>40</v>
      </c>
      <c r="E509" t="s">
        <v>24</v>
      </c>
      <c r="F509" t="s">
        <v>63</v>
      </c>
      <c r="G509">
        <v>5</v>
      </c>
      <c r="H509" s="12">
        <v>126.23</v>
      </c>
      <c r="I509" t="s">
        <v>35</v>
      </c>
      <c r="J509" t="s">
        <v>217</v>
      </c>
      <c r="K509">
        <v>3</v>
      </c>
      <c r="L509" t="s">
        <v>21</v>
      </c>
      <c r="M509">
        <v>61</v>
      </c>
      <c r="N509" s="21">
        <f t="shared" si="14"/>
        <v>631.15</v>
      </c>
      <c r="O509" s="21">
        <f t="shared" si="15"/>
        <v>189.345</v>
      </c>
    </row>
    <row r="510" spans="1:15" x14ac:dyDescent="0.3">
      <c r="A510">
        <v>84001</v>
      </c>
      <c r="B510" s="1">
        <v>45552</v>
      </c>
      <c r="C510">
        <v>970</v>
      </c>
      <c r="D510">
        <v>10</v>
      </c>
      <c r="E510" t="s">
        <v>13</v>
      </c>
      <c r="F510" t="s">
        <v>42</v>
      </c>
      <c r="G510">
        <v>5</v>
      </c>
      <c r="H510" s="12">
        <v>332.86</v>
      </c>
      <c r="I510" t="s">
        <v>15</v>
      </c>
      <c r="J510" t="s">
        <v>875</v>
      </c>
      <c r="K510">
        <v>5</v>
      </c>
      <c r="L510" t="s">
        <v>21</v>
      </c>
      <c r="M510">
        <v>67</v>
      </c>
      <c r="N510" s="21">
        <f t="shared" si="14"/>
        <v>1664.3000000000002</v>
      </c>
      <c r="O510" s="21">
        <f t="shared" si="15"/>
        <v>499.29</v>
      </c>
    </row>
    <row r="511" spans="1:15" x14ac:dyDescent="0.3">
      <c r="A511">
        <v>61427</v>
      </c>
      <c r="B511" s="1">
        <v>45552</v>
      </c>
      <c r="C511">
        <v>410</v>
      </c>
      <c r="D511">
        <v>10</v>
      </c>
      <c r="E511" t="s">
        <v>13</v>
      </c>
      <c r="F511" t="s">
        <v>47</v>
      </c>
      <c r="G511">
        <v>4</v>
      </c>
      <c r="H511" s="12">
        <v>221.54</v>
      </c>
      <c r="I511" t="s">
        <v>35</v>
      </c>
      <c r="J511" t="s">
        <v>1008</v>
      </c>
      <c r="K511">
        <v>3</v>
      </c>
      <c r="L511" t="s">
        <v>21</v>
      </c>
      <c r="M511">
        <v>71</v>
      </c>
      <c r="N511" s="21">
        <f t="shared" si="14"/>
        <v>886.16</v>
      </c>
      <c r="O511" s="21">
        <f t="shared" si="15"/>
        <v>265.84799999999996</v>
      </c>
    </row>
    <row r="512" spans="1:15" x14ac:dyDescent="0.3">
      <c r="A512">
        <v>96418</v>
      </c>
      <c r="B512" s="1">
        <v>45553</v>
      </c>
      <c r="C512">
        <v>939</v>
      </c>
      <c r="D512">
        <v>30</v>
      </c>
      <c r="E512" t="s">
        <v>37</v>
      </c>
      <c r="F512" t="s">
        <v>58</v>
      </c>
      <c r="G512">
        <v>2</v>
      </c>
      <c r="H512" s="12">
        <v>325.88</v>
      </c>
      <c r="I512" t="s">
        <v>26</v>
      </c>
      <c r="J512" t="s">
        <v>618</v>
      </c>
      <c r="K512">
        <v>5</v>
      </c>
      <c r="L512" t="s">
        <v>17</v>
      </c>
      <c r="M512">
        <v>64</v>
      </c>
      <c r="N512" s="21">
        <f t="shared" si="14"/>
        <v>651.76</v>
      </c>
      <c r="O512" s="21">
        <f t="shared" si="15"/>
        <v>195.52799999999999</v>
      </c>
    </row>
    <row r="513" spans="1:15" x14ac:dyDescent="0.3">
      <c r="A513">
        <v>53004</v>
      </c>
      <c r="B513" s="1">
        <v>45554</v>
      </c>
      <c r="C513">
        <v>309</v>
      </c>
      <c r="D513">
        <v>30</v>
      </c>
      <c r="E513" t="s">
        <v>37</v>
      </c>
      <c r="F513" t="s">
        <v>58</v>
      </c>
      <c r="G513">
        <v>5</v>
      </c>
      <c r="H513" s="12">
        <v>249.38</v>
      </c>
      <c r="I513" t="s">
        <v>15</v>
      </c>
      <c r="J513" t="s">
        <v>100</v>
      </c>
      <c r="L513" t="s">
        <v>21</v>
      </c>
      <c r="M513">
        <v>20</v>
      </c>
      <c r="N513" s="21">
        <f t="shared" si="14"/>
        <v>1246.9000000000001</v>
      </c>
      <c r="O513" s="21">
        <f t="shared" si="15"/>
        <v>374.07</v>
      </c>
    </row>
    <row r="514" spans="1:15" x14ac:dyDescent="0.3">
      <c r="A514">
        <v>62697</v>
      </c>
      <c r="B514" s="1">
        <v>45554</v>
      </c>
      <c r="C514">
        <v>774</v>
      </c>
      <c r="D514">
        <v>10</v>
      </c>
      <c r="E514" t="s">
        <v>13</v>
      </c>
      <c r="F514" t="s">
        <v>111</v>
      </c>
      <c r="G514">
        <v>2</v>
      </c>
      <c r="H514" s="12">
        <v>471.12</v>
      </c>
      <c r="I514" t="s">
        <v>26</v>
      </c>
      <c r="J514" t="s">
        <v>170</v>
      </c>
      <c r="L514" t="s">
        <v>21</v>
      </c>
      <c r="M514">
        <v>25</v>
      </c>
      <c r="N514" s="21">
        <f t="shared" si="14"/>
        <v>942.24</v>
      </c>
      <c r="O514" s="21">
        <f t="shared" si="15"/>
        <v>282.67199999999997</v>
      </c>
    </row>
    <row r="515" spans="1:15" x14ac:dyDescent="0.3">
      <c r="A515">
        <v>52324</v>
      </c>
      <c r="B515" s="1">
        <v>45555</v>
      </c>
      <c r="C515">
        <v>932</v>
      </c>
      <c r="D515">
        <v>20</v>
      </c>
      <c r="E515" t="s">
        <v>28</v>
      </c>
      <c r="F515" t="s">
        <v>79</v>
      </c>
      <c r="G515">
        <v>2</v>
      </c>
      <c r="H515" s="12">
        <v>260.14</v>
      </c>
      <c r="I515" t="s">
        <v>15</v>
      </c>
      <c r="J515" t="s">
        <v>275</v>
      </c>
      <c r="K515">
        <v>4</v>
      </c>
      <c r="L515" t="s">
        <v>21</v>
      </c>
      <c r="M515">
        <v>64</v>
      </c>
      <c r="N515" s="21">
        <f t="shared" ref="N515:N578" si="16">H515*G515</f>
        <v>520.28</v>
      </c>
      <c r="O515" s="21">
        <f t="shared" ref="O515:O578" si="17">N515*0.3</f>
        <v>156.08399999999997</v>
      </c>
    </row>
    <row r="516" spans="1:15" x14ac:dyDescent="0.3">
      <c r="A516">
        <v>86646</v>
      </c>
      <c r="B516" s="1">
        <v>45555</v>
      </c>
      <c r="C516">
        <v>279</v>
      </c>
      <c r="D516">
        <v>20</v>
      </c>
      <c r="E516" t="s">
        <v>28</v>
      </c>
      <c r="F516" t="s">
        <v>77</v>
      </c>
      <c r="G516">
        <v>2</v>
      </c>
      <c r="H516" s="12">
        <v>397.28</v>
      </c>
      <c r="I516" t="s">
        <v>15</v>
      </c>
      <c r="J516" t="s">
        <v>340</v>
      </c>
      <c r="K516">
        <v>3</v>
      </c>
      <c r="L516" t="s">
        <v>17</v>
      </c>
      <c r="M516">
        <v>55</v>
      </c>
      <c r="N516" s="21">
        <f t="shared" si="16"/>
        <v>794.56</v>
      </c>
      <c r="O516" s="21">
        <f t="shared" si="17"/>
        <v>238.36799999999997</v>
      </c>
    </row>
    <row r="517" spans="1:15" x14ac:dyDescent="0.3">
      <c r="A517">
        <v>79476</v>
      </c>
      <c r="B517" s="1">
        <v>45555</v>
      </c>
      <c r="C517">
        <v>880</v>
      </c>
      <c r="D517">
        <v>50</v>
      </c>
      <c r="E517" t="s">
        <v>18</v>
      </c>
      <c r="F517" t="s">
        <v>87</v>
      </c>
      <c r="G517">
        <v>4</v>
      </c>
      <c r="H517" s="12">
        <v>322.58999999999997</v>
      </c>
      <c r="I517" t="s">
        <v>15</v>
      </c>
      <c r="J517" t="s">
        <v>387</v>
      </c>
      <c r="L517" t="s">
        <v>21</v>
      </c>
      <c r="M517">
        <v>25</v>
      </c>
      <c r="N517" s="21">
        <f t="shared" si="16"/>
        <v>1290.3599999999999</v>
      </c>
      <c r="O517" s="21">
        <f t="shared" si="17"/>
        <v>387.10799999999995</v>
      </c>
    </row>
    <row r="518" spans="1:15" x14ac:dyDescent="0.3">
      <c r="A518">
        <v>50437</v>
      </c>
      <c r="B518" s="1">
        <v>45555</v>
      </c>
      <c r="C518">
        <v>220</v>
      </c>
      <c r="D518">
        <v>40</v>
      </c>
      <c r="E518" t="s">
        <v>24</v>
      </c>
      <c r="F518" t="s">
        <v>44</v>
      </c>
      <c r="G518">
        <v>2</v>
      </c>
      <c r="H518" s="12">
        <v>266.27</v>
      </c>
      <c r="I518" t="s">
        <v>35</v>
      </c>
      <c r="J518" t="s">
        <v>547</v>
      </c>
      <c r="K518">
        <v>2</v>
      </c>
      <c r="L518" t="s">
        <v>21</v>
      </c>
      <c r="M518">
        <v>34</v>
      </c>
      <c r="N518" s="21">
        <f t="shared" si="16"/>
        <v>532.54</v>
      </c>
      <c r="O518" s="21">
        <f t="shared" si="17"/>
        <v>159.76199999999997</v>
      </c>
    </row>
    <row r="519" spans="1:15" x14ac:dyDescent="0.3">
      <c r="A519">
        <v>15858</v>
      </c>
      <c r="B519" s="1">
        <v>45555</v>
      </c>
      <c r="C519">
        <v>626</v>
      </c>
      <c r="D519">
        <v>30</v>
      </c>
      <c r="E519" t="s">
        <v>37</v>
      </c>
      <c r="F519" t="s">
        <v>40</v>
      </c>
      <c r="G519">
        <v>2</v>
      </c>
      <c r="H519" s="12">
        <v>213.97</v>
      </c>
      <c r="I519" t="s">
        <v>35</v>
      </c>
      <c r="J519" t="s">
        <v>554</v>
      </c>
      <c r="K519">
        <v>3</v>
      </c>
      <c r="L519" t="s">
        <v>17</v>
      </c>
      <c r="M519">
        <v>51</v>
      </c>
      <c r="N519" s="21">
        <f t="shared" si="16"/>
        <v>427.94</v>
      </c>
      <c r="O519" s="21">
        <f t="shared" si="17"/>
        <v>128.38200000000001</v>
      </c>
    </row>
    <row r="520" spans="1:15" x14ac:dyDescent="0.3">
      <c r="A520">
        <v>92429</v>
      </c>
      <c r="B520" s="1">
        <v>45555</v>
      </c>
      <c r="C520">
        <v>710</v>
      </c>
      <c r="D520">
        <v>10</v>
      </c>
      <c r="E520" t="s">
        <v>13</v>
      </c>
      <c r="F520" t="s">
        <v>111</v>
      </c>
      <c r="G520">
        <v>4</v>
      </c>
      <c r="H520" s="12">
        <v>303.16000000000003</v>
      </c>
      <c r="I520" t="s">
        <v>35</v>
      </c>
      <c r="J520" t="s">
        <v>784</v>
      </c>
      <c r="K520">
        <v>4</v>
      </c>
      <c r="L520" t="s">
        <v>21</v>
      </c>
      <c r="M520">
        <v>50</v>
      </c>
      <c r="N520" s="21">
        <f t="shared" si="16"/>
        <v>1212.6400000000001</v>
      </c>
      <c r="O520" s="21">
        <f t="shared" si="17"/>
        <v>363.79200000000003</v>
      </c>
    </row>
    <row r="521" spans="1:15" x14ac:dyDescent="0.3">
      <c r="A521">
        <v>53811</v>
      </c>
      <c r="B521" s="1">
        <v>45556</v>
      </c>
      <c r="C521">
        <v>551</v>
      </c>
      <c r="D521">
        <v>40</v>
      </c>
      <c r="E521" t="s">
        <v>24</v>
      </c>
      <c r="F521" t="s">
        <v>65</v>
      </c>
      <c r="G521">
        <v>5</v>
      </c>
      <c r="H521" s="12">
        <v>426.37</v>
      </c>
      <c r="I521" t="s">
        <v>15</v>
      </c>
      <c r="J521" t="s">
        <v>125</v>
      </c>
      <c r="K521">
        <v>4</v>
      </c>
      <c r="L521" t="s">
        <v>17</v>
      </c>
      <c r="M521">
        <v>52</v>
      </c>
      <c r="N521" s="21">
        <f t="shared" si="16"/>
        <v>2131.85</v>
      </c>
      <c r="O521" s="21">
        <f t="shared" si="17"/>
        <v>639.55499999999995</v>
      </c>
    </row>
    <row r="522" spans="1:15" x14ac:dyDescent="0.3">
      <c r="A522">
        <v>78056</v>
      </c>
      <c r="B522" s="1">
        <v>45556</v>
      </c>
      <c r="C522">
        <v>313</v>
      </c>
      <c r="D522">
        <v>40</v>
      </c>
      <c r="E522" t="s">
        <v>24</v>
      </c>
      <c r="F522" t="s">
        <v>49</v>
      </c>
      <c r="G522">
        <v>2</v>
      </c>
      <c r="H522" s="12">
        <v>113.24</v>
      </c>
      <c r="I522" t="s">
        <v>15</v>
      </c>
      <c r="J522" t="s">
        <v>770</v>
      </c>
      <c r="K522">
        <v>5</v>
      </c>
      <c r="L522" t="s">
        <v>21</v>
      </c>
      <c r="M522">
        <v>43</v>
      </c>
      <c r="N522" s="21">
        <f t="shared" si="16"/>
        <v>226.48</v>
      </c>
      <c r="O522" s="21">
        <f t="shared" si="17"/>
        <v>67.943999999999988</v>
      </c>
    </row>
    <row r="523" spans="1:15" x14ac:dyDescent="0.3">
      <c r="A523">
        <v>89576</v>
      </c>
      <c r="B523" s="1">
        <v>45556</v>
      </c>
      <c r="C523">
        <v>774</v>
      </c>
      <c r="D523">
        <v>30</v>
      </c>
      <c r="E523" t="s">
        <v>37</v>
      </c>
      <c r="F523" t="s">
        <v>68</v>
      </c>
      <c r="G523">
        <v>3</v>
      </c>
      <c r="H523" s="12">
        <v>82.53</v>
      </c>
      <c r="I523" t="s">
        <v>26</v>
      </c>
      <c r="J523" t="s">
        <v>899</v>
      </c>
      <c r="L523" t="s">
        <v>17</v>
      </c>
      <c r="M523">
        <v>26</v>
      </c>
      <c r="N523" s="21">
        <f t="shared" si="16"/>
        <v>247.59</v>
      </c>
      <c r="O523" s="21">
        <f t="shared" si="17"/>
        <v>74.277000000000001</v>
      </c>
    </row>
    <row r="524" spans="1:15" x14ac:dyDescent="0.3">
      <c r="A524">
        <v>48519</v>
      </c>
      <c r="B524" s="1">
        <v>45557</v>
      </c>
      <c r="C524">
        <v>954</v>
      </c>
      <c r="D524">
        <v>30</v>
      </c>
      <c r="E524" t="s">
        <v>37</v>
      </c>
      <c r="F524" t="s">
        <v>38</v>
      </c>
      <c r="G524">
        <v>4</v>
      </c>
      <c r="H524" s="12">
        <v>206.28</v>
      </c>
      <c r="I524" t="s">
        <v>35</v>
      </c>
      <c r="J524" t="s">
        <v>363</v>
      </c>
      <c r="K524">
        <v>4</v>
      </c>
      <c r="L524" t="s">
        <v>21</v>
      </c>
      <c r="M524">
        <v>67</v>
      </c>
      <c r="N524" s="21">
        <f t="shared" si="16"/>
        <v>825.12</v>
      </c>
      <c r="O524" s="21">
        <f t="shared" si="17"/>
        <v>247.536</v>
      </c>
    </row>
    <row r="525" spans="1:15" x14ac:dyDescent="0.3">
      <c r="A525">
        <v>14108</v>
      </c>
      <c r="B525" s="1">
        <v>45557</v>
      </c>
      <c r="C525">
        <v>820</v>
      </c>
      <c r="D525">
        <v>40</v>
      </c>
      <c r="E525" t="s">
        <v>24</v>
      </c>
      <c r="F525" t="s">
        <v>49</v>
      </c>
      <c r="G525">
        <v>1</v>
      </c>
      <c r="H525" s="12">
        <v>357.97</v>
      </c>
      <c r="I525" t="s">
        <v>26</v>
      </c>
      <c r="J525" t="s">
        <v>506</v>
      </c>
      <c r="K525">
        <v>4</v>
      </c>
      <c r="L525" t="s">
        <v>21</v>
      </c>
      <c r="M525">
        <v>55</v>
      </c>
      <c r="N525" s="21">
        <f t="shared" si="16"/>
        <v>357.97</v>
      </c>
      <c r="O525" s="21">
        <f t="shared" si="17"/>
        <v>107.39100000000001</v>
      </c>
    </row>
    <row r="526" spans="1:15" x14ac:dyDescent="0.3">
      <c r="A526">
        <v>96041</v>
      </c>
      <c r="B526" s="1">
        <v>45557</v>
      </c>
      <c r="C526">
        <v>595</v>
      </c>
      <c r="D526">
        <v>10</v>
      </c>
      <c r="E526" t="s">
        <v>13</v>
      </c>
      <c r="F526" t="s">
        <v>14</v>
      </c>
      <c r="G526">
        <v>2</v>
      </c>
      <c r="H526" s="12">
        <v>177.49</v>
      </c>
      <c r="I526" t="s">
        <v>26</v>
      </c>
      <c r="J526" t="s">
        <v>608</v>
      </c>
      <c r="L526" t="s">
        <v>21</v>
      </c>
      <c r="M526">
        <v>56</v>
      </c>
      <c r="N526" s="21">
        <f t="shared" si="16"/>
        <v>354.98</v>
      </c>
      <c r="O526" s="21">
        <f t="shared" si="17"/>
        <v>106.494</v>
      </c>
    </row>
    <row r="527" spans="1:15" x14ac:dyDescent="0.3">
      <c r="A527">
        <v>88321</v>
      </c>
      <c r="B527" s="1">
        <v>45557</v>
      </c>
      <c r="C527">
        <v>738</v>
      </c>
      <c r="D527">
        <v>10</v>
      </c>
      <c r="E527" t="s">
        <v>13</v>
      </c>
      <c r="F527" t="s">
        <v>42</v>
      </c>
      <c r="G527">
        <v>5</v>
      </c>
      <c r="H527" s="12">
        <v>193.09</v>
      </c>
      <c r="I527" t="s">
        <v>26</v>
      </c>
      <c r="J527" t="s">
        <v>845</v>
      </c>
      <c r="K527">
        <v>5</v>
      </c>
      <c r="L527" t="s">
        <v>21</v>
      </c>
      <c r="M527">
        <v>48</v>
      </c>
      <c r="N527" s="21">
        <f t="shared" si="16"/>
        <v>965.45</v>
      </c>
      <c r="O527" s="21">
        <f t="shared" si="17"/>
        <v>289.63499999999999</v>
      </c>
    </row>
    <row r="528" spans="1:15" x14ac:dyDescent="0.3">
      <c r="A528">
        <v>36855</v>
      </c>
      <c r="B528" s="1">
        <v>45557</v>
      </c>
      <c r="C528">
        <v>132</v>
      </c>
      <c r="D528">
        <v>10</v>
      </c>
      <c r="E528" t="s">
        <v>13</v>
      </c>
      <c r="F528" t="s">
        <v>111</v>
      </c>
      <c r="G528">
        <v>2</v>
      </c>
      <c r="H528" s="12">
        <v>301.92</v>
      </c>
      <c r="I528" t="s">
        <v>35</v>
      </c>
      <c r="J528" t="s">
        <v>220</v>
      </c>
      <c r="L528" t="s">
        <v>17</v>
      </c>
      <c r="M528">
        <v>43</v>
      </c>
      <c r="N528" s="21">
        <f t="shared" si="16"/>
        <v>603.84</v>
      </c>
      <c r="O528" s="21">
        <f t="shared" si="17"/>
        <v>181.15200000000002</v>
      </c>
    </row>
    <row r="529" spans="1:15" x14ac:dyDescent="0.3">
      <c r="A529">
        <v>32232</v>
      </c>
      <c r="B529" s="1">
        <v>45558</v>
      </c>
      <c r="C529">
        <v>476</v>
      </c>
      <c r="D529">
        <v>10</v>
      </c>
      <c r="E529" t="s">
        <v>13</v>
      </c>
      <c r="F529" t="s">
        <v>14</v>
      </c>
      <c r="G529">
        <v>1</v>
      </c>
      <c r="H529" s="12">
        <v>234.56</v>
      </c>
      <c r="I529" t="s">
        <v>35</v>
      </c>
      <c r="J529" t="s">
        <v>93</v>
      </c>
      <c r="K529">
        <v>5</v>
      </c>
      <c r="L529" t="s">
        <v>21</v>
      </c>
      <c r="M529">
        <v>55</v>
      </c>
      <c r="N529" s="21">
        <f t="shared" si="16"/>
        <v>234.56</v>
      </c>
      <c r="O529" s="21">
        <f t="shared" si="17"/>
        <v>70.367999999999995</v>
      </c>
    </row>
    <row r="530" spans="1:15" x14ac:dyDescent="0.3">
      <c r="A530">
        <v>56464</v>
      </c>
      <c r="B530" s="1">
        <v>45558</v>
      </c>
      <c r="C530">
        <v>361</v>
      </c>
      <c r="D530">
        <v>20</v>
      </c>
      <c r="E530" t="s">
        <v>28</v>
      </c>
      <c r="F530" t="s">
        <v>72</v>
      </c>
      <c r="G530">
        <v>1</v>
      </c>
      <c r="H530" s="12">
        <v>483.14</v>
      </c>
      <c r="I530" t="s">
        <v>26</v>
      </c>
      <c r="J530" t="s">
        <v>300</v>
      </c>
      <c r="K530">
        <v>5</v>
      </c>
      <c r="L530" t="s">
        <v>21</v>
      </c>
      <c r="M530">
        <v>44</v>
      </c>
      <c r="N530" s="21">
        <f t="shared" si="16"/>
        <v>483.14</v>
      </c>
      <c r="O530" s="21">
        <f t="shared" si="17"/>
        <v>144.94199999999998</v>
      </c>
    </row>
    <row r="531" spans="1:15" x14ac:dyDescent="0.3">
      <c r="A531">
        <v>82689</v>
      </c>
      <c r="B531" s="1">
        <v>45558</v>
      </c>
      <c r="C531">
        <v>254</v>
      </c>
      <c r="D531">
        <v>30</v>
      </c>
      <c r="E531" t="s">
        <v>37</v>
      </c>
      <c r="F531" t="s">
        <v>95</v>
      </c>
      <c r="G531">
        <v>1</v>
      </c>
      <c r="H531" s="12">
        <v>169.29</v>
      </c>
      <c r="I531" t="s">
        <v>35</v>
      </c>
      <c r="J531" t="s">
        <v>827</v>
      </c>
      <c r="K531">
        <v>4</v>
      </c>
      <c r="L531" t="s">
        <v>17</v>
      </c>
      <c r="M531">
        <v>23</v>
      </c>
      <c r="N531" s="21">
        <f t="shared" si="16"/>
        <v>169.29</v>
      </c>
      <c r="O531" s="21">
        <f t="shared" si="17"/>
        <v>50.786999999999999</v>
      </c>
    </row>
    <row r="532" spans="1:15" x14ac:dyDescent="0.3">
      <c r="A532">
        <v>11871</v>
      </c>
      <c r="B532" s="1">
        <v>45558</v>
      </c>
      <c r="C532">
        <v>479</v>
      </c>
      <c r="D532">
        <v>30</v>
      </c>
      <c r="E532" t="s">
        <v>37</v>
      </c>
      <c r="F532" t="s">
        <v>95</v>
      </c>
      <c r="G532">
        <v>3</v>
      </c>
      <c r="H532" s="12">
        <v>258.27999999999997</v>
      </c>
      <c r="I532" t="s">
        <v>26</v>
      </c>
      <c r="J532" t="s">
        <v>965</v>
      </c>
      <c r="K532">
        <v>5</v>
      </c>
      <c r="L532" t="s">
        <v>21</v>
      </c>
      <c r="M532">
        <v>65</v>
      </c>
      <c r="N532" s="21">
        <f t="shared" si="16"/>
        <v>774.83999999999992</v>
      </c>
      <c r="O532" s="21">
        <f t="shared" si="17"/>
        <v>232.45199999999997</v>
      </c>
    </row>
    <row r="533" spans="1:15" x14ac:dyDescent="0.3">
      <c r="A533">
        <v>26652</v>
      </c>
      <c r="B533" s="1">
        <v>45559</v>
      </c>
      <c r="C533">
        <v>952</v>
      </c>
      <c r="D533">
        <v>10</v>
      </c>
      <c r="E533" t="s">
        <v>13</v>
      </c>
      <c r="F533" t="s">
        <v>32</v>
      </c>
      <c r="G533">
        <v>2</v>
      </c>
      <c r="H533" s="12">
        <v>480.79</v>
      </c>
      <c r="I533" t="s">
        <v>35</v>
      </c>
      <c r="J533" t="s">
        <v>153</v>
      </c>
      <c r="K533">
        <v>5</v>
      </c>
      <c r="L533" t="s">
        <v>17</v>
      </c>
      <c r="M533">
        <v>48</v>
      </c>
      <c r="N533" s="21">
        <f t="shared" si="16"/>
        <v>961.58</v>
      </c>
      <c r="O533" s="21">
        <f t="shared" si="17"/>
        <v>288.47399999999999</v>
      </c>
    </row>
    <row r="534" spans="1:15" x14ac:dyDescent="0.3">
      <c r="A534">
        <v>33496</v>
      </c>
      <c r="B534" s="1">
        <v>45559</v>
      </c>
      <c r="C534">
        <v>863</v>
      </c>
      <c r="D534">
        <v>50</v>
      </c>
      <c r="E534" t="s">
        <v>18</v>
      </c>
      <c r="F534" t="s">
        <v>84</v>
      </c>
      <c r="G534">
        <v>5</v>
      </c>
      <c r="H534" s="12">
        <v>174.83</v>
      </c>
      <c r="I534" t="s">
        <v>26</v>
      </c>
      <c r="J534" t="s">
        <v>157</v>
      </c>
      <c r="K534">
        <v>5</v>
      </c>
      <c r="L534" t="s">
        <v>21</v>
      </c>
      <c r="M534">
        <v>71</v>
      </c>
      <c r="N534" s="21">
        <f t="shared" si="16"/>
        <v>874.15000000000009</v>
      </c>
      <c r="O534" s="21">
        <f t="shared" si="17"/>
        <v>262.245</v>
      </c>
    </row>
    <row r="535" spans="1:15" x14ac:dyDescent="0.3">
      <c r="A535">
        <v>76010</v>
      </c>
      <c r="B535" s="1">
        <v>45559</v>
      </c>
      <c r="C535">
        <v>248</v>
      </c>
      <c r="D535">
        <v>30</v>
      </c>
      <c r="E535" t="s">
        <v>37</v>
      </c>
      <c r="F535" t="s">
        <v>38</v>
      </c>
      <c r="G535">
        <v>1</v>
      </c>
      <c r="H535" s="12">
        <v>257.23</v>
      </c>
      <c r="I535" t="s">
        <v>15</v>
      </c>
      <c r="J535" t="s">
        <v>286</v>
      </c>
      <c r="L535" t="s">
        <v>17</v>
      </c>
      <c r="M535">
        <v>51</v>
      </c>
      <c r="N535" s="21">
        <f t="shared" si="16"/>
        <v>257.23</v>
      </c>
      <c r="O535" s="21">
        <f t="shared" si="17"/>
        <v>77.168999999999997</v>
      </c>
    </row>
    <row r="536" spans="1:15" x14ac:dyDescent="0.3">
      <c r="A536">
        <v>25889</v>
      </c>
      <c r="B536" s="1">
        <v>45559</v>
      </c>
      <c r="C536">
        <v>507</v>
      </c>
      <c r="D536">
        <v>20</v>
      </c>
      <c r="E536" t="s">
        <v>28</v>
      </c>
      <c r="F536" t="s">
        <v>29</v>
      </c>
      <c r="G536">
        <v>4</v>
      </c>
      <c r="H536" s="12">
        <v>255.89</v>
      </c>
      <c r="I536" t="s">
        <v>35</v>
      </c>
      <c r="J536" t="s">
        <v>376</v>
      </c>
      <c r="K536">
        <v>5</v>
      </c>
      <c r="L536" t="s">
        <v>17</v>
      </c>
      <c r="M536">
        <v>51</v>
      </c>
      <c r="N536" s="21">
        <f t="shared" si="16"/>
        <v>1023.56</v>
      </c>
      <c r="O536" s="21">
        <f t="shared" si="17"/>
        <v>307.06799999999998</v>
      </c>
    </row>
    <row r="537" spans="1:15" x14ac:dyDescent="0.3">
      <c r="A537">
        <v>42185</v>
      </c>
      <c r="B537" s="1">
        <v>45559</v>
      </c>
      <c r="C537">
        <v>615</v>
      </c>
      <c r="D537">
        <v>50</v>
      </c>
      <c r="E537" t="s">
        <v>18</v>
      </c>
      <c r="F537" t="s">
        <v>19</v>
      </c>
      <c r="G537">
        <v>2</v>
      </c>
      <c r="H537" s="12">
        <v>86.15</v>
      </c>
      <c r="I537" t="s">
        <v>15</v>
      </c>
      <c r="J537" t="s">
        <v>568</v>
      </c>
      <c r="K537">
        <v>4</v>
      </c>
      <c r="L537" t="s">
        <v>21</v>
      </c>
      <c r="M537">
        <v>35</v>
      </c>
      <c r="N537" s="21">
        <f t="shared" si="16"/>
        <v>172.3</v>
      </c>
      <c r="O537" s="21">
        <f t="shared" si="17"/>
        <v>51.690000000000005</v>
      </c>
    </row>
    <row r="538" spans="1:15" x14ac:dyDescent="0.3">
      <c r="A538">
        <v>94503</v>
      </c>
      <c r="B538" s="1">
        <v>45559</v>
      </c>
      <c r="C538">
        <v>874</v>
      </c>
      <c r="D538">
        <v>30</v>
      </c>
      <c r="E538" t="s">
        <v>37</v>
      </c>
      <c r="F538" t="s">
        <v>58</v>
      </c>
      <c r="G538">
        <v>2</v>
      </c>
      <c r="H538" s="12">
        <v>62.01</v>
      </c>
      <c r="I538" t="s">
        <v>35</v>
      </c>
      <c r="J538" t="s">
        <v>742</v>
      </c>
      <c r="K538">
        <v>3</v>
      </c>
      <c r="L538" t="s">
        <v>21</v>
      </c>
      <c r="M538">
        <v>68</v>
      </c>
      <c r="N538" s="21">
        <f t="shared" si="16"/>
        <v>124.02</v>
      </c>
      <c r="O538" s="21">
        <f t="shared" si="17"/>
        <v>37.205999999999996</v>
      </c>
    </row>
    <row r="539" spans="1:15" x14ac:dyDescent="0.3">
      <c r="A539">
        <v>50575</v>
      </c>
      <c r="B539" s="1">
        <v>45559</v>
      </c>
      <c r="C539">
        <v>107</v>
      </c>
      <c r="D539">
        <v>50</v>
      </c>
      <c r="E539" t="s">
        <v>18</v>
      </c>
      <c r="F539" t="s">
        <v>87</v>
      </c>
      <c r="G539">
        <v>4</v>
      </c>
      <c r="H539" s="12">
        <v>225.83</v>
      </c>
      <c r="I539" t="s">
        <v>15</v>
      </c>
      <c r="J539" t="s">
        <v>906</v>
      </c>
      <c r="L539" t="s">
        <v>21</v>
      </c>
      <c r="M539">
        <v>29</v>
      </c>
      <c r="N539" s="21">
        <f t="shared" si="16"/>
        <v>903.32</v>
      </c>
      <c r="O539" s="21">
        <f t="shared" si="17"/>
        <v>270.99599999999998</v>
      </c>
    </row>
    <row r="540" spans="1:15" x14ac:dyDescent="0.3">
      <c r="A540">
        <v>99887</v>
      </c>
      <c r="B540" s="1">
        <v>45559</v>
      </c>
      <c r="C540">
        <v>237</v>
      </c>
      <c r="D540">
        <v>50</v>
      </c>
      <c r="E540" t="s">
        <v>18</v>
      </c>
      <c r="F540" t="s">
        <v>84</v>
      </c>
      <c r="G540">
        <v>1</v>
      </c>
      <c r="H540" s="12">
        <v>101.82</v>
      </c>
      <c r="I540" t="s">
        <v>15</v>
      </c>
      <c r="J540" t="s">
        <v>972</v>
      </c>
      <c r="K540">
        <v>5</v>
      </c>
      <c r="L540" t="s">
        <v>17</v>
      </c>
      <c r="M540">
        <v>50</v>
      </c>
      <c r="N540" s="21">
        <f t="shared" si="16"/>
        <v>101.82</v>
      </c>
      <c r="O540" s="21">
        <f t="shared" si="17"/>
        <v>30.545999999999996</v>
      </c>
    </row>
    <row r="541" spans="1:15" x14ac:dyDescent="0.3">
      <c r="A541">
        <v>96195</v>
      </c>
      <c r="B541" s="1">
        <v>45560</v>
      </c>
      <c r="C541">
        <v>975</v>
      </c>
      <c r="D541">
        <v>30</v>
      </c>
      <c r="E541" t="s">
        <v>37</v>
      </c>
      <c r="F541" t="s">
        <v>58</v>
      </c>
      <c r="G541">
        <v>4</v>
      </c>
      <c r="H541" s="12">
        <v>196.7</v>
      </c>
      <c r="I541" t="s">
        <v>35</v>
      </c>
      <c r="J541" t="s">
        <v>20</v>
      </c>
      <c r="K541">
        <v>5</v>
      </c>
      <c r="L541" t="s">
        <v>21</v>
      </c>
      <c r="M541">
        <v>27</v>
      </c>
      <c r="N541" s="21">
        <f t="shared" si="16"/>
        <v>786.8</v>
      </c>
      <c r="O541" s="21">
        <f t="shared" si="17"/>
        <v>236.03999999999996</v>
      </c>
    </row>
    <row r="542" spans="1:15" x14ac:dyDescent="0.3">
      <c r="A542">
        <v>27766</v>
      </c>
      <c r="B542" s="1">
        <v>45560</v>
      </c>
      <c r="C542">
        <v>257</v>
      </c>
      <c r="D542">
        <v>30</v>
      </c>
      <c r="E542" t="s">
        <v>37</v>
      </c>
      <c r="F542" t="s">
        <v>68</v>
      </c>
      <c r="G542">
        <v>5</v>
      </c>
      <c r="H542" s="12">
        <v>154.72</v>
      </c>
      <c r="I542" t="s">
        <v>15</v>
      </c>
      <c r="J542" t="s">
        <v>680</v>
      </c>
      <c r="K542">
        <v>4</v>
      </c>
      <c r="M542">
        <v>39</v>
      </c>
      <c r="N542" s="21">
        <f t="shared" si="16"/>
        <v>773.6</v>
      </c>
      <c r="O542" s="21">
        <f t="shared" si="17"/>
        <v>232.07999999999998</v>
      </c>
    </row>
    <row r="543" spans="1:15" x14ac:dyDescent="0.3">
      <c r="A543">
        <v>36373</v>
      </c>
      <c r="B543" s="1">
        <v>45560</v>
      </c>
      <c r="C543">
        <v>901</v>
      </c>
      <c r="D543">
        <v>50</v>
      </c>
      <c r="E543" t="s">
        <v>18</v>
      </c>
      <c r="F543" t="s">
        <v>87</v>
      </c>
      <c r="G543">
        <v>1</v>
      </c>
      <c r="H543" s="12">
        <v>101.9</v>
      </c>
      <c r="I543" t="s">
        <v>26</v>
      </c>
      <c r="J543" t="s">
        <v>708</v>
      </c>
      <c r="K543">
        <v>1</v>
      </c>
      <c r="L543" t="s">
        <v>17</v>
      </c>
      <c r="M543">
        <v>50</v>
      </c>
      <c r="N543" s="21">
        <f t="shared" si="16"/>
        <v>101.9</v>
      </c>
      <c r="O543" s="21">
        <f t="shared" si="17"/>
        <v>30.57</v>
      </c>
    </row>
    <row r="544" spans="1:15" x14ac:dyDescent="0.3">
      <c r="A544">
        <v>71005</v>
      </c>
      <c r="B544" s="1">
        <v>45561</v>
      </c>
      <c r="C544">
        <v>203</v>
      </c>
      <c r="D544">
        <v>10</v>
      </c>
      <c r="E544" t="s">
        <v>13</v>
      </c>
      <c r="F544" t="s">
        <v>111</v>
      </c>
      <c r="G544">
        <v>3</v>
      </c>
      <c r="H544" s="12">
        <v>129.35</v>
      </c>
      <c r="I544" t="s">
        <v>15</v>
      </c>
      <c r="J544" t="s">
        <v>237</v>
      </c>
      <c r="K544">
        <v>5</v>
      </c>
      <c r="L544" t="s">
        <v>21</v>
      </c>
      <c r="M544">
        <v>28</v>
      </c>
      <c r="N544" s="21">
        <f t="shared" si="16"/>
        <v>388.04999999999995</v>
      </c>
      <c r="O544" s="21">
        <f t="shared" si="17"/>
        <v>116.41499999999998</v>
      </c>
    </row>
    <row r="545" spans="1:15" x14ac:dyDescent="0.3">
      <c r="A545">
        <v>53474</v>
      </c>
      <c r="B545" s="1">
        <v>45561</v>
      </c>
      <c r="C545">
        <v>892</v>
      </c>
      <c r="D545">
        <v>40</v>
      </c>
      <c r="E545" t="s">
        <v>24</v>
      </c>
      <c r="F545" t="s">
        <v>65</v>
      </c>
      <c r="G545">
        <v>5</v>
      </c>
      <c r="H545" s="12">
        <v>280.14999999999998</v>
      </c>
      <c r="I545" t="s">
        <v>26</v>
      </c>
      <c r="J545" t="s">
        <v>641</v>
      </c>
      <c r="L545" t="s">
        <v>17</v>
      </c>
      <c r="M545">
        <v>44</v>
      </c>
      <c r="N545" s="21">
        <f t="shared" si="16"/>
        <v>1400.75</v>
      </c>
      <c r="O545" s="21">
        <f t="shared" si="17"/>
        <v>420.22499999999997</v>
      </c>
    </row>
    <row r="546" spans="1:15" x14ac:dyDescent="0.3">
      <c r="A546">
        <v>54306</v>
      </c>
      <c r="B546" s="1">
        <v>45561</v>
      </c>
      <c r="C546">
        <v>409</v>
      </c>
      <c r="D546">
        <v>50</v>
      </c>
      <c r="E546" t="s">
        <v>18</v>
      </c>
      <c r="F546" t="s">
        <v>84</v>
      </c>
      <c r="G546">
        <v>1</v>
      </c>
      <c r="H546" s="12">
        <v>333.66</v>
      </c>
      <c r="I546" t="s">
        <v>35</v>
      </c>
      <c r="J546" t="s">
        <v>651</v>
      </c>
      <c r="L546" t="s">
        <v>21</v>
      </c>
      <c r="M546">
        <v>39</v>
      </c>
      <c r="N546" s="21">
        <f t="shared" si="16"/>
        <v>333.66</v>
      </c>
      <c r="O546" s="21">
        <f t="shared" si="17"/>
        <v>100.098</v>
      </c>
    </row>
    <row r="547" spans="1:15" x14ac:dyDescent="0.3">
      <c r="A547">
        <v>77823</v>
      </c>
      <c r="B547" s="1">
        <v>45562</v>
      </c>
      <c r="C547">
        <v>994</v>
      </c>
      <c r="D547">
        <v>10</v>
      </c>
      <c r="E547" t="s">
        <v>13</v>
      </c>
      <c r="F547" t="s">
        <v>14</v>
      </c>
      <c r="G547">
        <v>5</v>
      </c>
      <c r="H547" s="12">
        <v>475.31</v>
      </c>
      <c r="I547" t="s">
        <v>15</v>
      </c>
      <c r="J547" t="s">
        <v>145</v>
      </c>
      <c r="K547">
        <v>5</v>
      </c>
      <c r="L547" t="s">
        <v>17</v>
      </c>
      <c r="M547">
        <v>34</v>
      </c>
      <c r="N547" s="21">
        <f t="shared" si="16"/>
        <v>2376.5500000000002</v>
      </c>
      <c r="O547" s="21">
        <f t="shared" si="17"/>
        <v>712.96500000000003</v>
      </c>
    </row>
    <row r="548" spans="1:15" x14ac:dyDescent="0.3">
      <c r="A548">
        <v>91463</v>
      </c>
      <c r="B548" s="1">
        <v>45562</v>
      </c>
      <c r="C548">
        <v>110</v>
      </c>
      <c r="D548">
        <v>20</v>
      </c>
      <c r="E548" t="s">
        <v>28</v>
      </c>
      <c r="F548" t="s">
        <v>77</v>
      </c>
      <c r="G548">
        <v>5</v>
      </c>
      <c r="H548" s="12">
        <v>418.71</v>
      </c>
      <c r="I548" t="s">
        <v>26</v>
      </c>
      <c r="J548" t="s">
        <v>234</v>
      </c>
      <c r="K548">
        <v>3</v>
      </c>
      <c r="L548" t="s">
        <v>17</v>
      </c>
      <c r="M548">
        <v>66</v>
      </c>
      <c r="N548" s="21">
        <f t="shared" si="16"/>
        <v>2093.5499999999997</v>
      </c>
      <c r="O548" s="21">
        <f t="shared" si="17"/>
        <v>628.06499999999994</v>
      </c>
    </row>
    <row r="549" spans="1:15" x14ac:dyDescent="0.3">
      <c r="A549">
        <v>11101</v>
      </c>
      <c r="B549" s="1">
        <v>45562</v>
      </c>
      <c r="C549">
        <v>750</v>
      </c>
      <c r="D549">
        <v>50</v>
      </c>
      <c r="E549" t="s">
        <v>18</v>
      </c>
      <c r="F549" t="s">
        <v>19</v>
      </c>
      <c r="G549">
        <v>5</v>
      </c>
      <c r="H549" s="12">
        <v>96.94</v>
      </c>
      <c r="I549" t="s">
        <v>35</v>
      </c>
      <c r="J549" t="s">
        <v>779</v>
      </c>
      <c r="K549">
        <v>4</v>
      </c>
      <c r="L549" t="s">
        <v>17</v>
      </c>
      <c r="M549">
        <v>22</v>
      </c>
      <c r="N549" s="21">
        <f t="shared" si="16"/>
        <v>484.7</v>
      </c>
      <c r="O549" s="21">
        <f t="shared" si="17"/>
        <v>145.41</v>
      </c>
    </row>
    <row r="550" spans="1:15" x14ac:dyDescent="0.3">
      <c r="A550">
        <v>48803</v>
      </c>
      <c r="B550" s="1">
        <v>45562</v>
      </c>
      <c r="C550">
        <v>285</v>
      </c>
      <c r="D550">
        <v>30</v>
      </c>
      <c r="E550" t="s">
        <v>37</v>
      </c>
      <c r="F550" t="s">
        <v>95</v>
      </c>
      <c r="G550">
        <v>1</v>
      </c>
      <c r="H550" s="12">
        <v>481.21</v>
      </c>
      <c r="I550" t="s">
        <v>26</v>
      </c>
      <c r="J550" t="s">
        <v>888</v>
      </c>
      <c r="K550">
        <v>5</v>
      </c>
      <c r="L550" t="s">
        <v>21</v>
      </c>
      <c r="M550">
        <v>31</v>
      </c>
      <c r="N550" s="21">
        <f t="shared" si="16"/>
        <v>481.21</v>
      </c>
      <c r="O550" s="21">
        <f t="shared" si="17"/>
        <v>144.363</v>
      </c>
    </row>
    <row r="551" spans="1:15" x14ac:dyDescent="0.3">
      <c r="A551">
        <v>96862</v>
      </c>
      <c r="B551" s="1">
        <v>45563</v>
      </c>
      <c r="C551">
        <v>146</v>
      </c>
      <c r="D551">
        <v>40</v>
      </c>
      <c r="E551" t="s">
        <v>24</v>
      </c>
      <c r="F551" t="s">
        <v>44</v>
      </c>
      <c r="G551">
        <v>5</v>
      </c>
      <c r="H551" s="12">
        <v>457.21</v>
      </c>
      <c r="I551" t="s">
        <v>35</v>
      </c>
      <c r="J551" t="s">
        <v>584</v>
      </c>
      <c r="K551">
        <v>3</v>
      </c>
      <c r="L551" t="s">
        <v>21</v>
      </c>
      <c r="M551">
        <v>29</v>
      </c>
      <c r="N551" s="21">
        <f t="shared" si="16"/>
        <v>2286.0499999999997</v>
      </c>
      <c r="O551" s="21">
        <f t="shared" si="17"/>
        <v>685.81499999999994</v>
      </c>
    </row>
    <row r="552" spans="1:15" x14ac:dyDescent="0.3">
      <c r="A552">
        <v>13992</v>
      </c>
      <c r="B552" s="1">
        <v>45563</v>
      </c>
      <c r="C552">
        <v>375</v>
      </c>
      <c r="D552">
        <v>40</v>
      </c>
      <c r="E552" t="s">
        <v>24</v>
      </c>
      <c r="F552" t="s">
        <v>65</v>
      </c>
      <c r="G552">
        <v>5</v>
      </c>
      <c r="H552" s="12">
        <v>25.87</v>
      </c>
      <c r="I552" t="s">
        <v>35</v>
      </c>
      <c r="J552" t="s">
        <v>600</v>
      </c>
      <c r="K552">
        <v>3</v>
      </c>
      <c r="L552" t="s">
        <v>17</v>
      </c>
      <c r="M552">
        <v>40</v>
      </c>
      <c r="N552" s="21">
        <f t="shared" si="16"/>
        <v>129.35</v>
      </c>
      <c r="O552" s="21">
        <f t="shared" si="17"/>
        <v>38.805</v>
      </c>
    </row>
    <row r="553" spans="1:15" x14ac:dyDescent="0.3">
      <c r="A553">
        <v>82756</v>
      </c>
      <c r="B553" s="1">
        <v>45563</v>
      </c>
      <c r="C553">
        <v>597</v>
      </c>
      <c r="D553">
        <v>10</v>
      </c>
      <c r="E553" t="s">
        <v>13</v>
      </c>
      <c r="F553" t="s">
        <v>32</v>
      </c>
      <c r="G553">
        <v>3</v>
      </c>
      <c r="H553" s="12">
        <v>445.82</v>
      </c>
      <c r="I553" t="s">
        <v>35</v>
      </c>
      <c r="J553" t="s">
        <v>659</v>
      </c>
      <c r="L553" t="s">
        <v>17</v>
      </c>
      <c r="M553">
        <v>73</v>
      </c>
      <c r="N553" s="21">
        <f t="shared" si="16"/>
        <v>1337.46</v>
      </c>
      <c r="O553" s="21">
        <f t="shared" si="17"/>
        <v>401.238</v>
      </c>
    </row>
    <row r="554" spans="1:15" x14ac:dyDescent="0.3">
      <c r="A554">
        <v>47637</v>
      </c>
      <c r="B554" s="1">
        <v>45563</v>
      </c>
      <c r="C554">
        <v>197</v>
      </c>
      <c r="D554">
        <v>40</v>
      </c>
      <c r="E554" t="s">
        <v>24</v>
      </c>
      <c r="F554" t="s">
        <v>65</v>
      </c>
      <c r="G554">
        <v>2</v>
      </c>
      <c r="H554" s="12">
        <v>484.93</v>
      </c>
      <c r="I554" t="s">
        <v>35</v>
      </c>
      <c r="J554" t="s">
        <v>773</v>
      </c>
      <c r="L554" t="s">
        <v>17</v>
      </c>
      <c r="M554">
        <v>42</v>
      </c>
      <c r="N554" s="21">
        <f t="shared" si="16"/>
        <v>969.86</v>
      </c>
      <c r="O554" s="21">
        <f t="shared" si="17"/>
        <v>290.95799999999997</v>
      </c>
    </row>
    <row r="555" spans="1:15" x14ac:dyDescent="0.3">
      <c r="A555">
        <v>32168</v>
      </c>
      <c r="B555" s="1">
        <v>45564</v>
      </c>
      <c r="C555">
        <v>896</v>
      </c>
      <c r="D555">
        <v>30</v>
      </c>
      <c r="E555" t="s">
        <v>37</v>
      </c>
      <c r="F555" t="s">
        <v>95</v>
      </c>
      <c r="G555">
        <v>4</v>
      </c>
      <c r="H555" s="12">
        <v>479.12</v>
      </c>
      <c r="I555" t="s">
        <v>15</v>
      </c>
      <c r="J555" t="s">
        <v>744</v>
      </c>
      <c r="K555">
        <v>4</v>
      </c>
      <c r="L555" t="s">
        <v>17</v>
      </c>
      <c r="M555">
        <v>39</v>
      </c>
      <c r="N555" s="21">
        <f t="shared" si="16"/>
        <v>1916.48</v>
      </c>
      <c r="O555" s="21">
        <f t="shared" si="17"/>
        <v>574.94399999999996</v>
      </c>
    </row>
    <row r="556" spans="1:15" x14ac:dyDescent="0.3">
      <c r="A556">
        <v>42739</v>
      </c>
      <c r="B556" s="1">
        <v>45564</v>
      </c>
      <c r="C556">
        <v>149</v>
      </c>
      <c r="D556">
        <v>10</v>
      </c>
      <c r="E556" t="s">
        <v>13</v>
      </c>
      <c r="F556" t="s">
        <v>47</v>
      </c>
      <c r="G556">
        <v>5</v>
      </c>
      <c r="H556" s="12">
        <v>486.9</v>
      </c>
      <c r="I556" t="s">
        <v>15</v>
      </c>
      <c r="J556" t="s">
        <v>861</v>
      </c>
      <c r="K556">
        <v>5</v>
      </c>
      <c r="L556" t="s">
        <v>21</v>
      </c>
      <c r="M556">
        <v>43</v>
      </c>
      <c r="N556" s="21">
        <f t="shared" si="16"/>
        <v>2434.5</v>
      </c>
      <c r="O556" s="21">
        <f t="shared" si="17"/>
        <v>730.35</v>
      </c>
    </row>
    <row r="557" spans="1:15" x14ac:dyDescent="0.3">
      <c r="A557">
        <v>12945</v>
      </c>
      <c r="B557" s="1">
        <v>45565</v>
      </c>
      <c r="C557">
        <v>798</v>
      </c>
      <c r="D557">
        <v>50</v>
      </c>
      <c r="E557" t="s">
        <v>18</v>
      </c>
      <c r="F557" t="s">
        <v>19</v>
      </c>
      <c r="G557">
        <v>5</v>
      </c>
      <c r="H557" s="12">
        <v>194.83</v>
      </c>
      <c r="I557" t="s">
        <v>26</v>
      </c>
      <c r="J557" t="s">
        <v>725</v>
      </c>
      <c r="K557">
        <v>2</v>
      </c>
      <c r="L557" t="s">
        <v>21</v>
      </c>
      <c r="M557">
        <v>42</v>
      </c>
      <c r="N557" s="21">
        <f t="shared" si="16"/>
        <v>974.15000000000009</v>
      </c>
      <c r="O557" s="21">
        <f t="shared" si="17"/>
        <v>292.245</v>
      </c>
    </row>
    <row r="558" spans="1:15" x14ac:dyDescent="0.3">
      <c r="A558">
        <v>93329</v>
      </c>
      <c r="B558" s="1">
        <v>45566</v>
      </c>
      <c r="C558">
        <v>775</v>
      </c>
      <c r="D558">
        <v>10</v>
      </c>
      <c r="E558" t="s">
        <v>13</v>
      </c>
      <c r="F558" t="s">
        <v>42</v>
      </c>
      <c r="G558">
        <v>4</v>
      </c>
      <c r="H558" s="12">
        <v>460.38</v>
      </c>
      <c r="I558" t="s">
        <v>15</v>
      </c>
      <c r="J558" t="s">
        <v>454</v>
      </c>
      <c r="K558">
        <v>1</v>
      </c>
      <c r="L558" t="s">
        <v>17</v>
      </c>
      <c r="M558">
        <v>44</v>
      </c>
      <c r="N558" s="21">
        <f t="shared" si="16"/>
        <v>1841.52</v>
      </c>
      <c r="O558" s="21">
        <f t="shared" si="17"/>
        <v>552.45600000000002</v>
      </c>
    </row>
    <row r="559" spans="1:15" x14ac:dyDescent="0.3">
      <c r="A559">
        <v>39413</v>
      </c>
      <c r="B559" s="1">
        <v>45566</v>
      </c>
      <c r="C559">
        <v>362</v>
      </c>
      <c r="D559">
        <v>20</v>
      </c>
      <c r="E559" t="s">
        <v>28</v>
      </c>
      <c r="F559" t="s">
        <v>77</v>
      </c>
      <c r="G559">
        <v>2</v>
      </c>
      <c r="H559" s="12">
        <v>327.22000000000003</v>
      </c>
      <c r="I559" t="s">
        <v>35</v>
      </c>
      <c r="J559" t="s">
        <v>643</v>
      </c>
      <c r="K559">
        <v>1</v>
      </c>
      <c r="L559" t="s">
        <v>17</v>
      </c>
      <c r="M559">
        <v>23</v>
      </c>
      <c r="N559" s="21">
        <f t="shared" si="16"/>
        <v>654.44000000000005</v>
      </c>
      <c r="O559" s="21">
        <f t="shared" si="17"/>
        <v>196.33200000000002</v>
      </c>
    </row>
    <row r="560" spans="1:15" x14ac:dyDescent="0.3">
      <c r="A560">
        <v>39267</v>
      </c>
      <c r="B560" s="1">
        <v>45567</v>
      </c>
      <c r="C560">
        <v>399</v>
      </c>
      <c r="D560">
        <v>10</v>
      </c>
      <c r="E560" t="s">
        <v>13</v>
      </c>
      <c r="F560" t="s">
        <v>42</v>
      </c>
      <c r="G560">
        <v>3</v>
      </c>
      <c r="H560" s="12">
        <v>153.15</v>
      </c>
      <c r="I560" t="s">
        <v>15</v>
      </c>
      <c r="J560" t="s">
        <v>168</v>
      </c>
      <c r="K560">
        <v>5</v>
      </c>
      <c r="L560" t="s">
        <v>17</v>
      </c>
      <c r="M560">
        <v>74</v>
      </c>
      <c r="N560" s="21">
        <f t="shared" si="16"/>
        <v>459.45000000000005</v>
      </c>
      <c r="O560" s="21">
        <f t="shared" si="17"/>
        <v>137.83500000000001</v>
      </c>
    </row>
    <row r="561" spans="1:15" x14ac:dyDescent="0.3">
      <c r="A561">
        <v>50538</v>
      </c>
      <c r="B561" s="1">
        <v>45567</v>
      </c>
      <c r="C561">
        <v>868</v>
      </c>
      <c r="D561">
        <v>40</v>
      </c>
      <c r="E561" t="s">
        <v>24</v>
      </c>
      <c r="F561" t="s">
        <v>65</v>
      </c>
      <c r="G561">
        <v>2</v>
      </c>
      <c r="H561" s="12">
        <v>246.64</v>
      </c>
      <c r="I561" t="s">
        <v>35</v>
      </c>
      <c r="J561" t="s">
        <v>710</v>
      </c>
      <c r="K561">
        <v>5</v>
      </c>
      <c r="M561">
        <v>33</v>
      </c>
      <c r="N561" s="21">
        <f t="shared" si="16"/>
        <v>493.28</v>
      </c>
      <c r="O561" s="21">
        <f t="shared" si="17"/>
        <v>147.98399999999998</v>
      </c>
    </row>
    <row r="562" spans="1:15" x14ac:dyDescent="0.3">
      <c r="A562">
        <v>11363</v>
      </c>
      <c r="B562" s="1">
        <v>45567</v>
      </c>
      <c r="C562">
        <v>816</v>
      </c>
      <c r="D562">
        <v>10</v>
      </c>
      <c r="E562" t="s">
        <v>13</v>
      </c>
      <c r="F562" t="s">
        <v>42</v>
      </c>
      <c r="G562">
        <v>3</v>
      </c>
      <c r="H562" s="12">
        <v>81.96</v>
      </c>
      <c r="I562" t="s">
        <v>15</v>
      </c>
      <c r="J562" t="s">
        <v>772</v>
      </c>
      <c r="K562">
        <v>2</v>
      </c>
      <c r="L562" t="s">
        <v>21</v>
      </c>
      <c r="M562">
        <v>63</v>
      </c>
      <c r="N562" s="21">
        <f t="shared" si="16"/>
        <v>245.88</v>
      </c>
      <c r="O562" s="21">
        <f t="shared" si="17"/>
        <v>73.763999999999996</v>
      </c>
    </row>
    <row r="563" spans="1:15" x14ac:dyDescent="0.3">
      <c r="A563">
        <v>71713</v>
      </c>
      <c r="B563" s="1">
        <v>45568</v>
      </c>
      <c r="C563">
        <v>819</v>
      </c>
      <c r="D563">
        <v>30</v>
      </c>
      <c r="E563" t="s">
        <v>37</v>
      </c>
      <c r="F563" t="s">
        <v>58</v>
      </c>
      <c r="G563">
        <v>3</v>
      </c>
      <c r="H563" s="12">
        <v>467.51</v>
      </c>
      <c r="I563" t="s">
        <v>35</v>
      </c>
      <c r="J563" t="s">
        <v>382</v>
      </c>
      <c r="K563">
        <v>2</v>
      </c>
      <c r="L563" t="s">
        <v>21</v>
      </c>
      <c r="M563">
        <v>50</v>
      </c>
      <c r="N563" s="21">
        <f t="shared" si="16"/>
        <v>1402.53</v>
      </c>
      <c r="O563" s="21">
        <f t="shared" si="17"/>
        <v>420.75899999999996</v>
      </c>
    </row>
    <row r="564" spans="1:15" x14ac:dyDescent="0.3">
      <c r="A564">
        <v>99315</v>
      </c>
      <c r="B564" s="1">
        <v>45568</v>
      </c>
      <c r="C564">
        <v>618</v>
      </c>
      <c r="D564">
        <v>30</v>
      </c>
      <c r="E564" t="s">
        <v>37</v>
      </c>
      <c r="F564" t="s">
        <v>95</v>
      </c>
      <c r="G564">
        <v>3</v>
      </c>
      <c r="H564" s="12">
        <v>413.52</v>
      </c>
      <c r="I564" t="s">
        <v>35</v>
      </c>
      <c r="J564" t="s">
        <v>639</v>
      </c>
      <c r="K564">
        <v>3</v>
      </c>
      <c r="M564">
        <v>39</v>
      </c>
      <c r="N564" s="21">
        <f t="shared" si="16"/>
        <v>1240.56</v>
      </c>
      <c r="O564" s="21">
        <f t="shared" si="17"/>
        <v>372.16799999999995</v>
      </c>
    </row>
    <row r="565" spans="1:15" x14ac:dyDescent="0.3">
      <c r="A565">
        <v>87467</v>
      </c>
      <c r="B565" s="1">
        <v>45570</v>
      </c>
      <c r="C565">
        <v>199</v>
      </c>
      <c r="D565">
        <v>20</v>
      </c>
      <c r="E565" t="s">
        <v>28</v>
      </c>
      <c r="F565" t="s">
        <v>29</v>
      </c>
      <c r="G565">
        <v>4</v>
      </c>
      <c r="H565" s="12">
        <v>53.77</v>
      </c>
      <c r="I565" t="s">
        <v>15</v>
      </c>
      <c r="J565" t="s">
        <v>529</v>
      </c>
      <c r="L565" t="s">
        <v>21</v>
      </c>
      <c r="M565">
        <v>38</v>
      </c>
      <c r="N565" s="21">
        <f t="shared" si="16"/>
        <v>215.08</v>
      </c>
      <c r="O565" s="21">
        <f t="shared" si="17"/>
        <v>64.524000000000001</v>
      </c>
    </row>
    <row r="566" spans="1:15" x14ac:dyDescent="0.3">
      <c r="A566">
        <v>42912</v>
      </c>
      <c r="B566" s="1">
        <v>45570</v>
      </c>
      <c r="C566">
        <v>811</v>
      </c>
      <c r="D566">
        <v>40</v>
      </c>
      <c r="E566" t="s">
        <v>24</v>
      </c>
      <c r="F566" t="s">
        <v>63</v>
      </c>
      <c r="G566">
        <v>5</v>
      </c>
      <c r="H566" s="12">
        <v>60.3</v>
      </c>
      <c r="I566" t="s">
        <v>26</v>
      </c>
      <c r="J566" t="s">
        <v>701</v>
      </c>
      <c r="L566" t="s">
        <v>17</v>
      </c>
      <c r="M566">
        <v>21</v>
      </c>
      <c r="N566" s="21">
        <f t="shared" si="16"/>
        <v>301.5</v>
      </c>
      <c r="O566" s="21">
        <f t="shared" si="17"/>
        <v>90.45</v>
      </c>
    </row>
    <row r="567" spans="1:15" x14ac:dyDescent="0.3">
      <c r="A567">
        <v>55540</v>
      </c>
      <c r="B567" s="1">
        <v>45571</v>
      </c>
      <c r="C567">
        <v>424</v>
      </c>
      <c r="D567">
        <v>10</v>
      </c>
      <c r="E567" t="s">
        <v>13</v>
      </c>
      <c r="F567" t="s">
        <v>32</v>
      </c>
      <c r="G567">
        <v>4</v>
      </c>
      <c r="H567" s="12">
        <v>225.09</v>
      </c>
      <c r="I567" t="s">
        <v>35</v>
      </c>
      <c r="J567" t="s">
        <v>422</v>
      </c>
      <c r="K567">
        <v>1</v>
      </c>
      <c r="L567" t="s">
        <v>17</v>
      </c>
      <c r="M567">
        <v>23</v>
      </c>
      <c r="N567" s="21">
        <f t="shared" si="16"/>
        <v>900.36</v>
      </c>
      <c r="O567" s="21">
        <f t="shared" si="17"/>
        <v>270.108</v>
      </c>
    </row>
    <row r="568" spans="1:15" x14ac:dyDescent="0.3">
      <c r="A568">
        <v>57116</v>
      </c>
      <c r="B568" s="1">
        <v>45571</v>
      </c>
      <c r="C568">
        <v>319</v>
      </c>
      <c r="D568">
        <v>20</v>
      </c>
      <c r="E568" t="s">
        <v>28</v>
      </c>
      <c r="F568" t="s">
        <v>77</v>
      </c>
      <c r="G568">
        <v>5</v>
      </c>
      <c r="H568" s="12">
        <v>11.73</v>
      </c>
      <c r="I568" t="s">
        <v>26</v>
      </c>
      <c r="J568" t="s">
        <v>948</v>
      </c>
      <c r="L568" t="s">
        <v>17</v>
      </c>
      <c r="M568">
        <v>60</v>
      </c>
      <c r="N568" s="21">
        <f t="shared" si="16"/>
        <v>58.650000000000006</v>
      </c>
      <c r="O568" s="21">
        <f t="shared" si="17"/>
        <v>17.595000000000002</v>
      </c>
    </row>
    <row r="569" spans="1:15" x14ac:dyDescent="0.3">
      <c r="A569">
        <v>37972</v>
      </c>
      <c r="B569" s="1">
        <v>45572</v>
      </c>
      <c r="C569">
        <v>603</v>
      </c>
      <c r="D569">
        <v>50</v>
      </c>
      <c r="E569" t="s">
        <v>18</v>
      </c>
      <c r="F569" t="s">
        <v>87</v>
      </c>
      <c r="G569">
        <v>4</v>
      </c>
      <c r="H569" s="12">
        <v>316.74</v>
      </c>
      <c r="I569" t="s">
        <v>26</v>
      </c>
      <c r="J569" t="s">
        <v>426</v>
      </c>
      <c r="K569">
        <v>4</v>
      </c>
      <c r="L569" t="s">
        <v>21</v>
      </c>
      <c r="M569">
        <v>53</v>
      </c>
      <c r="N569" s="21">
        <f t="shared" si="16"/>
        <v>1266.96</v>
      </c>
      <c r="O569" s="21">
        <f t="shared" si="17"/>
        <v>380.08800000000002</v>
      </c>
    </row>
    <row r="570" spans="1:15" x14ac:dyDescent="0.3">
      <c r="A570">
        <v>74049</v>
      </c>
      <c r="B570" s="1">
        <v>45572</v>
      </c>
      <c r="C570">
        <v>354</v>
      </c>
      <c r="D570">
        <v>10</v>
      </c>
      <c r="E570" t="s">
        <v>13</v>
      </c>
      <c r="F570" t="s">
        <v>47</v>
      </c>
      <c r="G570">
        <v>5</v>
      </c>
      <c r="H570" s="12">
        <v>292.08999999999997</v>
      </c>
      <c r="I570" t="s">
        <v>26</v>
      </c>
      <c r="J570" t="s">
        <v>588</v>
      </c>
      <c r="K570">
        <v>3</v>
      </c>
      <c r="L570" t="s">
        <v>17</v>
      </c>
      <c r="M570">
        <v>46</v>
      </c>
      <c r="N570" s="21">
        <f t="shared" si="16"/>
        <v>1460.4499999999998</v>
      </c>
      <c r="O570" s="21">
        <f t="shared" si="17"/>
        <v>438.13499999999993</v>
      </c>
    </row>
    <row r="571" spans="1:15" x14ac:dyDescent="0.3">
      <c r="A571">
        <v>65579</v>
      </c>
      <c r="B571" s="1">
        <v>45572</v>
      </c>
      <c r="C571">
        <v>533</v>
      </c>
      <c r="D571">
        <v>10</v>
      </c>
      <c r="E571" t="s">
        <v>13</v>
      </c>
      <c r="F571" t="s">
        <v>42</v>
      </c>
      <c r="G571">
        <v>1</v>
      </c>
      <c r="H571" s="12">
        <v>142.29</v>
      </c>
      <c r="I571" t="s">
        <v>35</v>
      </c>
      <c r="J571" t="s">
        <v>677</v>
      </c>
      <c r="K571">
        <v>5</v>
      </c>
      <c r="L571" t="s">
        <v>21</v>
      </c>
      <c r="M571">
        <v>63</v>
      </c>
      <c r="N571" s="21">
        <f t="shared" si="16"/>
        <v>142.29</v>
      </c>
      <c r="O571" s="21">
        <f t="shared" si="17"/>
        <v>42.686999999999998</v>
      </c>
    </row>
    <row r="572" spans="1:15" x14ac:dyDescent="0.3">
      <c r="A572">
        <v>26457</v>
      </c>
      <c r="B572" s="1">
        <v>45572</v>
      </c>
      <c r="C572">
        <v>279</v>
      </c>
      <c r="D572">
        <v>30</v>
      </c>
      <c r="E572" t="s">
        <v>37</v>
      </c>
      <c r="F572" t="s">
        <v>38</v>
      </c>
      <c r="G572">
        <v>5</v>
      </c>
      <c r="H572" s="12">
        <v>456.55</v>
      </c>
      <c r="I572" t="s">
        <v>26</v>
      </c>
      <c r="J572" t="s">
        <v>734</v>
      </c>
      <c r="K572">
        <v>4</v>
      </c>
      <c r="L572" t="s">
        <v>17</v>
      </c>
      <c r="M572">
        <v>60</v>
      </c>
      <c r="N572" s="21">
        <f t="shared" si="16"/>
        <v>2282.75</v>
      </c>
      <c r="O572" s="21">
        <f t="shared" si="17"/>
        <v>684.82499999999993</v>
      </c>
    </row>
    <row r="573" spans="1:15" x14ac:dyDescent="0.3">
      <c r="A573">
        <v>75854</v>
      </c>
      <c r="B573" s="1">
        <v>45573</v>
      </c>
      <c r="C573">
        <v>783</v>
      </c>
      <c r="D573">
        <v>50</v>
      </c>
      <c r="E573" t="s">
        <v>18</v>
      </c>
      <c r="F573" t="s">
        <v>84</v>
      </c>
      <c r="G573">
        <v>3</v>
      </c>
      <c r="H573" s="12">
        <v>454.2</v>
      </c>
      <c r="I573" t="s">
        <v>35</v>
      </c>
      <c r="J573" t="s">
        <v>654</v>
      </c>
      <c r="K573">
        <v>3</v>
      </c>
      <c r="L573" t="s">
        <v>21</v>
      </c>
      <c r="M573">
        <v>19</v>
      </c>
      <c r="N573" s="21">
        <f t="shared" si="16"/>
        <v>1362.6</v>
      </c>
      <c r="O573" s="21">
        <f t="shared" si="17"/>
        <v>408.78</v>
      </c>
    </row>
    <row r="574" spans="1:15" x14ac:dyDescent="0.3">
      <c r="A574">
        <v>25229</v>
      </c>
      <c r="B574" s="1">
        <v>45574</v>
      </c>
      <c r="C574">
        <v>644</v>
      </c>
      <c r="D574">
        <v>30</v>
      </c>
      <c r="E574" t="s">
        <v>37</v>
      </c>
      <c r="F574" t="s">
        <v>40</v>
      </c>
      <c r="G574">
        <v>2</v>
      </c>
      <c r="H574" s="12">
        <v>157.56</v>
      </c>
      <c r="I574" t="s">
        <v>15</v>
      </c>
      <c r="J574" t="s">
        <v>311</v>
      </c>
      <c r="K574">
        <v>1</v>
      </c>
      <c r="L574" t="s">
        <v>17</v>
      </c>
      <c r="M574">
        <v>27</v>
      </c>
      <c r="N574" s="21">
        <f t="shared" si="16"/>
        <v>315.12</v>
      </c>
      <c r="O574" s="21">
        <f t="shared" si="17"/>
        <v>94.536000000000001</v>
      </c>
    </row>
    <row r="575" spans="1:15" x14ac:dyDescent="0.3">
      <c r="A575">
        <v>97829</v>
      </c>
      <c r="B575" s="1">
        <v>45574</v>
      </c>
      <c r="C575">
        <v>640</v>
      </c>
      <c r="D575">
        <v>30</v>
      </c>
      <c r="E575" t="s">
        <v>37</v>
      </c>
      <c r="F575" t="s">
        <v>38</v>
      </c>
      <c r="G575">
        <v>5</v>
      </c>
      <c r="H575" s="12">
        <v>143.03</v>
      </c>
      <c r="I575" t="s">
        <v>15</v>
      </c>
      <c r="J575" t="s">
        <v>973</v>
      </c>
      <c r="K575">
        <v>4</v>
      </c>
      <c r="L575" t="s">
        <v>21</v>
      </c>
      <c r="M575">
        <v>38</v>
      </c>
      <c r="N575" s="21">
        <f t="shared" si="16"/>
        <v>715.15</v>
      </c>
      <c r="O575" s="21">
        <f t="shared" si="17"/>
        <v>214.54499999999999</v>
      </c>
    </row>
    <row r="576" spans="1:15" x14ac:dyDescent="0.3">
      <c r="A576">
        <v>77150</v>
      </c>
      <c r="B576" s="1">
        <v>45575</v>
      </c>
      <c r="C576">
        <v>371</v>
      </c>
      <c r="D576">
        <v>30</v>
      </c>
      <c r="E576" t="s">
        <v>37</v>
      </c>
      <c r="F576" t="s">
        <v>40</v>
      </c>
      <c r="G576">
        <v>4</v>
      </c>
      <c r="H576" s="12">
        <v>476.07</v>
      </c>
      <c r="I576" t="s">
        <v>26</v>
      </c>
      <c r="J576" t="s">
        <v>294</v>
      </c>
      <c r="K576">
        <v>5</v>
      </c>
      <c r="L576" t="s">
        <v>17</v>
      </c>
      <c r="M576">
        <v>69</v>
      </c>
      <c r="N576" s="21">
        <f t="shared" si="16"/>
        <v>1904.28</v>
      </c>
      <c r="O576" s="21">
        <f t="shared" si="17"/>
        <v>571.28399999999999</v>
      </c>
    </row>
    <row r="577" spans="1:15" x14ac:dyDescent="0.3">
      <c r="A577">
        <v>38807</v>
      </c>
      <c r="B577" s="1">
        <v>45576</v>
      </c>
      <c r="C577">
        <v>756</v>
      </c>
      <c r="D577">
        <v>30</v>
      </c>
      <c r="E577" t="s">
        <v>37</v>
      </c>
      <c r="F577" t="s">
        <v>40</v>
      </c>
      <c r="G577">
        <v>4</v>
      </c>
      <c r="H577" s="12">
        <v>90.79</v>
      </c>
      <c r="I577" t="s">
        <v>26</v>
      </c>
      <c r="J577" t="s">
        <v>671</v>
      </c>
      <c r="L577" t="s">
        <v>21</v>
      </c>
      <c r="M577">
        <v>63</v>
      </c>
      <c r="N577" s="21">
        <f t="shared" si="16"/>
        <v>363.16</v>
      </c>
      <c r="O577" s="21">
        <f t="shared" si="17"/>
        <v>108.94800000000001</v>
      </c>
    </row>
    <row r="578" spans="1:15" x14ac:dyDescent="0.3">
      <c r="A578">
        <v>35246</v>
      </c>
      <c r="B578" s="1">
        <v>45576</v>
      </c>
      <c r="C578">
        <v>209</v>
      </c>
      <c r="D578">
        <v>10</v>
      </c>
      <c r="E578" t="s">
        <v>13</v>
      </c>
      <c r="F578" t="s">
        <v>47</v>
      </c>
      <c r="G578">
        <v>3</v>
      </c>
      <c r="H578" s="12">
        <v>152.68</v>
      </c>
      <c r="I578" t="s">
        <v>26</v>
      </c>
      <c r="J578" t="s">
        <v>938</v>
      </c>
      <c r="K578">
        <v>5</v>
      </c>
      <c r="L578" t="s">
        <v>17</v>
      </c>
      <c r="M578">
        <v>46</v>
      </c>
      <c r="N578" s="21">
        <f t="shared" si="16"/>
        <v>458.04</v>
      </c>
      <c r="O578" s="21">
        <f t="shared" si="17"/>
        <v>137.41200000000001</v>
      </c>
    </row>
    <row r="579" spans="1:15" x14ac:dyDescent="0.3">
      <c r="A579">
        <v>48366</v>
      </c>
      <c r="B579" s="1">
        <v>45577</v>
      </c>
      <c r="C579">
        <v>292</v>
      </c>
      <c r="D579">
        <v>10</v>
      </c>
      <c r="E579" t="s">
        <v>13</v>
      </c>
      <c r="F579" t="s">
        <v>42</v>
      </c>
      <c r="G579">
        <v>3</v>
      </c>
      <c r="H579" s="12">
        <v>327.3</v>
      </c>
      <c r="I579" t="s">
        <v>15</v>
      </c>
      <c r="J579" t="s">
        <v>152</v>
      </c>
      <c r="K579">
        <v>5</v>
      </c>
      <c r="L579" t="s">
        <v>17</v>
      </c>
      <c r="M579">
        <v>48</v>
      </c>
      <c r="N579" s="21">
        <f t="shared" ref="N579:N642" si="18">H579*G579</f>
        <v>981.90000000000009</v>
      </c>
      <c r="O579" s="21">
        <f t="shared" ref="O579:O642" si="19">N579*0.3</f>
        <v>294.57</v>
      </c>
    </row>
    <row r="580" spans="1:15" x14ac:dyDescent="0.3">
      <c r="A580">
        <v>89076</v>
      </c>
      <c r="B580" s="1">
        <v>45577</v>
      </c>
      <c r="C580">
        <v>967</v>
      </c>
      <c r="D580">
        <v>40</v>
      </c>
      <c r="E580" t="s">
        <v>24</v>
      </c>
      <c r="F580" t="s">
        <v>65</v>
      </c>
      <c r="G580">
        <v>3</v>
      </c>
      <c r="H580" s="12">
        <v>94.54</v>
      </c>
      <c r="I580" t="s">
        <v>35</v>
      </c>
      <c r="J580" t="s">
        <v>499</v>
      </c>
      <c r="K580">
        <v>5</v>
      </c>
      <c r="L580" t="s">
        <v>21</v>
      </c>
      <c r="M580">
        <v>69</v>
      </c>
      <c r="N580" s="21">
        <f t="shared" si="18"/>
        <v>283.62</v>
      </c>
      <c r="O580" s="21">
        <f t="shared" si="19"/>
        <v>85.085999999999999</v>
      </c>
    </row>
    <row r="581" spans="1:15" x14ac:dyDescent="0.3">
      <c r="A581">
        <v>95344</v>
      </c>
      <c r="B581" s="1">
        <v>45577</v>
      </c>
      <c r="C581">
        <v>551</v>
      </c>
      <c r="D581">
        <v>20</v>
      </c>
      <c r="E581" t="s">
        <v>28</v>
      </c>
      <c r="F581" t="s">
        <v>77</v>
      </c>
      <c r="G581">
        <v>3</v>
      </c>
      <c r="H581" s="12">
        <v>360.32</v>
      </c>
      <c r="I581" t="s">
        <v>35</v>
      </c>
      <c r="J581" t="s">
        <v>846</v>
      </c>
      <c r="K581">
        <v>3</v>
      </c>
      <c r="L581" t="s">
        <v>21</v>
      </c>
      <c r="M581">
        <v>61</v>
      </c>
      <c r="N581" s="21">
        <f t="shared" si="18"/>
        <v>1080.96</v>
      </c>
      <c r="O581" s="21">
        <f t="shared" si="19"/>
        <v>324.28800000000001</v>
      </c>
    </row>
    <row r="582" spans="1:15" x14ac:dyDescent="0.3">
      <c r="A582">
        <v>70476</v>
      </c>
      <c r="B582" s="1">
        <v>45578</v>
      </c>
      <c r="C582">
        <v>883</v>
      </c>
      <c r="D582">
        <v>30</v>
      </c>
      <c r="E582" t="s">
        <v>37</v>
      </c>
      <c r="F582" t="s">
        <v>38</v>
      </c>
      <c r="G582">
        <v>1</v>
      </c>
      <c r="H582" s="12">
        <v>489.19</v>
      </c>
      <c r="I582" t="s">
        <v>35</v>
      </c>
      <c r="J582" t="s">
        <v>218</v>
      </c>
      <c r="K582">
        <v>3</v>
      </c>
      <c r="L582" t="s">
        <v>21</v>
      </c>
      <c r="M582">
        <v>32</v>
      </c>
      <c r="N582" s="21">
        <f t="shared" si="18"/>
        <v>489.19</v>
      </c>
      <c r="O582" s="21">
        <f t="shared" si="19"/>
        <v>146.75700000000001</v>
      </c>
    </row>
    <row r="583" spans="1:15" x14ac:dyDescent="0.3">
      <c r="A583">
        <v>32206</v>
      </c>
      <c r="B583" s="1">
        <v>45578</v>
      </c>
      <c r="C583">
        <v>400</v>
      </c>
      <c r="D583">
        <v>50</v>
      </c>
      <c r="E583" t="s">
        <v>18</v>
      </c>
      <c r="F583" t="s">
        <v>84</v>
      </c>
      <c r="G583">
        <v>4</v>
      </c>
      <c r="H583" s="12">
        <v>40.78</v>
      </c>
      <c r="I583" t="s">
        <v>26</v>
      </c>
      <c r="J583" t="s">
        <v>312</v>
      </c>
      <c r="K583">
        <v>4</v>
      </c>
      <c r="L583" t="s">
        <v>21</v>
      </c>
      <c r="M583">
        <v>28</v>
      </c>
      <c r="N583" s="21">
        <f t="shared" si="18"/>
        <v>163.12</v>
      </c>
      <c r="O583" s="21">
        <f t="shared" si="19"/>
        <v>48.936</v>
      </c>
    </row>
    <row r="584" spans="1:15" x14ac:dyDescent="0.3">
      <c r="A584">
        <v>74278</v>
      </c>
      <c r="B584" s="1">
        <v>45578</v>
      </c>
      <c r="C584">
        <v>225</v>
      </c>
      <c r="D584">
        <v>50</v>
      </c>
      <c r="E584" t="s">
        <v>18</v>
      </c>
      <c r="F584" t="s">
        <v>22</v>
      </c>
      <c r="G584">
        <v>1</v>
      </c>
      <c r="H584" s="12">
        <v>304</v>
      </c>
      <c r="I584" t="s">
        <v>35</v>
      </c>
      <c r="J584" t="s">
        <v>535</v>
      </c>
      <c r="K584">
        <v>2</v>
      </c>
      <c r="M584">
        <v>24</v>
      </c>
      <c r="N584" s="21">
        <f t="shared" si="18"/>
        <v>304</v>
      </c>
      <c r="O584" s="21">
        <f t="shared" si="19"/>
        <v>91.2</v>
      </c>
    </row>
    <row r="585" spans="1:15" x14ac:dyDescent="0.3">
      <c r="A585">
        <v>92929</v>
      </c>
      <c r="B585" s="1">
        <v>45578</v>
      </c>
      <c r="C585">
        <v>716</v>
      </c>
      <c r="D585">
        <v>40</v>
      </c>
      <c r="E585" t="s">
        <v>24</v>
      </c>
      <c r="F585" t="s">
        <v>25</v>
      </c>
      <c r="G585">
        <v>2</v>
      </c>
      <c r="H585" s="12">
        <v>55.07</v>
      </c>
      <c r="I585" t="s">
        <v>26</v>
      </c>
      <c r="J585" t="s">
        <v>577</v>
      </c>
      <c r="M585">
        <v>44</v>
      </c>
      <c r="N585" s="21">
        <f t="shared" si="18"/>
        <v>110.14</v>
      </c>
      <c r="O585" s="21">
        <f t="shared" si="19"/>
        <v>33.042000000000002</v>
      </c>
    </row>
    <row r="586" spans="1:15" x14ac:dyDescent="0.3">
      <c r="A586">
        <v>74233</v>
      </c>
      <c r="B586" s="1">
        <v>45578</v>
      </c>
      <c r="C586">
        <v>750</v>
      </c>
      <c r="D586">
        <v>50</v>
      </c>
      <c r="E586" t="s">
        <v>18</v>
      </c>
      <c r="F586" t="s">
        <v>87</v>
      </c>
      <c r="G586">
        <v>2</v>
      </c>
      <c r="H586" s="12">
        <v>103.2</v>
      </c>
      <c r="I586" t="s">
        <v>26</v>
      </c>
      <c r="J586" t="s">
        <v>976</v>
      </c>
      <c r="K586">
        <v>5</v>
      </c>
      <c r="L586" t="s">
        <v>17</v>
      </c>
      <c r="M586">
        <v>60</v>
      </c>
      <c r="N586" s="21">
        <f t="shared" si="18"/>
        <v>206.4</v>
      </c>
      <c r="O586" s="21">
        <f t="shared" si="19"/>
        <v>61.92</v>
      </c>
    </row>
    <row r="587" spans="1:15" x14ac:dyDescent="0.3">
      <c r="A587">
        <v>46001</v>
      </c>
      <c r="B587" s="1">
        <v>45579</v>
      </c>
      <c r="C587">
        <v>661</v>
      </c>
      <c r="D587">
        <v>50</v>
      </c>
      <c r="E587" t="s">
        <v>18</v>
      </c>
      <c r="F587" t="s">
        <v>84</v>
      </c>
      <c r="G587">
        <v>1</v>
      </c>
      <c r="H587" s="12">
        <v>297.8</v>
      </c>
      <c r="I587" t="s">
        <v>35</v>
      </c>
      <c r="J587" t="s">
        <v>232</v>
      </c>
      <c r="L587" t="s">
        <v>21</v>
      </c>
      <c r="M587">
        <v>40</v>
      </c>
      <c r="N587" s="21">
        <f t="shared" si="18"/>
        <v>297.8</v>
      </c>
      <c r="O587" s="21">
        <f t="shared" si="19"/>
        <v>89.34</v>
      </c>
    </row>
    <row r="588" spans="1:15" x14ac:dyDescent="0.3">
      <c r="A588">
        <v>10201</v>
      </c>
      <c r="B588" s="1">
        <v>45579</v>
      </c>
      <c r="C588">
        <v>455</v>
      </c>
      <c r="D588">
        <v>10</v>
      </c>
      <c r="E588" t="s">
        <v>13</v>
      </c>
      <c r="F588" t="s">
        <v>14</v>
      </c>
      <c r="G588">
        <v>4</v>
      </c>
      <c r="H588" s="12">
        <v>156.21</v>
      </c>
      <c r="I588" t="s">
        <v>35</v>
      </c>
      <c r="J588" t="s">
        <v>394</v>
      </c>
      <c r="M588">
        <v>23</v>
      </c>
      <c r="N588" s="21">
        <f t="shared" si="18"/>
        <v>624.84</v>
      </c>
      <c r="O588" s="21">
        <f t="shared" si="19"/>
        <v>187.452</v>
      </c>
    </row>
    <row r="589" spans="1:15" x14ac:dyDescent="0.3">
      <c r="A589">
        <v>62444</v>
      </c>
      <c r="B589" s="1">
        <v>45579</v>
      </c>
      <c r="C589">
        <v>222</v>
      </c>
      <c r="D589">
        <v>10</v>
      </c>
      <c r="E589" t="s">
        <v>13</v>
      </c>
      <c r="F589" t="s">
        <v>111</v>
      </c>
      <c r="G589">
        <v>3</v>
      </c>
      <c r="H589" s="12">
        <v>352.35</v>
      </c>
      <c r="I589" t="s">
        <v>35</v>
      </c>
      <c r="J589" t="s">
        <v>544</v>
      </c>
      <c r="K589">
        <v>5</v>
      </c>
      <c r="L589" t="s">
        <v>21</v>
      </c>
      <c r="M589">
        <v>70</v>
      </c>
      <c r="N589" s="21">
        <f t="shared" si="18"/>
        <v>1057.0500000000002</v>
      </c>
      <c r="O589" s="21">
        <f t="shared" si="19"/>
        <v>317.11500000000007</v>
      </c>
    </row>
    <row r="590" spans="1:15" x14ac:dyDescent="0.3">
      <c r="A590">
        <v>45241</v>
      </c>
      <c r="B590" s="1">
        <v>45579</v>
      </c>
      <c r="C590">
        <v>448</v>
      </c>
      <c r="D590">
        <v>40</v>
      </c>
      <c r="E590" t="s">
        <v>24</v>
      </c>
      <c r="F590" t="s">
        <v>65</v>
      </c>
      <c r="G590">
        <v>5</v>
      </c>
      <c r="H590" s="12">
        <v>141.47</v>
      </c>
      <c r="I590" t="s">
        <v>35</v>
      </c>
      <c r="J590" t="s">
        <v>687</v>
      </c>
      <c r="L590" t="s">
        <v>17</v>
      </c>
      <c r="M590">
        <v>29</v>
      </c>
      <c r="N590" s="21">
        <f t="shared" si="18"/>
        <v>707.35</v>
      </c>
      <c r="O590" s="21">
        <f t="shared" si="19"/>
        <v>212.20500000000001</v>
      </c>
    </row>
    <row r="591" spans="1:15" x14ac:dyDescent="0.3">
      <c r="A591">
        <v>59266</v>
      </c>
      <c r="B591" s="1">
        <v>45579</v>
      </c>
      <c r="C591">
        <v>405</v>
      </c>
      <c r="D591">
        <v>10</v>
      </c>
      <c r="E591" t="s">
        <v>13</v>
      </c>
      <c r="F591" t="s">
        <v>47</v>
      </c>
      <c r="G591">
        <v>2</v>
      </c>
      <c r="H591" s="12">
        <v>486.1</v>
      </c>
      <c r="I591" t="s">
        <v>35</v>
      </c>
      <c r="J591" t="s">
        <v>736</v>
      </c>
      <c r="K591">
        <v>4</v>
      </c>
      <c r="L591" t="s">
        <v>17</v>
      </c>
      <c r="M591">
        <v>63</v>
      </c>
      <c r="N591" s="21">
        <f t="shared" si="18"/>
        <v>972.2</v>
      </c>
      <c r="O591" s="21">
        <f t="shared" si="19"/>
        <v>291.66000000000003</v>
      </c>
    </row>
    <row r="592" spans="1:15" x14ac:dyDescent="0.3">
      <c r="A592">
        <v>50842</v>
      </c>
      <c r="B592" s="1">
        <v>45579</v>
      </c>
      <c r="C592">
        <v>300</v>
      </c>
      <c r="D592">
        <v>50</v>
      </c>
      <c r="E592" t="s">
        <v>18</v>
      </c>
      <c r="F592" t="s">
        <v>84</v>
      </c>
      <c r="G592">
        <v>3</v>
      </c>
      <c r="H592" s="12">
        <v>266.5</v>
      </c>
      <c r="I592" t="s">
        <v>35</v>
      </c>
      <c r="J592" t="s">
        <v>840</v>
      </c>
      <c r="K592">
        <v>4</v>
      </c>
      <c r="M592">
        <v>58</v>
      </c>
      <c r="N592" s="21">
        <f t="shared" si="18"/>
        <v>799.5</v>
      </c>
      <c r="O592" s="21">
        <f t="shared" si="19"/>
        <v>239.85</v>
      </c>
    </row>
    <row r="593" spans="1:15" x14ac:dyDescent="0.3">
      <c r="A593">
        <v>92632</v>
      </c>
      <c r="B593" s="1">
        <v>45580</v>
      </c>
      <c r="C593">
        <v>712</v>
      </c>
      <c r="D593">
        <v>50</v>
      </c>
      <c r="E593" t="s">
        <v>18</v>
      </c>
      <c r="F593" t="s">
        <v>19</v>
      </c>
      <c r="G593">
        <v>3</v>
      </c>
      <c r="H593" s="12">
        <v>218.49</v>
      </c>
      <c r="I593" t="s">
        <v>26</v>
      </c>
      <c r="J593" t="s">
        <v>783</v>
      </c>
      <c r="K593">
        <v>4</v>
      </c>
      <c r="L593" t="s">
        <v>21</v>
      </c>
      <c r="M593">
        <v>26</v>
      </c>
      <c r="N593" s="21">
        <f t="shared" si="18"/>
        <v>655.47</v>
      </c>
      <c r="O593" s="21">
        <f t="shared" si="19"/>
        <v>196.64099999999999</v>
      </c>
    </row>
    <row r="594" spans="1:15" x14ac:dyDescent="0.3">
      <c r="A594">
        <v>45508</v>
      </c>
      <c r="B594" s="1">
        <v>45580</v>
      </c>
      <c r="C594">
        <v>300</v>
      </c>
      <c r="D594">
        <v>50</v>
      </c>
      <c r="E594" t="s">
        <v>18</v>
      </c>
      <c r="F594" t="s">
        <v>19</v>
      </c>
      <c r="G594">
        <v>3</v>
      </c>
      <c r="H594" s="12">
        <v>452.9</v>
      </c>
      <c r="I594" t="s">
        <v>26</v>
      </c>
      <c r="J594" t="s">
        <v>915</v>
      </c>
      <c r="K594">
        <v>5</v>
      </c>
      <c r="L594" t="s">
        <v>17</v>
      </c>
      <c r="M594">
        <v>53</v>
      </c>
      <c r="N594" s="21">
        <f t="shared" si="18"/>
        <v>1358.6999999999998</v>
      </c>
      <c r="O594" s="21">
        <f t="shared" si="19"/>
        <v>407.60999999999996</v>
      </c>
    </row>
    <row r="595" spans="1:15" x14ac:dyDescent="0.3">
      <c r="A595">
        <v>24025</v>
      </c>
      <c r="B595" s="1">
        <v>45581</v>
      </c>
      <c r="C595">
        <v>761</v>
      </c>
      <c r="D595">
        <v>10</v>
      </c>
      <c r="E595" t="s">
        <v>13</v>
      </c>
      <c r="F595" t="s">
        <v>47</v>
      </c>
      <c r="G595">
        <v>5</v>
      </c>
      <c r="H595" s="12">
        <v>62.46</v>
      </c>
      <c r="I595" t="s">
        <v>15</v>
      </c>
      <c r="J595" t="s">
        <v>876</v>
      </c>
      <c r="L595" t="s">
        <v>17</v>
      </c>
      <c r="M595">
        <v>54</v>
      </c>
      <c r="N595" s="21">
        <f t="shared" si="18"/>
        <v>312.3</v>
      </c>
      <c r="O595" s="21">
        <f t="shared" si="19"/>
        <v>93.69</v>
      </c>
    </row>
    <row r="596" spans="1:15" x14ac:dyDescent="0.3">
      <c r="A596">
        <v>36922</v>
      </c>
      <c r="B596" s="1">
        <v>45582</v>
      </c>
      <c r="C596">
        <v>226</v>
      </c>
      <c r="D596">
        <v>20</v>
      </c>
      <c r="E596" t="s">
        <v>28</v>
      </c>
      <c r="F596" t="s">
        <v>72</v>
      </c>
      <c r="G596">
        <v>1</v>
      </c>
      <c r="H596" s="12">
        <v>254.46</v>
      </c>
      <c r="I596" t="s">
        <v>35</v>
      </c>
      <c r="J596" t="s">
        <v>581</v>
      </c>
      <c r="K596">
        <v>4</v>
      </c>
      <c r="L596" t="s">
        <v>21</v>
      </c>
      <c r="M596">
        <v>75</v>
      </c>
      <c r="N596" s="21">
        <f t="shared" si="18"/>
        <v>254.46</v>
      </c>
      <c r="O596" s="21">
        <f t="shared" si="19"/>
        <v>76.337999999999994</v>
      </c>
    </row>
    <row r="597" spans="1:15" x14ac:dyDescent="0.3">
      <c r="A597">
        <v>79537</v>
      </c>
      <c r="B597" s="1">
        <v>45583</v>
      </c>
      <c r="C597">
        <v>858</v>
      </c>
      <c r="D597">
        <v>40</v>
      </c>
      <c r="E597" t="s">
        <v>24</v>
      </c>
      <c r="F597" t="s">
        <v>25</v>
      </c>
      <c r="G597">
        <v>5</v>
      </c>
      <c r="H597" s="12">
        <v>374.39</v>
      </c>
      <c r="I597" t="s">
        <v>26</v>
      </c>
      <c r="J597" t="s">
        <v>131</v>
      </c>
      <c r="K597">
        <v>4</v>
      </c>
      <c r="L597" t="s">
        <v>17</v>
      </c>
      <c r="M597">
        <v>30</v>
      </c>
      <c r="N597" s="21">
        <f t="shared" si="18"/>
        <v>1871.9499999999998</v>
      </c>
      <c r="O597" s="21">
        <f t="shared" si="19"/>
        <v>561.58499999999992</v>
      </c>
    </row>
    <row r="598" spans="1:15" x14ac:dyDescent="0.3">
      <c r="A598">
        <v>79379</v>
      </c>
      <c r="B598" s="1">
        <v>45583</v>
      </c>
      <c r="C598">
        <v>411</v>
      </c>
      <c r="D598">
        <v>30</v>
      </c>
      <c r="E598" t="s">
        <v>37</v>
      </c>
      <c r="F598" t="s">
        <v>58</v>
      </c>
      <c r="G598">
        <v>5</v>
      </c>
      <c r="H598" s="12">
        <v>245.38</v>
      </c>
      <c r="I598" t="s">
        <v>35</v>
      </c>
      <c r="J598" t="s">
        <v>292</v>
      </c>
      <c r="K598">
        <v>5</v>
      </c>
      <c r="L598" t="s">
        <v>17</v>
      </c>
      <c r="M598">
        <v>54</v>
      </c>
      <c r="N598" s="21">
        <f t="shared" si="18"/>
        <v>1226.9000000000001</v>
      </c>
      <c r="O598" s="21">
        <f t="shared" si="19"/>
        <v>368.07</v>
      </c>
    </row>
    <row r="599" spans="1:15" x14ac:dyDescent="0.3">
      <c r="A599">
        <v>50142</v>
      </c>
      <c r="B599" s="1">
        <v>45583</v>
      </c>
      <c r="C599">
        <v>347</v>
      </c>
      <c r="D599">
        <v>20</v>
      </c>
      <c r="E599" t="s">
        <v>28</v>
      </c>
      <c r="F599" t="s">
        <v>72</v>
      </c>
      <c r="G599">
        <v>2</v>
      </c>
      <c r="H599" s="12">
        <v>150.51</v>
      </c>
      <c r="I599" t="s">
        <v>35</v>
      </c>
      <c r="J599" t="s">
        <v>843</v>
      </c>
      <c r="M599">
        <v>18</v>
      </c>
      <c r="N599" s="21">
        <f t="shared" si="18"/>
        <v>301.02</v>
      </c>
      <c r="O599" s="21">
        <f t="shared" si="19"/>
        <v>90.305999999999997</v>
      </c>
    </row>
    <row r="600" spans="1:15" x14ac:dyDescent="0.3">
      <c r="A600">
        <v>21473</v>
      </c>
      <c r="B600" s="1">
        <v>45584</v>
      </c>
      <c r="C600">
        <v>369</v>
      </c>
      <c r="D600">
        <v>20</v>
      </c>
      <c r="E600" t="s">
        <v>28</v>
      </c>
      <c r="F600" t="s">
        <v>77</v>
      </c>
      <c r="G600">
        <v>2</v>
      </c>
      <c r="H600" s="12">
        <v>343.37</v>
      </c>
      <c r="I600" t="s">
        <v>35</v>
      </c>
      <c r="J600" t="s">
        <v>406</v>
      </c>
      <c r="K600">
        <v>5</v>
      </c>
      <c r="L600" t="s">
        <v>21</v>
      </c>
      <c r="M600">
        <v>56</v>
      </c>
      <c r="N600" s="21">
        <f t="shared" si="18"/>
        <v>686.74</v>
      </c>
      <c r="O600" s="21">
        <f t="shared" si="19"/>
        <v>206.02199999999999</v>
      </c>
    </row>
    <row r="601" spans="1:15" x14ac:dyDescent="0.3">
      <c r="A601">
        <v>57449</v>
      </c>
      <c r="B601" s="1">
        <v>45585</v>
      </c>
      <c r="C601">
        <v>247</v>
      </c>
      <c r="D601">
        <v>10</v>
      </c>
      <c r="E601" t="s">
        <v>13</v>
      </c>
      <c r="F601" t="s">
        <v>14</v>
      </c>
      <c r="G601">
        <v>5</v>
      </c>
      <c r="H601" s="12">
        <v>37.520000000000003</v>
      </c>
      <c r="I601" t="s">
        <v>35</v>
      </c>
      <c r="J601" t="s">
        <v>592</v>
      </c>
      <c r="K601">
        <v>1</v>
      </c>
      <c r="L601" t="s">
        <v>17</v>
      </c>
      <c r="M601">
        <v>32</v>
      </c>
      <c r="N601" s="21">
        <f t="shared" si="18"/>
        <v>187.60000000000002</v>
      </c>
      <c r="O601" s="21">
        <f t="shared" si="19"/>
        <v>56.280000000000008</v>
      </c>
    </row>
    <row r="602" spans="1:15" x14ac:dyDescent="0.3">
      <c r="A602">
        <v>50447</v>
      </c>
      <c r="B602" s="1">
        <v>45586</v>
      </c>
      <c r="C602">
        <v>910</v>
      </c>
      <c r="D602">
        <v>40</v>
      </c>
      <c r="E602" t="s">
        <v>24</v>
      </c>
      <c r="F602" t="s">
        <v>44</v>
      </c>
      <c r="G602">
        <v>3</v>
      </c>
      <c r="H602" s="12">
        <v>167.32</v>
      </c>
      <c r="I602" t="s">
        <v>15</v>
      </c>
      <c r="J602" t="s">
        <v>187</v>
      </c>
      <c r="K602">
        <v>5</v>
      </c>
      <c r="L602" t="s">
        <v>21</v>
      </c>
      <c r="M602">
        <v>22</v>
      </c>
      <c r="N602" s="21">
        <f t="shared" si="18"/>
        <v>501.96</v>
      </c>
      <c r="O602" s="21">
        <f t="shared" si="19"/>
        <v>150.58799999999999</v>
      </c>
    </row>
    <row r="603" spans="1:15" x14ac:dyDescent="0.3">
      <c r="A603">
        <v>17277</v>
      </c>
      <c r="B603" s="1">
        <v>45586</v>
      </c>
      <c r="C603">
        <v>157</v>
      </c>
      <c r="D603">
        <v>20</v>
      </c>
      <c r="E603" t="s">
        <v>28</v>
      </c>
      <c r="F603" t="s">
        <v>29</v>
      </c>
      <c r="G603">
        <v>4</v>
      </c>
      <c r="H603" s="12">
        <v>22.26</v>
      </c>
      <c r="I603" t="s">
        <v>35</v>
      </c>
      <c r="J603" t="s">
        <v>228</v>
      </c>
      <c r="K603">
        <v>3</v>
      </c>
      <c r="L603" t="s">
        <v>17</v>
      </c>
      <c r="M603">
        <v>70</v>
      </c>
      <c r="N603" s="21">
        <f t="shared" si="18"/>
        <v>89.04</v>
      </c>
      <c r="O603" s="21">
        <f t="shared" si="19"/>
        <v>26.712</v>
      </c>
    </row>
    <row r="604" spans="1:15" x14ac:dyDescent="0.3">
      <c r="A604">
        <v>80473</v>
      </c>
      <c r="B604" s="1">
        <v>45586</v>
      </c>
      <c r="C604">
        <v>317</v>
      </c>
      <c r="D604">
        <v>30</v>
      </c>
      <c r="E604" t="s">
        <v>37</v>
      </c>
      <c r="F604" t="s">
        <v>38</v>
      </c>
      <c r="G604">
        <v>2</v>
      </c>
      <c r="H604" s="12">
        <v>97.45</v>
      </c>
      <c r="I604" t="s">
        <v>35</v>
      </c>
      <c r="J604" t="s">
        <v>417</v>
      </c>
      <c r="K604">
        <v>3</v>
      </c>
      <c r="L604" t="s">
        <v>21</v>
      </c>
      <c r="M604">
        <v>44</v>
      </c>
      <c r="N604" s="21">
        <f t="shared" si="18"/>
        <v>194.9</v>
      </c>
      <c r="O604" s="21">
        <f t="shared" si="19"/>
        <v>58.47</v>
      </c>
    </row>
    <row r="605" spans="1:15" x14ac:dyDescent="0.3">
      <c r="A605">
        <v>96551</v>
      </c>
      <c r="B605" s="1">
        <v>45586</v>
      </c>
      <c r="C605">
        <v>526</v>
      </c>
      <c r="D605">
        <v>30</v>
      </c>
      <c r="E605" t="s">
        <v>37</v>
      </c>
      <c r="F605" t="s">
        <v>95</v>
      </c>
      <c r="G605">
        <v>2</v>
      </c>
      <c r="H605" s="12">
        <v>19.72</v>
      </c>
      <c r="I605" t="s">
        <v>15</v>
      </c>
      <c r="J605" t="s">
        <v>825</v>
      </c>
      <c r="K605">
        <v>3</v>
      </c>
      <c r="L605" t="s">
        <v>17</v>
      </c>
      <c r="M605">
        <v>25</v>
      </c>
      <c r="N605" s="21">
        <f t="shared" si="18"/>
        <v>39.44</v>
      </c>
      <c r="O605" s="21">
        <f t="shared" si="19"/>
        <v>11.831999999999999</v>
      </c>
    </row>
    <row r="606" spans="1:15" x14ac:dyDescent="0.3">
      <c r="A606">
        <v>19510</v>
      </c>
      <c r="B606" s="1">
        <v>45586</v>
      </c>
      <c r="C606">
        <v>648</v>
      </c>
      <c r="D606">
        <v>20</v>
      </c>
      <c r="E606" t="s">
        <v>28</v>
      </c>
      <c r="F606" t="s">
        <v>72</v>
      </c>
      <c r="G606">
        <v>4</v>
      </c>
      <c r="H606" s="12">
        <v>296.5</v>
      </c>
      <c r="I606" t="s">
        <v>26</v>
      </c>
      <c r="J606" t="s">
        <v>862</v>
      </c>
      <c r="K606">
        <v>5</v>
      </c>
      <c r="L606" t="s">
        <v>21</v>
      </c>
      <c r="M606">
        <v>25</v>
      </c>
      <c r="N606" s="21">
        <f t="shared" si="18"/>
        <v>1186</v>
      </c>
      <c r="O606" s="21">
        <f t="shared" si="19"/>
        <v>355.8</v>
      </c>
    </row>
    <row r="607" spans="1:15" x14ac:dyDescent="0.3">
      <c r="A607">
        <v>20938</v>
      </c>
      <c r="B607" s="1">
        <v>45587</v>
      </c>
      <c r="C607">
        <v>478</v>
      </c>
      <c r="D607">
        <v>40</v>
      </c>
      <c r="E607" t="s">
        <v>24</v>
      </c>
      <c r="F607" t="s">
        <v>44</v>
      </c>
      <c r="G607">
        <v>1</v>
      </c>
      <c r="H607" s="12">
        <v>84.68</v>
      </c>
      <c r="I607" t="s">
        <v>26</v>
      </c>
      <c r="J607" t="s">
        <v>440</v>
      </c>
      <c r="K607">
        <v>1</v>
      </c>
      <c r="L607" t="s">
        <v>17</v>
      </c>
      <c r="M607">
        <v>40</v>
      </c>
      <c r="N607" s="21">
        <f t="shared" si="18"/>
        <v>84.68</v>
      </c>
      <c r="O607" s="21">
        <f t="shared" si="19"/>
        <v>25.404</v>
      </c>
    </row>
    <row r="608" spans="1:15" x14ac:dyDescent="0.3">
      <c r="A608">
        <v>45637</v>
      </c>
      <c r="B608" s="1">
        <v>45587</v>
      </c>
      <c r="C608">
        <v>961</v>
      </c>
      <c r="D608">
        <v>30</v>
      </c>
      <c r="E608" t="s">
        <v>37</v>
      </c>
      <c r="F608" t="s">
        <v>95</v>
      </c>
      <c r="G608">
        <v>3</v>
      </c>
      <c r="H608" s="12">
        <v>228.55</v>
      </c>
      <c r="I608" t="s">
        <v>15</v>
      </c>
      <c r="J608" t="s">
        <v>580</v>
      </c>
      <c r="L608" t="s">
        <v>17</v>
      </c>
      <c r="M608">
        <v>62</v>
      </c>
      <c r="N608" s="21">
        <f t="shared" si="18"/>
        <v>685.65000000000009</v>
      </c>
      <c r="O608" s="21">
        <f t="shared" si="19"/>
        <v>205.69500000000002</v>
      </c>
    </row>
    <row r="609" spans="1:15" x14ac:dyDescent="0.3">
      <c r="A609">
        <v>98997</v>
      </c>
      <c r="B609" s="1">
        <v>45587</v>
      </c>
      <c r="C609">
        <v>703</v>
      </c>
      <c r="D609">
        <v>50</v>
      </c>
      <c r="E609" t="s">
        <v>18</v>
      </c>
      <c r="F609" t="s">
        <v>34</v>
      </c>
      <c r="G609">
        <v>3</v>
      </c>
      <c r="H609" s="12">
        <v>407.83</v>
      </c>
      <c r="I609" t="s">
        <v>35</v>
      </c>
      <c r="J609" t="s">
        <v>601</v>
      </c>
      <c r="K609">
        <v>2</v>
      </c>
      <c r="L609" t="s">
        <v>21</v>
      </c>
      <c r="M609">
        <v>59</v>
      </c>
      <c r="N609" s="21">
        <f t="shared" si="18"/>
        <v>1223.49</v>
      </c>
      <c r="O609" s="21">
        <f t="shared" si="19"/>
        <v>367.04699999999997</v>
      </c>
    </row>
    <row r="610" spans="1:15" x14ac:dyDescent="0.3">
      <c r="A610">
        <v>16430</v>
      </c>
      <c r="B610" s="1">
        <v>45588</v>
      </c>
      <c r="C610">
        <v>522</v>
      </c>
      <c r="D610">
        <v>20</v>
      </c>
      <c r="E610" t="s">
        <v>28</v>
      </c>
      <c r="F610" t="s">
        <v>72</v>
      </c>
      <c r="G610">
        <v>2</v>
      </c>
      <c r="H610" s="12">
        <v>204.96</v>
      </c>
      <c r="I610" t="s">
        <v>26</v>
      </c>
      <c r="J610" t="s">
        <v>712</v>
      </c>
      <c r="K610">
        <v>5</v>
      </c>
      <c r="L610" t="s">
        <v>17</v>
      </c>
      <c r="M610">
        <v>57</v>
      </c>
      <c r="N610" s="21">
        <f t="shared" si="18"/>
        <v>409.92</v>
      </c>
      <c r="O610" s="21">
        <f t="shared" si="19"/>
        <v>122.976</v>
      </c>
    </row>
    <row r="611" spans="1:15" x14ac:dyDescent="0.3">
      <c r="A611">
        <v>78972</v>
      </c>
      <c r="B611" s="1">
        <v>45589</v>
      </c>
      <c r="C611">
        <v>112</v>
      </c>
      <c r="D611">
        <v>10</v>
      </c>
      <c r="E611" t="s">
        <v>13</v>
      </c>
      <c r="F611" t="s">
        <v>32</v>
      </c>
      <c r="G611">
        <v>4</v>
      </c>
      <c r="H611" s="12">
        <v>288.22000000000003</v>
      </c>
      <c r="I611" t="s">
        <v>15</v>
      </c>
      <c r="J611" t="s">
        <v>990</v>
      </c>
      <c r="K611">
        <v>5</v>
      </c>
      <c r="M611">
        <v>60</v>
      </c>
      <c r="N611" s="21">
        <f t="shared" si="18"/>
        <v>1152.8800000000001</v>
      </c>
      <c r="O611" s="21">
        <f t="shared" si="19"/>
        <v>345.86400000000003</v>
      </c>
    </row>
    <row r="612" spans="1:15" x14ac:dyDescent="0.3">
      <c r="A612">
        <v>15505</v>
      </c>
      <c r="B612" s="1">
        <v>45590</v>
      </c>
      <c r="C612">
        <v>465</v>
      </c>
      <c r="D612">
        <v>50</v>
      </c>
      <c r="E612" t="s">
        <v>18</v>
      </c>
      <c r="F612" t="s">
        <v>34</v>
      </c>
      <c r="G612">
        <v>2</v>
      </c>
      <c r="H612" s="12">
        <v>350.15</v>
      </c>
      <c r="I612" t="s">
        <v>26</v>
      </c>
      <c r="J612" t="s">
        <v>803</v>
      </c>
      <c r="K612">
        <v>4</v>
      </c>
      <c r="L612" t="s">
        <v>17</v>
      </c>
      <c r="M612">
        <v>19</v>
      </c>
      <c r="N612" s="21">
        <f t="shared" si="18"/>
        <v>700.3</v>
      </c>
      <c r="O612" s="21">
        <f t="shared" si="19"/>
        <v>210.08999999999997</v>
      </c>
    </row>
    <row r="613" spans="1:15" x14ac:dyDescent="0.3">
      <c r="A613">
        <v>40540</v>
      </c>
      <c r="B613" s="1">
        <v>45590</v>
      </c>
      <c r="C613">
        <v>509</v>
      </c>
      <c r="D613">
        <v>10</v>
      </c>
      <c r="E613" t="s">
        <v>13</v>
      </c>
      <c r="F613" t="s">
        <v>111</v>
      </c>
      <c r="G613">
        <v>3</v>
      </c>
      <c r="H613" s="12">
        <v>492.35</v>
      </c>
      <c r="I613" t="s">
        <v>15</v>
      </c>
      <c r="J613" t="s">
        <v>889</v>
      </c>
      <c r="K613">
        <v>5</v>
      </c>
      <c r="L613" t="s">
        <v>21</v>
      </c>
      <c r="M613">
        <v>72</v>
      </c>
      <c r="N613" s="21">
        <f t="shared" si="18"/>
        <v>1477.0500000000002</v>
      </c>
      <c r="O613" s="21">
        <f t="shared" si="19"/>
        <v>443.11500000000007</v>
      </c>
    </row>
    <row r="614" spans="1:15" x14ac:dyDescent="0.3">
      <c r="A614">
        <v>44293</v>
      </c>
      <c r="B614" s="1">
        <v>45591</v>
      </c>
      <c r="C614">
        <v>212</v>
      </c>
      <c r="D614">
        <v>20</v>
      </c>
      <c r="E614" t="s">
        <v>28</v>
      </c>
      <c r="F614" t="s">
        <v>29</v>
      </c>
      <c r="G614">
        <v>4</v>
      </c>
      <c r="H614" s="12">
        <v>337.11</v>
      </c>
      <c r="I614" t="s">
        <v>35</v>
      </c>
      <c r="J614" t="s">
        <v>129</v>
      </c>
      <c r="K614">
        <v>4</v>
      </c>
      <c r="M614">
        <v>72</v>
      </c>
      <c r="N614" s="21">
        <f t="shared" si="18"/>
        <v>1348.44</v>
      </c>
      <c r="O614" s="21">
        <f t="shared" si="19"/>
        <v>404.53199999999998</v>
      </c>
    </row>
    <row r="615" spans="1:15" x14ac:dyDescent="0.3">
      <c r="A615">
        <v>99015</v>
      </c>
      <c r="B615" s="1">
        <v>45591</v>
      </c>
      <c r="C615">
        <v>420</v>
      </c>
      <c r="D615">
        <v>10</v>
      </c>
      <c r="E615" t="s">
        <v>13</v>
      </c>
      <c r="F615" t="s">
        <v>14</v>
      </c>
      <c r="G615">
        <v>5</v>
      </c>
      <c r="H615" s="12">
        <v>269.41000000000003</v>
      </c>
      <c r="I615" t="s">
        <v>26</v>
      </c>
      <c r="J615" t="s">
        <v>448</v>
      </c>
      <c r="K615">
        <v>4</v>
      </c>
      <c r="L615" t="s">
        <v>21</v>
      </c>
      <c r="M615">
        <v>66</v>
      </c>
      <c r="N615" s="21">
        <f t="shared" si="18"/>
        <v>1347.0500000000002</v>
      </c>
      <c r="O615" s="21">
        <f t="shared" si="19"/>
        <v>404.11500000000007</v>
      </c>
    </row>
    <row r="616" spans="1:15" x14ac:dyDescent="0.3">
      <c r="A616">
        <v>50145</v>
      </c>
      <c r="B616" s="1">
        <v>45591</v>
      </c>
      <c r="C616">
        <v>554</v>
      </c>
      <c r="D616">
        <v>10</v>
      </c>
      <c r="E616" t="s">
        <v>13</v>
      </c>
      <c r="F616" t="s">
        <v>32</v>
      </c>
      <c r="G616">
        <v>3</v>
      </c>
      <c r="H616" s="12">
        <v>321.07</v>
      </c>
      <c r="I616" t="s">
        <v>35</v>
      </c>
      <c r="J616" t="s">
        <v>521</v>
      </c>
      <c r="K616">
        <v>3</v>
      </c>
      <c r="L616" t="s">
        <v>21</v>
      </c>
      <c r="M616">
        <v>34</v>
      </c>
      <c r="N616" s="21">
        <f t="shared" si="18"/>
        <v>963.21</v>
      </c>
      <c r="O616" s="21">
        <f t="shared" si="19"/>
        <v>288.96300000000002</v>
      </c>
    </row>
    <row r="617" spans="1:15" x14ac:dyDescent="0.3">
      <c r="A617">
        <v>88797</v>
      </c>
      <c r="B617" s="1">
        <v>45591</v>
      </c>
      <c r="C617">
        <v>244</v>
      </c>
      <c r="D617">
        <v>30</v>
      </c>
      <c r="E617" t="s">
        <v>37</v>
      </c>
      <c r="F617" t="s">
        <v>38</v>
      </c>
      <c r="G617">
        <v>3</v>
      </c>
      <c r="H617" s="12">
        <v>216.9</v>
      </c>
      <c r="I617" t="s">
        <v>15</v>
      </c>
      <c r="J617" t="s">
        <v>847</v>
      </c>
      <c r="K617">
        <v>4</v>
      </c>
      <c r="L617" t="s">
        <v>17</v>
      </c>
      <c r="M617">
        <v>43</v>
      </c>
      <c r="N617" s="21">
        <f t="shared" si="18"/>
        <v>650.70000000000005</v>
      </c>
      <c r="O617" s="21">
        <f t="shared" si="19"/>
        <v>195.21</v>
      </c>
    </row>
    <row r="618" spans="1:15" x14ac:dyDescent="0.3">
      <c r="A618">
        <v>19845</v>
      </c>
      <c r="B618" s="1">
        <v>45591</v>
      </c>
      <c r="C618">
        <v>798</v>
      </c>
      <c r="D618">
        <v>30</v>
      </c>
      <c r="E618" t="s">
        <v>37</v>
      </c>
      <c r="F618" t="s">
        <v>95</v>
      </c>
      <c r="G618">
        <v>2</v>
      </c>
      <c r="H618" s="12">
        <v>367.78</v>
      </c>
      <c r="I618" t="s">
        <v>26</v>
      </c>
      <c r="J618" t="s">
        <v>164</v>
      </c>
      <c r="K618">
        <v>2</v>
      </c>
      <c r="L618" t="s">
        <v>21</v>
      </c>
      <c r="M618">
        <v>45</v>
      </c>
      <c r="N618" s="21">
        <f t="shared" si="18"/>
        <v>735.56</v>
      </c>
      <c r="O618" s="21">
        <f t="shared" si="19"/>
        <v>220.66799999999998</v>
      </c>
    </row>
    <row r="619" spans="1:15" x14ac:dyDescent="0.3">
      <c r="A619">
        <v>52052</v>
      </c>
      <c r="B619" s="1">
        <v>45592</v>
      </c>
      <c r="C619">
        <v>247</v>
      </c>
      <c r="D619">
        <v>40</v>
      </c>
      <c r="E619" t="s">
        <v>24</v>
      </c>
      <c r="F619" t="s">
        <v>63</v>
      </c>
      <c r="G619">
        <v>3</v>
      </c>
      <c r="H619" s="12">
        <v>343.78</v>
      </c>
      <c r="I619" t="s">
        <v>15</v>
      </c>
      <c r="J619" t="s">
        <v>388</v>
      </c>
      <c r="L619" t="s">
        <v>17</v>
      </c>
      <c r="M619">
        <v>20</v>
      </c>
      <c r="N619" s="21">
        <f t="shared" si="18"/>
        <v>1031.3399999999999</v>
      </c>
      <c r="O619" s="21">
        <f t="shared" si="19"/>
        <v>309.40199999999999</v>
      </c>
    </row>
    <row r="620" spans="1:15" x14ac:dyDescent="0.3">
      <c r="A620">
        <v>49782</v>
      </c>
      <c r="B620" s="1">
        <v>45592</v>
      </c>
      <c r="C620">
        <v>911</v>
      </c>
      <c r="D620">
        <v>10</v>
      </c>
      <c r="E620" t="s">
        <v>13</v>
      </c>
      <c r="F620" t="s">
        <v>14</v>
      </c>
      <c r="G620">
        <v>3</v>
      </c>
      <c r="H620" s="12">
        <v>427.48</v>
      </c>
      <c r="I620" t="s">
        <v>35</v>
      </c>
      <c r="J620" t="s">
        <v>686</v>
      </c>
      <c r="K620">
        <v>5</v>
      </c>
      <c r="L620" t="s">
        <v>21</v>
      </c>
      <c r="M620">
        <v>63</v>
      </c>
      <c r="N620" s="21">
        <f t="shared" si="18"/>
        <v>1282.44</v>
      </c>
      <c r="O620" s="21">
        <f t="shared" si="19"/>
        <v>384.73200000000003</v>
      </c>
    </row>
    <row r="621" spans="1:15" x14ac:dyDescent="0.3">
      <c r="A621">
        <v>65208</v>
      </c>
      <c r="B621" s="1">
        <v>45593</v>
      </c>
      <c r="C621">
        <v>204</v>
      </c>
      <c r="D621">
        <v>40</v>
      </c>
      <c r="E621" t="s">
        <v>24</v>
      </c>
      <c r="F621" t="s">
        <v>25</v>
      </c>
      <c r="G621">
        <v>2</v>
      </c>
      <c r="H621" s="12">
        <v>230.11</v>
      </c>
      <c r="I621" t="s">
        <v>26</v>
      </c>
      <c r="J621" t="s">
        <v>27</v>
      </c>
      <c r="K621">
        <v>5</v>
      </c>
      <c r="L621" t="s">
        <v>21</v>
      </c>
      <c r="M621">
        <v>34</v>
      </c>
      <c r="N621" s="21">
        <f t="shared" si="18"/>
        <v>460.22</v>
      </c>
      <c r="O621" s="21">
        <f t="shared" si="19"/>
        <v>138.066</v>
      </c>
    </row>
    <row r="622" spans="1:15" x14ac:dyDescent="0.3">
      <c r="A622">
        <v>41736</v>
      </c>
      <c r="B622" s="1">
        <v>45593</v>
      </c>
      <c r="C622">
        <v>457</v>
      </c>
      <c r="D622">
        <v>10</v>
      </c>
      <c r="E622" t="s">
        <v>13</v>
      </c>
      <c r="F622" t="s">
        <v>32</v>
      </c>
      <c r="G622">
        <v>4</v>
      </c>
      <c r="H622" s="12">
        <v>196.99</v>
      </c>
      <c r="I622" t="s">
        <v>26</v>
      </c>
      <c r="J622" t="s">
        <v>55</v>
      </c>
      <c r="K622">
        <v>4</v>
      </c>
      <c r="M622">
        <v>72</v>
      </c>
      <c r="N622" s="21">
        <f t="shared" si="18"/>
        <v>787.96</v>
      </c>
      <c r="O622" s="21">
        <f t="shared" si="19"/>
        <v>236.38800000000001</v>
      </c>
    </row>
    <row r="623" spans="1:15" x14ac:dyDescent="0.3">
      <c r="A623">
        <v>59644</v>
      </c>
      <c r="B623" s="1">
        <v>45593</v>
      </c>
      <c r="C623">
        <v>139</v>
      </c>
      <c r="D623">
        <v>40</v>
      </c>
      <c r="E623" t="s">
        <v>24</v>
      </c>
      <c r="F623" t="s">
        <v>25</v>
      </c>
      <c r="G623">
        <v>5</v>
      </c>
      <c r="H623" s="12">
        <v>108.39</v>
      </c>
      <c r="I623" t="s">
        <v>35</v>
      </c>
      <c r="J623" t="s">
        <v>223</v>
      </c>
      <c r="K623">
        <v>5</v>
      </c>
      <c r="L623" t="s">
        <v>21</v>
      </c>
      <c r="M623">
        <v>61</v>
      </c>
      <c r="N623" s="21">
        <f t="shared" si="18"/>
        <v>541.95000000000005</v>
      </c>
      <c r="O623" s="21">
        <f t="shared" si="19"/>
        <v>162.58500000000001</v>
      </c>
    </row>
    <row r="624" spans="1:15" x14ac:dyDescent="0.3">
      <c r="A624">
        <v>38565</v>
      </c>
      <c r="B624" s="1">
        <v>45593</v>
      </c>
      <c r="C624">
        <v>884</v>
      </c>
      <c r="D624">
        <v>10</v>
      </c>
      <c r="E624" t="s">
        <v>13</v>
      </c>
      <c r="F624" t="s">
        <v>32</v>
      </c>
      <c r="G624">
        <v>5</v>
      </c>
      <c r="H624" s="12">
        <v>455.43</v>
      </c>
      <c r="I624" t="s">
        <v>35</v>
      </c>
      <c r="J624" t="s">
        <v>284</v>
      </c>
      <c r="K624">
        <v>5</v>
      </c>
      <c r="L624" t="s">
        <v>21</v>
      </c>
      <c r="M624">
        <v>50</v>
      </c>
      <c r="N624" s="21">
        <f t="shared" si="18"/>
        <v>2277.15</v>
      </c>
      <c r="O624" s="21">
        <f t="shared" si="19"/>
        <v>683.14499999999998</v>
      </c>
    </row>
    <row r="625" spans="1:15" x14ac:dyDescent="0.3">
      <c r="A625">
        <v>34709</v>
      </c>
      <c r="B625" s="1">
        <v>45593</v>
      </c>
      <c r="C625">
        <v>636</v>
      </c>
      <c r="D625">
        <v>20</v>
      </c>
      <c r="E625" t="s">
        <v>28</v>
      </c>
      <c r="F625" t="s">
        <v>79</v>
      </c>
      <c r="G625">
        <v>2</v>
      </c>
      <c r="H625" s="12">
        <v>115.08</v>
      </c>
      <c r="I625" t="s">
        <v>26</v>
      </c>
      <c r="J625" t="s">
        <v>790</v>
      </c>
      <c r="K625">
        <v>5</v>
      </c>
      <c r="L625" t="s">
        <v>17</v>
      </c>
      <c r="M625">
        <v>19</v>
      </c>
      <c r="N625" s="21">
        <f t="shared" si="18"/>
        <v>230.16</v>
      </c>
      <c r="O625" s="21">
        <f t="shared" si="19"/>
        <v>69.048000000000002</v>
      </c>
    </row>
    <row r="626" spans="1:15" x14ac:dyDescent="0.3">
      <c r="A626">
        <v>64016</v>
      </c>
      <c r="B626" s="1">
        <v>45594</v>
      </c>
      <c r="C626">
        <v>970</v>
      </c>
      <c r="D626">
        <v>30</v>
      </c>
      <c r="E626" t="s">
        <v>37</v>
      </c>
      <c r="F626" t="s">
        <v>58</v>
      </c>
      <c r="G626">
        <v>1</v>
      </c>
      <c r="H626" s="12">
        <v>189.89</v>
      </c>
      <c r="I626" t="s">
        <v>15</v>
      </c>
      <c r="J626" t="s">
        <v>871</v>
      </c>
      <c r="K626">
        <v>5</v>
      </c>
      <c r="L626" t="s">
        <v>17</v>
      </c>
      <c r="M626">
        <v>61</v>
      </c>
      <c r="N626" s="21">
        <f t="shared" si="18"/>
        <v>189.89</v>
      </c>
      <c r="O626" s="21">
        <f t="shared" si="19"/>
        <v>56.966999999999992</v>
      </c>
    </row>
    <row r="627" spans="1:15" x14ac:dyDescent="0.3">
      <c r="A627">
        <v>16285</v>
      </c>
      <c r="B627" s="1">
        <v>45595</v>
      </c>
      <c r="C627">
        <v>579</v>
      </c>
      <c r="D627">
        <v>50</v>
      </c>
      <c r="E627" t="s">
        <v>18</v>
      </c>
      <c r="F627" t="s">
        <v>19</v>
      </c>
      <c r="G627">
        <v>4</v>
      </c>
      <c r="H627" s="12">
        <v>145.86000000000001</v>
      </c>
      <c r="I627" t="s">
        <v>15</v>
      </c>
      <c r="J627" t="s">
        <v>239</v>
      </c>
      <c r="K627">
        <v>5</v>
      </c>
      <c r="L627" t="s">
        <v>17</v>
      </c>
      <c r="M627">
        <v>59</v>
      </c>
      <c r="N627" s="21">
        <f t="shared" si="18"/>
        <v>583.44000000000005</v>
      </c>
      <c r="O627" s="21">
        <f t="shared" si="19"/>
        <v>175.03200000000001</v>
      </c>
    </row>
    <row r="628" spans="1:15" x14ac:dyDescent="0.3">
      <c r="A628">
        <v>23672</v>
      </c>
      <c r="B628" s="1">
        <v>45595</v>
      </c>
      <c r="C628">
        <v>158</v>
      </c>
      <c r="D628">
        <v>20</v>
      </c>
      <c r="E628" t="s">
        <v>28</v>
      </c>
      <c r="F628" t="s">
        <v>51</v>
      </c>
      <c r="G628">
        <v>2</v>
      </c>
      <c r="H628" s="12">
        <v>91.76</v>
      </c>
      <c r="I628" t="s">
        <v>26</v>
      </c>
      <c r="J628" t="s">
        <v>503</v>
      </c>
      <c r="L628" t="s">
        <v>21</v>
      </c>
      <c r="M628">
        <v>49</v>
      </c>
      <c r="N628" s="21">
        <f t="shared" si="18"/>
        <v>183.52</v>
      </c>
      <c r="O628" s="21">
        <f t="shared" si="19"/>
        <v>55.056000000000004</v>
      </c>
    </row>
    <row r="629" spans="1:15" x14ac:dyDescent="0.3">
      <c r="A629">
        <v>64799</v>
      </c>
      <c r="B629" s="1">
        <v>45595</v>
      </c>
      <c r="C629">
        <v>950</v>
      </c>
      <c r="D629">
        <v>50</v>
      </c>
      <c r="E629" t="s">
        <v>18</v>
      </c>
      <c r="F629" t="s">
        <v>34</v>
      </c>
      <c r="G629">
        <v>4</v>
      </c>
      <c r="H629" s="12">
        <v>346.44</v>
      </c>
      <c r="I629" t="s">
        <v>35</v>
      </c>
      <c r="J629" t="s">
        <v>59</v>
      </c>
      <c r="L629" t="s">
        <v>17</v>
      </c>
      <c r="M629">
        <v>71</v>
      </c>
      <c r="N629" s="21">
        <f t="shared" si="18"/>
        <v>1385.76</v>
      </c>
      <c r="O629" s="21">
        <f t="shared" si="19"/>
        <v>415.72800000000001</v>
      </c>
    </row>
    <row r="630" spans="1:15" x14ac:dyDescent="0.3">
      <c r="A630">
        <v>76563</v>
      </c>
      <c r="B630" s="1">
        <v>45596</v>
      </c>
      <c r="C630">
        <v>108</v>
      </c>
      <c r="D630">
        <v>50</v>
      </c>
      <c r="E630" t="s">
        <v>18</v>
      </c>
      <c r="F630" t="s">
        <v>19</v>
      </c>
      <c r="G630">
        <v>2</v>
      </c>
      <c r="H630" s="12">
        <v>283.81</v>
      </c>
      <c r="I630" t="s">
        <v>35</v>
      </c>
      <c r="J630" t="s">
        <v>411</v>
      </c>
      <c r="K630">
        <v>5</v>
      </c>
      <c r="L630" t="s">
        <v>17</v>
      </c>
      <c r="M630">
        <v>59</v>
      </c>
      <c r="N630" s="21">
        <f t="shared" si="18"/>
        <v>567.62</v>
      </c>
      <c r="O630" s="21">
        <f t="shared" si="19"/>
        <v>170.286</v>
      </c>
    </row>
    <row r="631" spans="1:15" x14ac:dyDescent="0.3">
      <c r="A631">
        <v>20770</v>
      </c>
      <c r="B631" s="1">
        <v>45597</v>
      </c>
      <c r="C631">
        <v>941</v>
      </c>
      <c r="D631">
        <v>10</v>
      </c>
      <c r="E631" t="s">
        <v>13</v>
      </c>
      <c r="F631" t="s">
        <v>14</v>
      </c>
      <c r="G631">
        <v>2</v>
      </c>
      <c r="H631" s="12">
        <v>391.43</v>
      </c>
      <c r="I631" t="s">
        <v>15</v>
      </c>
      <c r="J631" t="s">
        <v>127</v>
      </c>
      <c r="M631">
        <v>44</v>
      </c>
      <c r="N631" s="21">
        <f t="shared" si="18"/>
        <v>782.86</v>
      </c>
      <c r="O631" s="21">
        <f t="shared" si="19"/>
        <v>234.858</v>
      </c>
    </row>
    <row r="632" spans="1:15" x14ac:dyDescent="0.3">
      <c r="A632">
        <v>23008</v>
      </c>
      <c r="B632" s="1">
        <v>45597</v>
      </c>
      <c r="C632">
        <v>248</v>
      </c>
      <c r="D632">
        <v>20</v>
      </c>
      <c r="E632" t="s">
        <v>28</v>
      </c>
      <c r="F632" t="s">
        <v>72</v>
      </c>
      <c r="G632">
        <v>5</v>
      </c>
      <c r="H632" s="12">
        <v>194.27</v>
      </c>
      <c r="I632" t="s">
        <v>26</v>
      </c>
      <c r="J632" t="s">
        <v>477</v>
      </c>
      <c r="K632">
        <v>3</v>
      </c>
      <c r="M632">
        <v>53</v>
      </c>
      <c r="N632" s="21">
        <f t="shared" si="18"/>
        <v>971.35</v>
      </c>
      <c r="O632" s="21">
        <f t="shared" si="19"/>
        <v>291.40499999999997</v>
      </c>
    </row>
    <row r="633" spans="1:15" x14ac:dyDescent="0.3">
      <c r="A633">
        <v>14487</v>
      </c>
      <c r="B633" s="1">
        <v>45597</v>
      </c>
      <c r="C633">
        <v>923</v>
      </c>
      <c r="D633">
        <v>10</v>
      </c>
      <c r="E633" t="s">
        <v>13</v>
      </c>
      <c r="F633" t="s">
        <v>47</v>
      </c>
      <c r="G633">
        <v>5</v>
      </c>
      <c r="H633" s="12">
        <v>60.82</v>
      </c>
      <c r="I633" t="s">
        <v>35</v>
      </c>
      <c r="J633" t="s">
        <v>690</v>
      </c>
      <c r="K633">
        <v>4</v>
      </c>
      <c r="L633" t="s">
        <v>17</v>
      </c>
      <c r="M633">
        <v>56</v>
      </c>
      <c r="N633" s="21">
        <f t="shared" si="18"/>
        <v>304.10000000000002</v>
      </c>
      <c r="O633" s="21">
        <f t="shared" si="19"/>
        <v>91.23</v>
      </c>
    </row>
    <row r="634" spans="1:15" x14ac:dyDescent="0.3">
      <c r="A634">
        <v>61595</v>
      </c>
      <c r="B634" s="1">
        <v>45597</v>
      </c>
      <c r="C634">
        <v>586</v>
      </c>
      <c r="D634">
        <v>40</v>
      </c>
      <c r="E634" t="s">
        <v>24</v>
      </c>
      <c r="F634" t="s">
        <v>44</v>
      </c>
      <c r="G634">
        <v>2</v>
      </c>
      <c r="H634" s="12">
        <v>395.01</v>
      </c>
      <c r="I634" t="s">
        <v>26</v>
      </c>
      <c r="J634" t="s">
        <v>853</v>
      </c>
      <c r="K634">
        <v>5</v>
      </c>
      <c r="L634" t="s">
        <v>17</v>
      </c>
      <c r="M634">
        <v>32</v>
      </c>
      <c r="N634" s="21">
        <f t="shared" si="18"/>
        <v>790.02</v>
      </c>
      <c r="O634" s="21">
        <f t="shared" si="19"/>
        <v>237.00599999999997</v>
      </c>
    </row>
    <row r="635" spans="1:15" x14ac:dyDescent="0.3">
      <c r="A635">
        <v>84575</v>
      </c>
      <c r="B635" s="1">
        <v>45598</v>
      </c>
      <c r="C635">
        <v>922</v>
      </c>
      <c r="D635">
        <v>30</v>
      </c>
      <c r="E635" t="s">
        <v>37</v>
      </c>
      <c r="F635" t="s">
        <v>95</v>
      </c>
      <c r="G635">
        <v>4</v>
      </c>
      <c r="H635" s="12">
        <v>157.94999999999999</v>
      </c>
      <c r="I635" t="s">
        <v>35</v>
      </c>
      <c r="J635" t="s">
        <v>401</v>
      </c>
      <c r="K635">
        <v>4</v>
      </c>
      <c r="L635" t="s">
        <v>21</v>
      </c>
      <c r="M635">
        <v>68</v>
      </c>
      <c r="N635" s="21">
        <f t="shared" si="18"/>
        <v>631.79999999999995</v>
      </c>
      <c r="O635" s="21">
        <f t="shared" si="19"/>
        <v>189.54</v>
      </c>
    </row>
    <row r="636" spans="1:15" x14ac:dyDescent="0.3">
      <c r="A636">
        <v>62764</v>
      </c>
      <c r="B636" s="1">
        <v>45599</v>
      </c>
      <c r="C636">
        <v>901</v>
      </c>
      <c r="D636">
        <v>40</v>
      </c>
      <c r="E636" t="s">
        <v>24</v>
      </c>
      <c r="F636" t="s">
        <v>25</v>
      </c>
      <c r="G636">
        <v>4</v>
      </c>
      <c r="H636" s="12">
        <v>36.71</v>
      </c>
      <c r="I636" t="s">
        <v>15</v>
      </c>
      <c r="J636" t="s">
        <v>613</v>
      </c>
      <c r="K636">
        <v>4</v>
      </c>
      <c r="L636" t="s">
        <v>21</v>
      </c>
      <c r="M636">
        <v>23</v>
      </c>
      <c r="N636" s="21">
        <f t="shared" si="18"/>
        <v>146.84</v>
      </c>
      <c r="O636" s="21">
        <f t="shared" si="19"/>
        <v>44.052</v>
      </c>
    </row>
    <row r="637" spans="1:15" x14ac:dyDescent="0.3">
      <c r="A637">
        <v>62323</v>
      </c>
      <c r="B637" s="1">
        <v>45600</v>
      </c>
      <c r="C637">
        <v>308</v>
      </c>
      <c r="D637">
        <v>30</v>
      </c>
      <c r="E637" t="s">
        <v>37</v>
      </c>
      <c r="F637" t="s">
        <v>40</v>
      </c>
      <c r="G637">
        <v>5</v>
      </c>
      <c r="H637" s="12">
        <v>228.43</v>
      </c>
      <c r="I637" t="s">
        <v>26</v>
      </c>
      <c r="J637" t="s">
        <v>617</v>
      </c>
      <c r="K637">
        <v>4</v>
      </c>
      <c r="L637" t="s">
        <v>21</v>
      </c>
      <c r="M637">
        <v>26</v>
      </c>
      <c r="N637" s="21">
        <f t="shared" si="18"/>
        <v>1142.1500000000001</v>
      </c>
      <c r="O637" s="21">
        <f t="shared" si="19"/>
        <v>342.64500000000004</v>
      </c>
    </row>
    <row r="638" spans="1:15" x14ac:dyDescent="0.3">
      <c r="A638">
        <v>96190</v>
      </c>
      <c r="B638" s="1">
        <v>45600</v>
      </c>
      <c r="C638">
        <v>415</v>
      </c>
      <c r="D638">
        <v>50</v>
      </c>
      <c r="E638" t="s">
        <v>18</v>
      </c>
      <c r="F638" t="s">
        <v>34</v>
      </c>
      <c r="G638">
        <v>5</v>
      </c>
      <c r="H638" s="12">
        <v>365.81</v>
      </c>
      <c r="I638" t="s">
        <v>35</v>
      </c>
      <c r="J638" t="s">
        <v>731</v>
      </c>
      <c r="K638">
        <v>5</v>
      </c>
      <c r="L638" t="s">
        <v>21</v>
      </c>
      <c r="M638">
        <v>18</v>
      </c>
      <c r="N638" s="21">
        <f t="shared" si="18"/>
        <v>1829.05</v>
      </c>
      <c r="O638" s="21">
        <f t="shared" si="19"/>
        <v>548.71499999999992</v>
      </c>
    </row>
    <row r="639" spans="1:15" x14ac:dyDescent="0.3">
      <c r="A639">
        <v>50937</v>
      </c>
      <c r="B639" s="1">
        <v>45601</v>
      </c>
      <c r="C639">
        <v>101</v>
      </c>
      <c r="D639">
        <v>30</v>
      </c>
      <c r="E639" t="s">
        <v>37</v>
      </c>
      <c r="F639" t="s">
        <v>95</v>
      </c>
      <c r="G639">
        <v>1</v>
      </c>
      <c r="H639" s="12">
        <v>92.22</v>
      </c>
      <c r="I639" t="s">
        <v>35</v>
      </c>
      <c r="J639" t="s">
        <v>147</v>
      </c>
      <c r="K639">
        <v>5</v>
      </c>
      <c r="L639" t="s">
        <v>17</v>
      </c>
      <c r="M639">
        <v>46</v>
      </c>
      <c r="N639" s="21">
        <f t="shared" si="18"/>
        <v>92.22</v>
      </c>
      <c r="O639" s="21">
        <f t="shared" si="19"/>
        <v>27.666</v>
      </c>
    </row>
    <row r="640" spans="1:15" x14ac:dyDescent="0.3">
      <c r="A640">
        <v>24054</v>
      </c>
      <c r="B640" s="1">
        <v>45601</v>
      </c>
      <c r="C640">
        <v>953</v>
      </c>
      <c r="D640">
        <v>50</v>
      </c>
      <c r="E640" t="s">
        <v>18</v>
      </c>
      <c r="F640" t="s">
        <v>87</v>
      </c>
      <c r="G640">
        <v>3</v>
      </c>
      <c r="H640" s="12">
        <v>220.73</v>
      </c>
      <c r="I640" t="s">
        <v>15</v>
      </c>
      <c r="J640" t="s">
        <v>249</v>
      </c>
      <c r="K640">
        <v>4</v>
      </c>
      <c r="L640" t="s">
        <v>17</v>
      </c>
      <c r="M640">
        <v>26</v>
      </c>
      <c r="N640" s="21">
        <f t="shared" si="18"/>
        <v>662.18999999999994</v>
      </c>
      <c r="O640" s="21">
        <f t="shared" si="19"/>
        <v>198.65699999999998</v>
      </c>
    </row>
    <row r="641" spans="1:15" x14ac:dyDescent="0.3">
      <c r="A641">
        <v>48855</v>
      </c>
      <c r="B641" s="1">
        <v>45601</v>
      </c>
      <c r="C641">
        <v>809</v>
      </c>
      <c r="D641">
        <v>40</v>
      </c>
      <c r="E641" t="s">
        <v>24</v>
      </c>
      <c r="F641" t="s">
        <v>65</v>
      </c>
      <c r="G641">
        <v>1</v>
      </c>
      <c r="H641" s="12">
        <v>447.49</v>
      </c>
      <c r="I641" t="s">
        <v>26</v>
      </c>
      <c r="J641" t="s">
        <v>661</v>
      </c>
      <c r="L641" t="s">
        <v>17</v>
      </c>
      <c r="M641">
        <v>47</v>
      </c>
      <c r="N641" s="21">
        <f t="shared" si="18"/>
        <v>447.49</v>
      </c>
      <c r="O641" s="21">
        <f t="shared" si="19"/>
        <v>134.24699999999999</v>
      </c>
    </row>
    <row r="642" spans="1:15" x14ac:dyDescent="0.3">
      <c r="A642">
        <v>94532</v>
      </c>
      <c r="B642" s="1">
        <v>45602</v>
      </c>
      <c r="C642">
        <v>335</v>
      </c>
      <c r="D642">
        <v>50</v>
      </c>
      <c r="E642" t="s">
        <v>18</v>
      </c>
      <c r="F642" t="s">
        <v>84</v>
      </c>
      <c r="G642">
        <v>4</v>
      </c>
      <c r="H642" s="12">
        <v>85.58</v>
      </c>
      <c r="I642" t="s">
        <v>15</v>
      </c>
      <c r="J642" t="s">
        <v>297</v>
      </c>
      <c r="K642">
        <v>5</v>
      </c>
      <c r="L642" t="s">
        <v>17</v>
      </c>
      <c r="M642">
        <v>41</v>
      </c>
      <c r="N642" s="21">
        <f t="shared" si="18"/>
        <v>342.32</v>
      </c>
      <c r="O642" s="21">
        <f t="shared" si="19"/>
        <v>102.696</v>
      </c>
    </row>
    <row r="643" spans="1:15" x14ac:dyDescent="0.3">
      <c r="A643">
        <v>66122</v>
      </c>
      <c r="B643" s="1">
        <v>45602</v>
      </c>
      <c r="C643">
        <v>280</v>
      </c>
      <c r="D643">
        <v>50</v>
      </c>
      <c r="E643" t="s">
        <v>18</v>
      </c>
      <c r="F643" t="s">
        <v>34</v>
      </c>
      <c r="G643">
        <v>1</v>
      </c>
      <c r="H643" s="12">
        <v>401.05</v>
      </c>
      <c r="I643" t="s">
        <v>35</v>
      </c>
      <c r="J643" t="s">
        <v>464</v>
      </c>
      <c r="L643" t="s">
        <v>21</v>
      </c>
      <c r="M643">
        <v>46</v>
      </c>
      <c r="N643" s="21">
        <f t="shared" ref="N643:N706" si="20">H643*G643</f>
        <v>401.05</v>
      </c>
      <c r="O643" s="21">
        <f t="shared" ref="O643:O706" si="21">N643*0.3</f>
        <v>120.315</v>
      </c>
    </row>
    <row r="644" spans="1:15" x14ac:dyDescent="0.3">
      <c r="A644">
        <v>80018</v>
      </c>
      <c r="B644" s="1">
        <v>45602</v>
      </c>
      <c r="C644">
        <v>257</v>
      </c>
      <c r="D644">
        <v>30</v>
      </c>
      <c r="E644" t="s">
        <v>37</v>
      </c>
      <c r="F644" t="s">
        <v>58</v>
      </c>
      <c r="G644">
        <v>4</v>
      </c>
      <c r="H644" s="12">
        <v>265.26</v>
      </c>
      <c r="I644" t="s">
        <v>26</v>
      </c>
      <c r="J644" t="s">
        <v>831</v>
      </c>
      <c r="K644">
        <v>4</v>
      </c>
      <c r="L644" t="s">
        <v>21</v>
      </c>
      <c r="M644">
        <v>65</v>
      </c>
      <c r="N644" s="21">
        <f t="shared" si="20"/>
        <v>1061.04</v>
      </c>
      <c r="O644" s="21">
        <f t="shared" si="21"/>
        <v>318.31199999999995</v>
      </c>
    </row>
    <row r="645" spans="1:15" x14ac:dyDescent="0.3">
      <c r="A645">
        <v>92290</v>
      </c>
      <c r="B645" s="1">
        <v>45602</v>
      </c>
      <c r="C645">
        <v>445</v>
      </c>
      <c r="D645">
        <v>10</v>
      </c>
      <c r="E645" t="s">
        <v>13</v>
      </c>
      <c r="F645" t="s">
        <v>14</v>
      </c>
      <c r="G645">
        <v>5</v>
      </c>
      <c r="H645" s="12">
        <v>354.64</v>
      </c>
      <c r="I645" t="s">
        <v>26</v>
      </c>
      <c r="J645" t="s">
        <v>1007</v>
      </c>
      <c r="L645" t="s">
        <v>21</v>
      </c>
      <c r="M645">
        <v>49</v>
      </c>
      <c r="N645" s="21">
        <f t="shared" si="20"/>
        <v>1773.1999999999998</v>
      </c>
      <c r="O645" s="21">
        <f t="shared" si="21"/>
        <v>531.95999999999992</v>
      </c>
    </row>
    <row r="646" spans="1:15" x14ac:dyDescent="0.3">
      <c r="A646">
        <v>20658</v>
      </c>
      <c r="B646" s="1">
        <v>45602</v>
      </c>
      <c r="C646">
        <v>177</v>
      </c>
      <c r="D646">
        <v>40</v>
      </c>
      <c r="E646" t="s">
        <v>24</v>
      </c>
      <c r="F646" t="s">
        <v>49</v>
      </c>
      <c r="G646">
        <v>3</v>
      </c>
      <c r="H646" s="12">
        <v>196.97</v>
      </c>
      <c r="I646" t="s">
        <v>35</v>
      </c>
      <c r="J646" t="s">
        <v>1009</v>
      </c>
      <c r="K646">
        <v>1</v>
      </c>
      <c r="L646" t="s">
        <v>21</v>
      </c>
      <c r="M646">
        <v>34</v>
      </c>
      <c r="N646" s="21">
        <f t="shared" si="20"/>
        <v>590.91</v>
      </c>
      <c r="O646" s="21">
        <f t="shared" si="21"/>
        <v>177.273</v>
      </c>
    </row>
    <row r="647" spans="1:15" x14ac:dyDescent="0.3">
      <c r="A647">
        <v>20522</v>
      </c>
      <c r="B647" s="1">
        <v>45603</v>
      </c>
      <c r="C647">
        <v>380</v>
      </c>
      <c r="D647">
        <v>30</v>
      </c>
      <c r="E647" t="s">
        <v>37</v>
      </c>
      <c r="F647" t="s">
        <v>38</v>
      </c>
      <c r="G647">
        <v>2</v>
      </c>
      <c r="H647" s="12">
        <v>302.49</v>
      </c>
      <c r="I647" t="s">
        <v>26</v>
      </c>
      <c r="J647" t="s">
        <v>372</v>
      </c>
      <c r="K647">
        <v>5</v>
      </c>
      <c r="L647" t="s">
        <v>17</v>
      </c>
      <c r="M647">
        <v>31</v>
      </c>
      <c r="N647" s="21">
        <f t="shared" si="20"/>
        <v>604.98</v>
      </c>
      <c r="O647" s="21">
        <f t="shared" si="21"/>
        <v>181.494</v>
      </c>
    </row>
    <row r="648" spans="1:15" x14ac:dyDescent="0.3">
      <c r="A648">
        <v>32037</v>
      </c>
      <c r="B648" s="1">
        <v>45603</v>
      </c>
      <c r="C648">
        <v>897</v>
      </c>
      <c r="D648">
        <v>10</v>
      </c>
      <c r="E648" t="s">
        <v>13</v>
      </c>
      <c r="F648" t="s">
        <v>32</v>
      </c>
      <c r="G648">
        <v>5</v>
      </c>
      <c r="H648" s="12">
        <v>25.55</v>
      </c>
      <c r="I648" t="s">
        <v>26</v>
      </c>
      <c r="J648" t="s">
        <v>414</v>
      </c>
      <c r="L648" t="s">
        <v>21</v>
      </c>
      <c r="M648">
        <v>42</v>
      </c>
      <c r="N648" s="21">
        <f t="shared" si="20"/>
        <v>127.75</v>
      </c>
      <c r="O648" s="21">
        <f t="shared" si="21"/>
        <v>38.324999999999996</v>
      </c>
    </row>
    <row r="649" spans="1:15" x14ac:dyDescent="0.3">
      <c r="A649">
        <v>76799</v>
      </c>
      <c r="B649" s="1">
        <v>45604</v>
      </c>
      <c r="C649">
        <v>691</v>
      </c>
      <c r="D649">
        <v>20</v>
      </c>
      <c r="E649" t="s">
        <v>28</v>
      </c>
      <c r="F649" t="s">
        <v>72</v>
      </c>
      <c r="G649">
        <v>3</v>
      </c>
      <c r="H649" s="12">
        <v>137.88999999999999</v>
      </c>
      <c r="I649" t="s">
        <v>26</v>
      </c>
      <c r="J649" t="s">
        <v>566</v>
      </c>
      <c r="K649">
        <v>5</v>
      </c>
      <c r="L649" t="s">
        <v>21</v>
      </c>
      <c r="M649">
        <v>39</v>
      </c>
      <c r="N649" s="21">
        <f t="shared" si="20"/>
        <v>413.66999999999996</v>
      </c>
      <c r="O649" s="21">
        <f t="shared" si="21"/>
        <v>124.10099999999998</v>
      </c>
    </row>
    <row r="650" spans="1:15" x14ac:dyDescent="0.3">
      <c r="A650">
        <v>91430</v>
      </c>
      <c r="B650" s="1">
        <v>45604</v>
      </c>
      <c r="C650">
        <v>417</v>
      </c>
      <c r="D650">
        <v>40</v>
      </c>
      <c r="E650" t="s">
        <v>24</v>
      </c>
      <c r="F650" t="s">
        <v>49</v>
      </c>
      <c r="G650">
        <v>5</v>
      </c>
      <c r="H650" s="12">
        <v>327.93</v>
      </c>
      <c r="I650" t="s">
        <v>15</v>
      </c>
      <c r="J650" t="s">
        <v>689</v>
      </c>
      <c r="L650" t="s">
        <v>17</v>
      </c>
      <c r="M650">
        <v>36</v>
      </c>
      <c r="N650" s="21">
        <f t="shared" si="20"/>
        <v>1639.65</v>
      </c>
      <c r="O650" s="21">
        <f t="shared" si="21"/>
        <v>491.89499999999998</v>
      </c>
    </row>
    <row r="651" spans="1:15" x14ac:dyDescent="0.3">
      <c r="A651">
        <v>27736</v>
      </c>
      <c r="B651" s="1">
        <v>45604</v>
      </c>
      <c r="C651">
        <v>106</v>
      </c>
      <c r="D651">
        <v>20</v>
      </c>
      <c r="E651" t="s">
        <v>28</v>
      </c>
      <c r="F651" t="s">
        <v>29</v>
      </c>
      <c r="G651">
        <v>1</v>
      </c>
      <c r="H651" s="12">
        <v>497.89</v>
      </c>
      <c r="I651" t="s">
        <v>15</v>
      </c>
      <c r="J651" t="s">
        <v>924</v>
      </c>
      <c r="K651">
        <v>5</v>
      </c>
      <c r="L651" t="s">
        <v>17</v>
      </c>
      <c r="M651">
        <v>58</v>
      </c>
      <c r="N651" s="21">
        <f t="shared" si="20"/>
        <v>497.89</v>
      </c>
      <c r="O651" s="21">
        <f t="shared" si="21"/>
        <v>149.36699999999999</v>
      </c>
    </row>
    <row r="652" spans="1:15" x14ac:dyDescent="0.3">
      <c r="A652">
        <v>55131</v>
      </c>
      <c r="B652" s="1">
        <v>45604</v>
      </c>
      <c r="C652">
        <v>866</v>
      </c>
      <c r="D652">
        <v>40</v>
      </c>
      <c r="E652" t="s">
        <v>24</v>
      </c>
      <c r="F652" t="s">
        <v>25</v>
      </c>
      <c r="G652">
        <v>2</v>
      </c>
      <c r="H652" s="12">
        <v>148.31</v>
      </c>
      <c r="I652" t="s">
        <v>26</v>
      </c>
      <c r="J652" t="s">
        <v>994</v>
      </c>
      <c r="K652">
        <v>5</v>
      </c>
      <c r="L652" t="s">
        <v>21</v>
      </c>
      <c r="M652">
        <v>67</v>
      </c>
      <c r="N652" s="21">
        <f t="shared" si="20"/>
        <v>296.62</v>
      </c>
      <c r="O652" s="21">
        <f t="shared" si="21"/>
        <v>88.986000000000004</v>
      </c>
    </row>
    <row r="653" spans="1:15" x14ac:dyDescent="0.3">
      <c r="A653">
        <v>42115</v>
      </c>
      <c r="B653" s="1">
        <v>45605</v>
      </c>
      <c r="C653">
        <v>135</v>
      </c>
      <c r="D653">
        <v>20</v>
      </c>
      <c r="E653" t="s">
        <v>28</v>
      </c>
      <c r="F653" t="s">
        <v>79</v>
      </c>
      <c r="G653">
        <v>4</v>
      </c>
      <c r="H653" s="12">
        <v>39.22</v>
      </c>
      <c r="I653" t="s">
        <v>26</v>
      </c>
      <c r="J653" t="s">
        <v>180</v>
      </c>
      <c r="K653">
        <v>4</v>
      </c>
      <c r="L653" t="s">
        <v>17</v>
      </c>
      <c r="M653">
        <v>55</v>
      </c>
      <c r="N653" s="21">
        <f t="shared" si="20"/>
        <v>156.88</v>
      </c>
      <c r="O653" s="21">
        <f t="shared" si="21"/>
        <v>47.064</v>
      </c>
    </row>
    <row r="654" spans="1:15" x14ac:dyDescent="0.3">
      <c r="A654">
        <v>68792</v>
      </c>
      <c r="B654" s="1">
        <v>45605</v>
      </c>
      <c r="C654">
        <v>209</v>
      </c>
      <c r="D654">
        <v>50</v>
      </c>
      <c r="E654" t="s">
        <v>18</v>
      </c>
      <c r="F654" t="s">
        <v>34</v>
      </c>
      <c r="G654">
        <v>1</v>
      </c>
      <c r="H654" s="12">
        <v>119.39</v>
      </c>
      <c r="I654" t="s">
        <v>35</v>
      </c>
      <c r="J654" t="s">
        <v>598</v>
      </c>
      <c r="K654">
        <v>5</v>
      </c>
      <c r="L654" t="s">
        <v>21</v>
      </c>
      <c r="M654">
        <v>38</v>
      </c>
      <c r="N654" s="21">
        <f t="shared" si="20"/>
        <v>119.39</v>
      </c>
      <c r="O654" s="21">
        <f t="shared" si="21"/>
        <v>35.817</v>
      </c>
    </row>
    <row r="655" spans="1:15" x14ac:dyDescent="0.3">
      <c r="A655">
        <v>88142</v>
      </c>
      <c r="B655" s="1">
        <v>45605</v>
      </c>
      <c r="C655">
        <v>992</v>
      </c>
      <c r="D655">
        <v>10</v>
      </c>
      <c r="E655" t="s">
        <v>13</v>
      </c>
      <c r="F655" t="s">
        <v>111</v>
      </c>
      <c r="G655">
        <v>3</v>
      </c>
      <c r="H655" s="12">
        <v>228.85</v>
      </c>
      <c r="I655" t="s">
        <v>26</v>
      </c>
      <c r="J655" t="s">
        <v>603</v>
      </c>
      <c r="K655">
        <v>1</v>
      </c>
      <c r="L655" t="s">
        <v>17</v>
      </c>
      <c r="M655">
        <v>50</v>
      </c>
      <c r="N655" s="21">
        <f t="shared" si="20"/>
        <v>686.55</v>
      </c>
      <c r="O655" s="21">
        <f t="shared" si="21"/>
        <v>205.96499999999997</v>
      </c>
    </row>
    <row r="656" spans="1:15" x14ac:dyDescent="0.3">
      <c r="A656">
        <v>36278</v>
      </c>
      <c r="B656" s="1">
        <v>45605</v>
      </c>
      <c r="C656">
        <v>246</v>
      </c>
      <c r="D656">
        <v>50</v>
      </c>
      <c r="E656" t="s">
        <v>18</v>
      </c>
      <c r="F656" t="s">
        <v>84</v>
      </c>
      <c r="G656">
        <v>2</v>
      </c>
      <c r="H656" s="12">
        <v>65.13</v>
      </c>
      <c r="I656" t="s">
        <v>15</v>
      </c>
      <c r="J656" t="s">
        <v>627</v>
      </c>
      <c r="L656" t="s">
        <v>17</v>
      </c>
      <c r="M656">
        <v>75</v>
      </c>
      <c r="N656" s="21">
        <f t="shared" si="20"/>
        <v>130.26</v>
      </c>
      <c r="O656" s="21">
        <f t="shared" si="21"/>
        <v>39.077999999999996</v>
      </c>
    </row>
    <row r="657" spans="1:15" x14ac:dyDescent="0.3">
      <c r="A657">
        <v>89064</v>
      </c>
      <c r="B657" s="1">
        <v>45606</v>
      </c>
      <c r="C657">
        <v>533</v>
      </c>
      <c r="D657">
        <v>50</v>
      </c>
      <c r="E657" t="s">
        <v>18</v>
      </c>
      <c r="F657" t="s">
        <v>34</v>
      </c>
      <c r="G657">
        <v>3</v>
      </c>
      <c r="H657" s="12">
        <v>28.75</v>
      </c>
      <c r="I657" t="s">
        <v>35</v>
      </c>
      <c r="J657" t="s">
        <v>114</v>
      </c>
      <c r="K657">
        <v>4</v>
      </c>
      <c r="L657" t="s">
        <v>17</v>
      </c>
      <c r="M657">
        <v>74</v>
      </c>
      <c r="N657" s="21">
        <f t="shared" si="20"/>
        <v>86.25</v>
      </c>
      <c r="O657" s="21">
        <f t="shared" si="21"/>
        <v>25.875</v>
      </c>
    </row>
    <row r="658" spans="1:15" x14ac:dyDescent="0.3">
      <c r="A658">
        <v>38245</v>
      </c>
      <c r="B658" s="1">
        <v>45607</v>
      </c>
      <c r="C658">
        <v>615</v>
      </c>
      <c r="D658">
        <v>50</v>
      </c>
      <c r="E658" t="s">
        <v>18</v>
      </c>
      <c r="F658" t="s">
        <v>19</v>
      </c>
      <c r="G658">
        <v>4</v>
      </c>
      <c r="H658" s="12">
        <v>340.85</v>
      </c>
      <c r="I658" t="s">
        <v>15</v>
      </c>
      <c r="J658" t="s">
        <v>89</v>
      </c>
      <c r="K658">
        <v>4</v>
      </c>
      <c r="M658">
        <v>36</v>
      </c>
      <c r="N658" s="21">
        <f t="shared" si="20"/>
        <v>1363.4</v>
      </c>
      <c r="O658" s="21">
        <f t="shared" si="21"/>
        <v>409.02000000000004</v>
      </c>
    </row>
    <row r="659" spans="1:15" x14ac:dyDescent="0.3">
      <c r="A659">
        <v>32978</v>
      </c>
      <c r="B659" s="1">
        <v>45607</v>
      </c>
      <c r="C659">
        <v>667</v>
      </c>
      <c r="D659">
        <v>30</v>
      </c>
      <c r="E659" t="s">
        <v>37</v>
      </c>
      <c r="F659" t="s">
        <v>68</v>
      </c>
      <c r="G659">
        <v>4</v>
      </c>
      <c r="H659" s="12">
        <v>478.17</v>
      </c>
      <c r="I659" t="s">
        <v>35</v>
      </c>
      <c r="J659" t="s">
        <v>698</v>
      </c>
      <c r="K659">
        <v>4</v>
      </c>
      <c r="L659" t="s">
        <v>17</v>
      </c>
      <c r="M659">
        <v>25</v>
      </c>
      <c r="N659" s="21">
        <f t="shared" si="20"/>
        <v>1912.68</v>
      </c>
      <c r="O659" s="21">
        <f t="shared" si="21"/>
        <v>573.80399999999997</v>
      </c>
    </row>
    <row r="660" spans="1:15" x14ac:dyDescent="0.3">
      <c r="A660">
        <v>52435</v>
      </c>
      <c r="B660" s="1">
        <v>45607</v>
      </c>
      <c r="C660">
        <v>529</v>
      </c>
      <c r="D660">
        <v>10</v>
      </c>
      <c r="E660" t="s">
        <v>13</v>
      </c>
      <c r="F660" t="s">
        <v>14</v>
      </c>
      <c r="G660">
        <v>5</v>
      </c>
      <c r="H660" s="12">
        <v>340.31</v>
      </c>
      <c r="I660" t="s">
        <v>26</v>
      </c>
      <c r="J660" t="s">
        <v>815</v>
      </c>
      <c r="K660">
        <v>4</v>
      </c>
      <c r="L660" t="s">
        <v>21</v>
      </c>
      <c r="M660">
        <v>18</v>
      </c>
      <c r="N660" s="21">
        <f t="shared" si="20"/>
        <v>1701.55</v>
      </c>
      <c r="O660" s="21">
        <f t="shared" si="21"/>
        <v>510.46499999999997</v>
      </c>
    </row>
    <row r="661" spans="1:15" x14ac:dyDescent="0.3">
      <c r="A661">
        <v>47231</v>
      </c>
      <c r="B661" s="1">
        <v>45608</v>
      </c>
      <c r="C661">
        <v>802</v>
      </c>
      <c r="D661">
        <v>50</v>
      </c>
      <c r="E661" t="s">
        <v>18</v>
      </c>
      <c r="F661" t="s">
        <v>22</v>
      </c>
      <c r="G661">
        <v>2</v>
      </c>
      <c r="H661" s="12">
        <v>128.55000000000001</v>
      </c>
      <c r="I661" t="s">
        <v>15</v>
      </c>
      <c r="J661" t="s">
        <v>313</v>
      </c>
      <c r="K661">
        <v>2</v>
      </c>
      <c r="L661" t="s">
        <v>21</v>
      </c>
      <c r="M661">
        <v>23</v>
      </c>
      <c r="N661" s="21">
        <f t="shared" si="20"/>
        <v>257.10000000000002</v>
      </c>
      <c r="O661" s="21">
        <f t="shared" si="21"/>
        <v>77.13000000000001</v>
      </c>
    </row>
    <row r="662" spans="1:15" x14ac:dyDescent="0.3">
      <c r="A662">
        <v>88802</v>
      </c>
      <c r="B662" s="1">
        <v>45608</v>
      </c>
      <c r="C662">
        <v>452</v>
      </c>
      <c r="D662">
        <v>20</v>
      </c>
      <c r="E662" t="s">
        <v>28</v>
      </c>
      <c r="F662" t="s">
        <v>77</v>
      </c>
      <c r="G662">
        <v>2</v>
      </c>
      <c r="H662" s="12">
        <v>398.91</v>
      </c>
      <c r="I662" t="s">
        <v>35</v>
      </c>
      <c r="J662" t="s">
        <v>339</v>
      </c>
      <c r="K662">
        <v>1</v>
      </c>
      <c r="M662">
        <v>56</v>
      </c>
      <c r="N662" s="21">
        <f t="shared" si="20"/>
        <v>797.82</v>
      </c>
      <c r="O662" s="21">
        <f t="shared" si="21"/>
        <v>239.346</v>
      </c>
    </row>
    <row r="663" spans="1:15" x14ac:dyDescent="0.3">
      <c r="A663">
        <v>29111</v>
      </c>
      <c r="B663" s="1">
        <v>45608</v>
      </c>
      <c r="C663">
        <v>355</v>
      </c>
      <c r="D663">
        <v>30</v>
      </c>
      <c r="E663" t="s">
        <v>37</v>
      </c>
      <c r="F663" t="s">
        <v>58</v>
      </c>
      <c r="G663">
        <v>3</v>
      </c>
      <c r="H663" s="12">
        <v>265.77</v>
      </c>
      <c r="I663" t="s">
        <v>35</v>
      </c>
      <c r="J663" t="s">
        <v>706</v>
      </c>
      <c r="L663" t="s">
        <v>17</v>
      </c>
      <c r="M663">
        <v>18</v>
      </c>
      <c r="N663" s="21">
        <f t="shared" si="20"/>
        <v>797.31</v>
      </c>
      <c r="O663" s="21">
        <f t="shared" si="21"/>
        <v>239.19299999999998</v>
      </c>
    </row>
    <row r="664" spans="1:15" x14ac:dyDescent="0.3">
      <c r="A664">
        <v>53843</v>
      </c>
      <c r="B664" s="1">
        <v>45608</v>
      </c>
      <c r="C664">
        <v>256</v>
      </c>
      <c r="D664">
        <v>30</v>
      </c>
      <c r="E664" t="s">
        <v>37</v>
      </c>
      <c r="F664" t="s">
        <v>95</v>
      </c>
      <c r="G664">
        <v>5</v>
      </c>
      <c r="H664" s="12">
        <v>410.55</v>
      </c>
      <c r="I664" t="s">
        <v>35</v>
      </c>
      <c r="J664" t="s">
        <v>989</v>
      </c>
      <c r="K664">
        <v>5</v>
      </c>
      <c r="L664" t="s">
        <v>17</v>
      </c>
      <c r="M664">
        <v>38</v>
      </c>
      <c r="N664" s="21">
        <f t="shared" si="20"/>
        <v>2052.75</v>
      </c>
      <c r="O664" s="21">
        <f t="shared" si="21"/>
        <v>615.82499999999993</v>
      </c>
    </row>
    <row r="665" spans="1:15" x14ac:dyDescent="0.3">
      <c r="A665">
        <v>55003</v>
      </c>
      <c r="B665" s="1">
        <v>45609</v>
      </c>
      <c r="C665">
        <v>910</v>
      </c>
      <c r="D665">
        <v>10</v>
      </c>
      <c r="E665" t="s">
        <v>13</v>
      </c>
      <c r="F665" t="s">
        <v>14</v>
      </c>
      <c r="G665">
        <v>4</v>
      </c>
      <c r="H665" s="12">
        <v>159.13999999999999</v>
      </c>
      <c r="I665" t="s">
        <v>26</v>
      </c>
      <c r="J665" t="s">
        <v>230</v>
      </c>
      <c r="L665" t="s">
        <v>21</v>
      </c>
      <c r="M665">
        <v>74</v>
      </c>
      <c r="N665" s="21">
        <f t="shared" si="20"/>
        <v>636.55999999999995</v>
      </c>
      <c r="O665" s="21">
        <f t="shared" si="21"/>
        <v>190.96799999999999</v>
      </c>
    </row>
    <row r="666" spans="1:15" x14ac:dyDescent="0.3">
      <c r="A666">
        <v>33851</v>
      </c>
      <c r="B666" s="1">
        <v>45609</v>
      </c>
      <c r="C666">
        <v>713</v>
      </c>
      <c r="D666">
        <v>40</v>
      </c>
      <c r="E666" t="s">
        <v>24</v>
      </c>
      <c r="F666" t="s">
        <v>65</v>
      </c>
      <c r="G666">
        <v>5</v>
      </c>
      <c r="H666" s="12">
        <v>83.92</v>
      </c>
      <c r="I666" t="s">
        <v>15</v>
      </c>
      <c r="J666" t="s">
        <v>285</v>
      </c>
      <c r="K666">
        <v>4</v>
      </c>
      <c r="L666" t="s">
        <v>17</v>
      </c>
      <c r="M666">
        <v>48</v>
      </c>
      <c r="N666" s="21">
        <f t="shared" si="20"/>
        <v>419.6</v>
      </c>
      <c r="O666" s="21">
        <f t="shared" si="21"/>
        <v>125.88</v>
      </c>
    </row>
    <row r="667" spans="1:15" x14ac:dyDescent="0.3">
      <c r="A667">
        <v>42128</v>
      </c>
      <c r="B667" s="1">
        <v>45609</v>
      </c>
      <c r="C667">
        <v>563</v>
      </c>
      <c r="D667">
        <v>30</v>
      </c>
      <c r="E667" t="s">
        <v>37</v>
      </c>
      <c r="F667" t="s">
        <v>38</v>
      </c>
      <c r="G667">
        <v>2</v>
      </c>
      <c r="H667" s="12">
        <v>292.89999999999998</v>
      </c>
      <c r="I667" t="s">
        <v>35</v>
      </c>
      <c r="J667" t="s">
        <v>496</v>
      </c>
      <c r="L667" t="s">
        <v>21</v>
      </c>
      <c r="M667">
        <v>46</v>
      </c>
      <c r="N667" s="21">
        <f t="shared" si="20"/>
        <v>585.79999999999995</v>
      </c>
      <c r="O667" s="21">
        <f t="shared" si="21"/>
        <v>175.73999999999998</v>
      </c>
    </row>
    <row r="668" spans="1:15" x14ac:dyDescent="0.3">
      <c r="A668">
        <v>43023</v>
      </c>
      <c r="B668" s="1">
        <v>45609</v>
      </c>
      <c r="C668">
        <v>241</v>
      </c>
      <c r="D668">
        <v>30</v>
      </c>
      <c r="E668" t="s">
        <v>37</v>
      </c>
      <c r="F668" t="s">
        <v>95</v>
      </c>
      <c r="G668">
        <v>5</v>
      </c>
      <c r="H668" s="12">
        <v>395.64</v>
      </c>
      <c r="I668" t="s">
        <v>35</v>
      </c>
      <c r="J668" t="s">
        <v>604</v>
      </c>
      <c r="L668" t="s">
        <v>21</v>
      </c>
      <c r="M668">
        <v>44</v>
      </c>
      <c r="N668" s="21">
        <f t="shared" si="20"/>
        <v>1978.1999999999998</v>
      </c>
      <c r="O668" s="21">
        <f t="shared" si="21"/>
        <v>593.45999999999992</v>
      </c>
    </row>
    <row r="669" spans="1:15" x14ac:dyDescent="0.3">
      <c r="A669">
        <v>69632</v>
      </c>
      <c r="B669" s="1">
        <v>45609</v>
      </c>
      <c r="C669">
        <v>451</v>
      </c>
      <c r="D669">
        <v>30</v>
      </c>
      <c r="E669" t="s">
        <v>37</v>
      </c>
      <c r="F669" t="s">
        <v>95</v>
      </c>
      <c r="G669">
        <v>3</v>
      </c>
      <c r="H669" s="12">
        <v>87.72</v>
      </c>
      <c r="I669" t="s">
        <v>35</v>
      </c>
      <c r="J669" t="s">
        <v>859</v>
      </c>
      <c r="M669">
        <v>36</v>
      </c>
      <c r="N669" s="21">
        <f t="shared" si="20"/>
        <v>263.15999999999997</v>
      </c>
      <c r="O669" s="21">
        <f t="shared" si="21"/>
        <v>78.947999999999993</v>
      </c>
    </row>
    <row r="670" spans="1:15" x14ac:dyDescent="0.3">
      <c r="A670">
        <v>67667</v>
      </c>
      <c r="B670" s="1">
        <v>45610</v>
      </c>
      <c r="C670">
        <v>854</v>
      </c>
      <c r="D670">
        <v>40</v>
      </c>
      <c r="E670" t="s">
        <v>24</v>
      </c>
      <c r="F670" t="s">
        <v>63</v>
      </c>
      <c r="G670">
        <v>3</v>
      </c>
      <c r="H670" s="12">
        <v>366.14</v>
      </c>
      <c r="I670" t="s">
        <v>26</v>
      </c>
      <c r="J670" t="s">
        <v>328</v>
      </c>
      <c r="K670">
        <v>5</v>
      </c>
      <c r="L670" t="s">
        <v>21</v>
      </c>
      <c r="M670">
        <v>37</v>
      </c>
      <c r="N670" s="21">
        <f t="shared" si="20"/>
        <v>1098.42</v>
      </c>
      <c r="O670" s="21">
        <f t="shared" si="21"/>
        <v>329.52600000000001</v>
      </c>
    </row>
    <row r="671" spans="1:15" x14ac:dyDescent="0.3">
      <c r="A671">
        <v>94912</v>
      </c>
      <c r="B671" s="1">
        <v>45610</v>
      </c>
      <c r="C671">
        <v>795</v>
      </c>
      <c r="D671">
        <v>20</v>
      </c>
      <c r="E671" t="s">
        <v>28</v>
      </c>
      <c r="F671" t="s">
        <v>79</v>
      </c>
      <c r="G671">
        <v>4</v>
      </c>
      <c r="H671" s="12">
        <v>463.07</v>
      </c>
      <c r="I671" t="s">
        <v>15</v>
      </c>
      <c r="J671" t="s">
        <v>545</v>
      </c>
      <c r="K671">
        <v>4</v>
      </c>
      <c r="L671" t="s">
        <v>17</v>
      </c>
      <c r="M671">
        <v>70</v>
      </c>
      <c r="N671" s="21">
        <f t="shared" si="20"/>
        <v>1852.28</v>
      </c>
      <c r="O671" s="21">
        <f t="shared" si="21"/>
        <v>555.68399999999997</v>
      </c>
    </row>
    <row r="672" spans="1:15" x14ac:dyDescent="0.3">
      <c r="A672">
        <v>88975</v>
      </c>
      <c r="B672" s="1">
        <v>45610</v>
      </c>
      <c r="C672">
        <v>577</v>
      </c>
      <c r="D672">
        <v>50</v>
      </c>
      <c r="E672" t="s">
        <v>18</v>
      </c>
      <c r="F672" t="s">
        <v>34</v>
      </c>
      <c r="G672">
        <v>3</v>
      </c>
      <c r="H672" s="12">
        <v>149.49</v>
      </c>
      <c r="I672" t="s">
        <v>35</v>
      </c>
      <c r="J672" t="s">
        <v>848</v>
      </c>
      <c r="K672">
        <v>4</v>
      </c>
      <c r="L672" t="s">
        <v>21</v>
      </c>
      <c r="M672">
        <v>59</v>
      </c>
      <c r="N672" s="21">
        <f t="shared" si="20"/>
        <v>448.47</v>
      </c>
      <c r="O672" s="21">
        <f t="shared" si="21"/>
        <v>134.541</v>
      </c>
    </row>
    <row r="673" spans="1:15" x14ac:dyDescent="0.3">
      <c r="A673">
        <v>63665</v>
      </c>
      <c r="B673" s="1">
        <v>45610</v>
      </c>
      <c r="C673">
        <v>747</v>
      </c>
      <c r="D673">
        <v>30</v>
      </c>
      <c r="E673" t="s">
        <v>37</v>
      </c>
      <c r="F673" t="s">
        <v>68</v>
      </c>
      <c r="G673">
        <v>1</v>
      </c>
      <c r="H673" s="12">
        <v>168.47</v>
      </c>
      <c r="I673" t="s">
        <v>35</v>
      </c>
      <c r="J673" t="s">
        <v>903</v>
      </c>
      <c r="L673" t="s">
        <v>17</v>
      </c>
      <c r="M673">
        <v>41</v>
      </c>
      <c r="N673" s="21">
        <f t="shared" si="20"/>
        <v>168.47</v>
      </c>
      <c r="O673" s="21">
        <f t="shared" si="21"/>
        <v>50.540999999999997</v>
      </c>
    </row>
    <row r="674" spans="1:15" x14ac:dyDescent="0.3">
      <c r="A674">
        <v>64684</v>
      </c>
      <c r="B674" s="1">
        <v>45612</v>
      </c>
      <c r="C674">
        <v>166</v>
      </c>
      <c r="D674">
        <v>20</v>
      </c>
      <c r="E674" t="s">
        <v>28</v>
      </c>
      <c r="F674" t="s">
        <v>77</v>
      </c>
      <c r="G674">
        <v>1</v>
      </c>
      <c r="H674" s="12">
        <v>197.69</v>
      </c>
      <c r="I674" t="s">
        <v>15</v>
      </c>
      <c r="J674" t="s">
        <v>134</v>
      </c>
      <c r="K674">
        <v>5</v>
      </c>
      <c r="L674" t="s">
        <v>21</v>
      </c>
      <c r="M674">
        <v>53</v>
      </c>
      <c r="N674" s="21">
        <f t="shared" si="20"/>
        <v>197.69</v>
      </c>
      <c r="O674" s="21">
        <f t="shared" si="21"/>
        <v>59.306999999999995</v>
      </c>
    </row>
    <row r="675" spans="1:15" x14ac:dyDescent="0.3">
      <c r="A675">
        <v>81133</v>
      </c>
      <c r="B675" s="1">
        <v>45612</v>
      </c>
      <c r="C675">
        <v>682</v>
      </c>
      <c r="D675">
        <v>40</v>
      </c>
      <c r="E675" t="s">
        <v>24</v>
      </c>
      <c r="F675" t="s">
        <v>63</v>
      </c>
      <c r="G675">
        <v>1</v>
      </c>
      <c r="H675" s="12">
        <v>240.56</v>
      </c>
      <c r="I675" t="s">
        <v>35</v>
      </c>
      <c r="J675" t="s">
        <v>658</v>
      </c>
      <c r="K675">
        <v>4</v>
      </c>
      <c r="M675">
        <v>33</v>
      </c>
      <c r="N675" s="21">
        <f t="shared" si="20"/>
        <v>240.56</v>
      </c>
      <c r="O675" s="21">
        <f t="shared" si="21"/>
        <v>72.167999999999992</v>
      </c>
    </row>
    <row r="676" spans="1:15" x14ac:dyDescent="0.3">
      <c r="A676">
        <v>55304</v>
      </c>
      <c r="B676" s="1">
        <v>45612</v>
      </c>
      <c r="C676">
        <v>417</v>
      </c>
      <c r="D676">
        <v>10</v>
      </c>
      <c r="E676" t="s">
        <v>13</v>
      </c>
      <c r="F676" t="s">
        <v>32</v>
      </c>
      <c r="G676">
        <v>1</v>
      </c>
      <c r="H676" s="12">
        <v>36.520000000000003</v>
      </c>
      <c r="I676" t="s">
        <v>35</v>
      </c>
      <c r="J676" t="s">
        <v>896</v>
      </c>
      <c r="L676" t="s">
        <v>17</v>
      </c>
      <c r="M676">
        <v>34</v>
      </c>
      <c r="N676" s="21">
        <f t="shared" si="20"/>
        <v>36.520000000000003</v>
      </c>
      <c r="O676" s="21">
        <f t="shared" si="21"/>
        <v>10.956000000000001</v>
      </c>
    </row>
    <row r="677" spans="1:15" x14ac:dyDescent="0.3">
      <c r="A677">
        <v>81439</v>
      </c>
      <c r="B677" s="1">
        <v>45613</v>
      </c>
      <c r="C677">
        <v>792</v>
      </c>
      <c r="D677">
        <v>40</v>
      </c>
      <c r="E677" t="s">
        <v>24</v>
      </c>
      <c r="F677" t="s">
        <v>63</v>
      </c>
      <c r="G677">
        <v>2</v>
      </c>
      <c r="H677" s="12">
        <v>320.48</v>
      </c>
      <c r="I677" t="s">
        <v>15</v>
      </c>
      <c r="J677" t="s">
        <v>519</v>
      </c>
      <c r="K677">
        <v>4</v>
      </c>
      <c r="L677" t="s">
        <v>17</v>
      </c>
      <c r="M677">
        <v>21</v>
      </c>
      <c r="N677" s="21">
        <f t="shared" si="20"/>
        <v>640.96</v>
      </c>
      <c r="O677" s="21">
        <f t="shared" si="21"/>
        <v>192.28800000000001</v>
      </c>
    </row>
    <row r="678" spans="1:15" x14ac:dyDescent="0.3">
      <c r="A678">
        <v>32522</v>
      </c>
      <c r="B678" s="1">
        <v>45613</v>
      </c>
      <c r="C678">
        <v>638</v>
      </c>
      <c r="D678">
        <v>50</v>
      </c>
      <c r="E678" t="s">
        <v>18</v>
      </c>
      <c r="F678" t="s">
        <v>19</v>
      </c>
      <c r="G678">
        <v>4</v>
      </c>
      <c r="H678" s="12">
        <v>422.48</v>
      </c>
      <c r="I678" t="s">
        <v>15</v>
      </c>
      <c r="J678" t="s">
        <v>375</v>
      </c>
      <c r="K678">
        <v>5</v>
      </c>
      <c r="L678" t="s">
        <v>21</v>
      </c>
      <c r="M678">
        <v>42</v>
      </c>
      <c r="N678" s="21">
        <f t="shared" si="20"/>
        <v>1689.92</v>
      </c>
      <c r="O678" s="21">
        <f t="shared" si="21"/>
        <v>506.976</v>
      </c>
    </row>
    <row r="679" spans="1:15" x14ac:dyDescent="0.3">
      <c r="A679">
        <v>76411</v>
      </c>
      <c r="B679" s="1">
        <v>45614</v>
      </c>
      <c r="C679">
        <v>576</v>
      </c>
      <c r="D679">
        <v>40</v>
      </c>
      <c r="E679" t="s">
        <v>24</v>
      </c>
      <c r="F679" t="s">
        <v>25</v>
      </c>
      <c r="G679">
        <v>4</v>
      </c>
      <c r="H679" s="12">
        <v>443.43</v>
      </c>
      <c r="I679" t="s">
        <v>26</v>
      </c>
      <c r="J679" t="s">
        <v>605</v>
      </c>
      <c r="K679">
        <v>5</v>
      </c>
      <c r="L679" t="s">
        <v>21</v>
      </c>
      <c r="M679">
        <v>57</v>
      </c>
      <c r="N679" s="21">
        <f t="shared" si="20"/>
        <v>1773.72</v>
      </c>
      <c r="O679" s="21">
        <f t="shared" si="21"/>
        <v>532.11599999999999</v>
      </c>
    </row>
    <row r="680" spans="1:15" x14ac:dyDescent="0.3">
      <c r="A680">
        <v>65398</v>
      </c>
      <c r="B680" s="1">
        <v>45614</v>
      </c>
      <c r="C680">
        <v>505</v>
      </c>
      <c r="D680">
        <v>50</v>
      </c>
      <c r="E680" t="s">
        <v>18</v>
      </c>
      <c r="F680" t="s">
        <v>19</v>
      </c>
      <c r="G680">
        <v>4</v>
      </c>
      <c r="H680" s="12">
        <v>222.1</v>
      </c>
      <c r="I680" t="s">
        <v>35</v>
      </c>
      <c r="J680" t="s">
        <v>695</v>
      </c>
      <c r="K680">
        <v>1</v>
      </c>
      <c r="L680" t="s">
        <v>21</v>
      </c>
      <c r="M680">
        <v>33</v>
      </c>
      <c r="N680" s="21">
        <f t="shared" si="20"/>
        <v>888.4</v>
      </c>
      <c r="O680" s="21">
        <f t="shared" si="21"/>
        <v>266.52</v>
      </c>
    </row>
    <row r="681" spans="1:15" x14ac:dyDescent="0.3">
      <c r="A681">
        <v>82746</v>
      </c>
      <c r="B681" s="1">
        <v>45614</v>
      </c>
      <c r="C681">
        <v>101</v>
      </c>
      <c r="D681">
        <v>50</v>
      </c>
      <c r="E681" t="s">
        <v>18</v>
      </c>
      <c r="F681" t="s">
        <v>19</v>
      </c>
      <c r="G681">
        <v>3</v>
      </c>
      <c r="H681" s="12">
        <v>263.16000000000003</v>
      </c>
      <c r="I681" t="s">
        <v>26</v>
      </c>
      <c r="J681" t="s">
        <v>765</v>
      </c>
      <c r="K681">
        <v>5</v>
      </c>
      <c r="L681" t="s">
        <v>21</v>
      </c>
      <c r="M681">
        <v>35</v>
      </c>
      <c r="N681" s="21">
        <f t="shared" si="20"/>
        <v>789.48</v>
      </c>
      <c r="O681" s="21">
        <f t="shared" si="21"/>
        <v>236.84399999999999</v>
      </c>
    </row>
    <row r="682" spans="1:15" x14ac:dyDescent="0.3">
      <c r="A682">
        <v>53070</v>
      </c>
      <c r="B682" s="1">
        <v>45615</v>
      </c>
      <c r="C682">
        <v>503</v>
      </c>
      <c r="D682">
        <v>50</v>
      </c>
      <c r="E682" t="s">
        <v>18</v>
      </c>
      <c r="F682" t="s">
        <v>84</v>
      </c>
      <c r="G682">
        <v>5</v>
      </c>
      <c r="H682" s="12">
        <v>66.959999999999994</v>
      </c>
      <c r="I682" t="s">
        <v>15</v>
      </c>
      <c r="J682" t="s">
        <v>409</v>
      </c>
      <c r="K682">
        <v>5</v>
      </c>
      <c r="L682" t="s">
        <v>17</v>
      </c>
      <c r="M682">
        <v>68</v>
      </c>
      <c r="N682" s="21">
        <f t="shared" si="20"/>
        <v>334.79999999999995</v>
      </c>
      <c r="O682" s="21">
        <f t="shared" si="21"/>
        <v>100.43999999999998</v>
      </c>
    </row>
    <row r="683" spans="1:15" x14ac:dyDescent="0.3">
      <c r="A683">
        <v>35155</v>
      </c>
      <c r="B683" s="1">
        <v>45615</v>
      </c>
      <c r="C683">
        <v>956</v>
      </c>
      <c r="D683">
        <v>10</v>
      </c>
      <c r="E683" t="s">
        <v>13</v>
      </c>
      <c r="F683" t="s">
        <v>32</v>
      </c>
      <c r="G683">
        <v>2</v>
      </c>
      <c r="H683" s="12">
        <v>496.93</v>
      </c>
      <c r="I683" t="s">
        <v>15</v>
      </c>
      <c r="J683" t="s">
        <v>954</v>
      </c>
      <c r="K683">
        <v>5</v>
      </c>
      <c r="L683" t="s">
        <v>17</v>
      </c>
      <c r="M683">
        <v>20</v>
      </c>
      <c r="N683" s="21">
        <f t="shared" si="20"/>
        <v>993.86</v>
      </c>
      <c r="O683" s="21">
        <f t="shared" si="21"/>
        <v>298.15800000000002</v>
      </c>
    </row>
    <row r="684" spans="1:15" x14ac:dyDescent="0.3">
      <c r="A684">
        <v>84991</v>
      </c>
      <c r="B684" s="1">
        <v>45616</v>
      </c>
      <c r="C684">
        <v>434</v>
      </c>
      <c r="D684">
        <v>50</v>
      </c>
      <c r="E684" t="s">
        <v>18</v>
      </c>
      <c r="F684" t="s">
        <v>34</v>
      </c>
      <c r="G684">
        <v>1</v>
      </c>
      <c r="H684" s="12">
        <v>198.08</v>
      </c>
      <c r="I684" t="s">
        <v>35</v>
      </c>
      <c r="J684" t="s">
        <v>459</v>
      </c>
      <c r="M684">
        <v>33</v>
      </c>
      <c r="N684" s="21">
        <f t="shared" si="20"/>
        <v>198.08</v>
      </c>
      <c r="O684" s="21">
        <f t="shared" si="21"/>
        <v>59.423999999999999</v>
      </c>
    </row>
    <row r="685" spans="1:15" x14ac:dyDescent="0.3">
      <c r="A685">
        <v>11164</v>
      </c>
      <c r="B685" s="1">
        <v>45616</v>
      </c>
      <c r="C685">
        <v>154</v>
      </c>
      <c r="D685">
        <v>10</v>
      </c>
      <c r="E685" t="s">
        <v>13</v>
      </c>
      <c r="F685" t="s">
        <v>14</v>
      </c>
      <c r="G685">
        <v>5</v>
      </c>
      <c r="H685" s="12">
        <v>129.83000000000001</v>
      </c>
      <c r="I685" t="s">
        <v>26</v>
      </c>
      <c r="J685" t="s">
        <v>552</v>
      </c>
      <c r="K685">
        <v>3</v>
      </c>
      <c r="M685">
        <v>44</v>
      </c>
      <c r="N685" s="21">
        <f t="shared" si="20"/>
        <v>649.15000000000009</v>
      </c>
      <c r="O685" s="21">
        <f t="shared" si="21"/>
        <v>194.74500000000003</v>
      </c>
    </row>
    <row r="686" spans="1:15" x14ac:dyDescent="0.3">
      <c r="A686">
        <v>12167</v>
      </c>
      <c r="B686" s="1">
        <v>45616</v>
      </c>
      <c r="C686">
        <v>500</v>
      </c>
      <c r="D686">
        <v>30</v>
      </c>
      <c r="E686" t="s">
        <v>37</v>
      </c>
      <c r="F686" t="s">
        <v>68</v>
      </c>
      <c r="G686">
        <v>1</v>
      </c>
      <c r="H686" s="12">
        <v>187.51</v>
      </c>
      <c r="I686" t="s">
        <v>15</v>
      </c>
      <c r="J686" t="s">
        <v>786</v>
      </c>
      <c r="K686">
        <v>4</v>
      </c>
      <c r="L686" t="s">
        <v>17</v>
      </c>
      <c r="M686">
        <v>46</v>
      </c>
      <c r="N686" s="21">
        <f t="shared" si="20"/>
        <v>187.51</v>
      </c>
      <c r="O686" s="21">
        <f t="shared" si="21"/>
        <v>56.252999999999993</v>
      </c>
    </row>
    <row r="687" spans="1:15" x14ac:dyDescent="0.3">
      <c r="A687">
        <v>53191</v>
      </c>
      <c r="B687" s="1">
        <v>45617</v>
      </c>
      <c r="C687">
        <v>852</v>
      </c>
      <c r="D687">
        <v>30</v>
      </c>
      <c r="E687" t="s">
        <v>37</v>
      </c>
      <c r="F687" t="s">
        <v>38</v>
      </c>
      <c r="G687">
        <v>4</v>
      </c>
      <c r="H687" s="12">
        <v>204.56</v>
      </c>
      <c r="I687" t="s">
        <v>35</v>
      </c>
      <c r="J687" t="s">
        <v>270</v>
      </c>
      <c r="L687" t="s">
        <v>21</v>
      </c>
      <c r="M687">
        <v>30</v>
      </c>
      <c r="N687" s="21">
        <f t="shared" si="20"/>
        <v>818.24</v>
      </c>
      <c r="O687" s="21">
        <f t="shared" si="21"/>
        <v>245.47199999999998</v>
      </c>
    </row>
    <row r="688" spans="1:15" x14ac:dyDescent="0.3">
      <c r="A688">
        <v>25897</v>
      </c>
      <c r="B688" s="1">
        <v>45618</v>
      </c>
      <c r="C688">
        <v>247</v>
      </c>
      <c r="D688">
        <v>30</v>
      </c>
      <c r="E688" t="s">
        <v>37</v>
      </c>
      <c r="F688" t="s">
        <v>68</v>
      </c>
      <c r="G688">
        <v>5</v>
      </c>
      <c r="H688" s="12">
        <v>65.87</v>
      </c>
      <c r="I688" t="s">
        <v>35</v>
      </c>
      <c r="J688" t="s">
        <v>705</v>
      </c>
      <c r="K688">
        <v>1</v>
      </c>
      <c r="L688" t="s">
        <v>21</v>
      </c>
      <c r="M688">
        <v>29</v>
      </c>
      <c r="N688" s="21">
        <f t="shared" si="20"/>
        <v>329.35</v>
      </c>
      <c r="O688" s="21">
        <f t="shared" si="21"/>
        <v>98.805000000000007</v>
      </c>
    </row>
    <row r="689" spans="1:15" x14ac:dyDescent="0.3">
      <c r="A689">
        <v>79715</v>
      </c>
      <c r="B689" s="1">
        <v>45618</v>
      </c>
      <c r="C689">
        <v>977</v>
      </c>
      <c r="D689">
        <v>10</v>
      </c>
      <c r="E689" t="s">
        <v>13</v>
      </c>
      <c r="F689" t="s">
        <v>111</v>
      </c>
      <c r="G689">
        <v>5</v>
      </c>
      <c r="H689" s="12">
        <v>196.87</v>
      </c>
      <c r="I689" t="s">
        <v>15</v>
      </c>
      <c r="J689" t="s">
        <v>733</v>
      </c>
      <c r="K689">
        <v>3</v>
      </c>
      <c r="L689" t="s">
        <v>17</v>
      </c>
      <c r="M689">
        <v>38</v>
      </c>
      <c r="N689" s="21">
        <f t="shared" si="20"/>
        <v>984.35</v>
      </c>
      <c r="O689" s="21">
        <f t="shared" si="21"/>
        <v>295.30500000000001</v>
      </c>
    </row>
    <row r="690" spans="1:15" x14ac:dyDescent="0.3">
      <c r="A690">
        <v>29275</v>
      </c>
      <c r="B690" s="1">
        <v>45619</v>
      </c>
      <c r="C690">
        <v>180</v>
      </c>
      <c r="D690">
        <v>40</v>
      </c>
      <c r="E690" t="s">
        <v>24</v>
      </c>
      <c r="F690" t="s">
        <v>65</v>
      </c>
      <c r="G690">
        <v>4</v>
      </c>
      <c r="H690" s="12">
        <v>234.04</v>
      </c>
      <c r="I690" t="s">
        <v>15</v>
      </c>
      <c r="J690" t="s">
        <v>360</v>
      </c>
      <c r="K690">
        <v>1</v>
      </c>
      <c r="L690" t="s">
        <v>21</v>
      </c>
      <c r="M690">
        <v>68</v>
      </c>
      <c r="N690" s="21">
        <f t="shared" si="20"/>
        <v>936.16</v>
      </c>
      <c r="O690" s="21">
        <f t="shared" si="21"/>
        <v>280.84799999999996</v>
      </c>
    </row>
    <row r="691" spans="1:15" x14ac:dyDescent="0.3">
      <c r="A691">
        <v>35793</v>
      </c>
      <c r="B691" s="1">
        <v>45619</v>
      </c>
      <c r="C691">
        <v>427</v>
      </c>
      <c r="D691">
        <v>10</v>
      </c>
      <c r="E691" t="s">
        <v>13</v>
      </c>
      <c r="F691" t="s">
        <v>32</v>
      </c>
      <c r="G691">
        <v>2</v>
      </c>
      <c r="H691" s="12">
        <v>227.71</v>
      </c>
      <c r="I691" t="s">
        <v>15</v>
      </c>
      <c r="J691" t="s">
        <v>675</v>
      </c>
      <c r="K691">
        <v>4</v>
      </c>
      <c r="L691" t="s">
        <v>17</v>
      </c>
      <c r="M691">
        <v>66</v>
      </c>
      <c r="N691" s="21">
        <f t="shared" si="20"/>
        <v>455.42</v>
      </c>
      <c r="O691" s="21">
        <f t="shared" si="21"/>
        <v>136.626</v>
      </c>
    </row>
    <row r="692" spans="1:15" x14ac:dyDescent="0.3">
      <c r="A692">
        <v>25561</v>
      </c>
      <c r="B692" s="1">
        <v>45619</v>
      </c>
      <c r="C692">
        <v>275</v>
      </c>
      <c r="D692">
        <v>10</v>
      </c>
      <c r="E692" t="s">
        <v>13</v>
      </c>
      <c r="F692" t="s">
        <v>111</v>
      </c>
      <c r="G692">
        <v>1</v>
      </c>
      <c r="H692" s="12">
        <v>330.94</v>
      </c>
      <c r="I692" t="s">
        <v>15</v>
      </c>
      <c r="J692" t="s">
        <v>693</v>
      </c>
      <c r="K692">
        <v>5</v>
      </c>
      <c r="L692" t="s">
        <v>17</v>
      </c>
      <c r="M692">
        <v>31</v>
      </c>
      <c r="N692" s="21">
        <f t="shared" si="20"/>
        <v>330.94</v>
      </c>
      <c r="O692" s="21">
        <f t="shared" si="21"/>
        <v>99.281999999999996</v>
      </c>
    </row>
    <row r="693" spans="1:15" x14ac:dyDescent="0.3">
      <c r="A693">
        <v>61642</v>
      </c>
      <c r="B693" s="1">
        <v>45620</v>
      </c>
      <c r="C693">
        <v>264</v>
      </c>
      <c r="D693">
        <v>50</v>
      </c>
      <c r="E693" t="s">
        <v>18</v>
      </c>
      <c r="F693" t="s">
        <v>22</v>
      </c>
      <c r="G693">
        <v>1</v>
      </c>
      <c r="H693" s="12">
        <v>241.61</v>
      </c>
      <c r="I693" t="s">
        <v>26</v>
      </c>
      <c r="J693" t="s">
        <v>74</v>
      </c>
      <c r="K693">
        <v>5</v>
      </c>
      <c r="L693" t="s">
        <v>21</v>
      </c>
      <c r="M693">
        <v>19</v>
      </c>
      <c r="N693" s="21">
        <f t="shared" si="20"/>
        <v>241.61</v>
      </c>
      <c r="O693" s="21">
        <f t="shared" si="21"/>
        <v>72.483000000000004</v>
      </c>
    </row>
    <row r="694" spans="1:15" x14ac:dyDescent="0.3">
      <c r="A694">
        <v>49861</v>
      </c>
      <c r="B694" s="1">
        <v>45620</v>
      </c>
      <c r="C694">
        <v>832</v>
      </c>
      <c r="D694">
        <v>20</v>
      </c>
      <c r="E694" t="s">
        <v>28</v>
      </c>
      <c r="F694" t="s">
        <v>29</v>
      </c>
      <c r="G694">
        <v>2</v>
      </c>
      <c r="H694" s="12">
        <v>96.31</v>
      </c>
      <c r="I694" t="s">
        <v>35</v>
      </c>
      <c r="J694" t="s">
        <v>154</v>
      </c>
      <c r="K694">
        <v>5</v>
      </c>
      <c r="L694" t="s">
        <v>21</v>
      </c>
      <c r="M694">
        <v>46</v>
      </c>
      <c r="N694" s="21">
        <f t="shared" si="20"/>
        <v>192.62</v>
      </c>
      <c r="O694" s="21">
        <f t="shared" si="21"/>
        <v>57.786000000000001</v>
      </c>
    </row>
    <row r="695" spans="1:15" x14ac:dyDescent="0.3">
      <c r="A695">
        <v>26849</v>
      </c>
      <c r="B695" s="1">
        <v>45620</v>
      </c>
      <c r="C695">
        <v>667</v>
      </c>
      <c r="D695">
        <v>50</v>
      </c>
      <c r="E695" t="s">
        <v>18</v>
      </c>
      <c r="F695" t="s">
        <v>84</v>
      </c>
      <c r="G695">
        <v>3</v>
      </c>
      <c r="H695" s="12">
        <v>116.74</v>
      </c>
      <c r="I695" t="s">
        <v>26</v>
      </c>
      <c r="J695" t="s">
        <v>522</v>
      </c>
      <c r="K695">
        <v>5</v>
      </c>
      <c r="L695" t="s">
        <v>17</v>
      </c>
      <c r="M695">
        <v>27</v>
      </c>
      <c r="N695" s="21">
        <f t="shared" si="20"/>
        <v>350.21999999999997</v>
      </c>
      <c r="O695" s="21">
        <f t="shared" si="21"/>
        <v>105.06599999999999</v>
      </c>
    </row>
    <row r="696" spans="1:15" x14ac:dyDescent="0.3">
      <c r="A696">
        <v>35625</v>
      </c>
      <c r="B696" s="1">
        <v>45620</v>
      </c>
      <c r="C696">
        <v>863</v>
      </c>
      <c r="D696">
        <v>30</v>
      </c>
      <c r="E696" t="s">
        <v>37</v>
      </c>
      <c r="F696" t="s">
        <v>38</v>
      </c>
      <c r="G696">
        <v>2</v>
      </c>
      <c r="H696" s="12">
        <v>19.350000000000001</v>
      </c>
      <c r="I696" t="s">
        <v>35</v>
      </c>
      <c r="J696" t="s">
        <v>914</v>
      </c>
      <c r="K696">
        <v>3</v>
      </c>
      <c r="M696">
        <v>22</v>
      </c>
      <c r="N696" s="21">
        <f t="shared" si="20"/>
        <v>38.700000000000003</v>
      </c>
      <c r="O696" s="21">
        <f t="shared" si="21"/>
        <v>11.610000000000001</v>
      </c>
    </row>
    <row r="697" spans="1:15" x14ac:dyDescent="0.3">
      <c r="A697">
        <v>82649</v>
      </c>
      <c r="B697" s="1">
        <v>45622</v>
      </c>
      <c r="C697">
        <v>983</v>
      </c>
      <c r="D697">
        <v>20</v>
      </c>
      <c r="E697" t="s">
        <v>28</v>
      </c>
      <c r="F697" t="s">
        <v>77</v>
      </c>
      <c r="G697">
        <v>1</v>
      </c>
      <c r="H697" s="12">
        <v>419.8</v>
      </c>
      <c r="I697" t="s">
        <v>26</v>
      </c>
      <c r="J697" t="s">
        <v>810</v>
      </c>
      <c r="L697" t="s">
        <v>21</v>
      </c>
      <c r="M697">
        <v>60</v>
      </c>
      <c r="N697" s="21">
        <f t="shared" si="20"/>
        <v>419.8</v>
      </c>
      <c r="O697" s="21">
        <f t="shared" si="21"/>
        <v>125.94</v>
      </c>
    </row>
    <row r="698" spans="1:15" x14ac:dyDescent="0.3">
      <c r="A698">
        <v>42780</v>
      </c>
      <c r="B698" s="1">
        <v>45622</v>
      </c>
      <c r="C698">
        <v>482</v>
      </c>
      <c r="D698">
        <v>40</v>
      </c>
      <c r="E698" t="s">
        <v>24</v>
      </c>
      <c r="F698" t="s">
        <v>65</v>
      </c>
      <c r="G698">
        <v>4</v>
      </c>
      <c r="H698" s="12">
        <v>121.29</v>
      </c>
      <c r="I698" t="s">
        <v>15</v>
      </c>
      <c r="J698" t="s">
        <v>841</v>
      </c>
      <c r="K698">
        <v>4</v>
      </c>
      <c r="L698" t="s">
        <v>21</v>
      </c>
      <c r="M698">
        <v>32</v>
      </c>
      <c r="N698" s="21">
        <f t="shared" si="20"/>
        <v>485.16</v>
      </c>
      <c r="O698" s="21">
        <f t="shared" si="21"/>
        <v>145.548</v>
      </c>
    </row>
    <row r="699" spans="1:15" x14ac:dyDescent="0.3">
      <c r="A699">
        <v>94070</v>
      </c>
      <c r="B699" s="1">
        <v>45622</v>
      </c>
      <c r="C699">
        <v>822</v>
      </c>
      <c r="D699">
        <v>50</v>
      </c>
      <c r="E699" t="s">
        <v>18</v>
      </c>
      <c r="F699" t="s">
        <v>34</v>
      </c>
      <c r="G699">
        <v>2</v>
      </c>
      <c r="H699" s="12">
        <v>236.61</v>
      </c>
      <c r="I699" t="s">
        <v>26</v>
      </c>
      <c r="J699" t="s">
        <v>344</v>
      </c>
      <c r="K699">
        <v>5</v>
      </c>
      <c r="L699" t="s">
        <v>21</v>
      </c>
      <c r="M699">
        <v>67</v>
      </c>
      <c r="N699" s="21">
        <f t="shared" si="20"/>
        <v>473.22</v>
      </c>
      <c r="O699" s="21">
        <f t="shared" si="21"/>
        <v>141.96600000000001</v>
      </c>
    </row>
    <row r="700" spans="1:15" x14ac:dyDescent="0.3">
      <c r="A700">
        <v>10299</v>
      </c>
      <c r="B700" s="1">
        <v>45623</v>
      </c>
      <c r="C700">
        <v>971</v>
      </c>
      <c r="D700">
        <v>20</v>
      </c>
      <c r="E700" t="s">
        <v>28</v>
      </c>
      <c r="F700" t="s">
        <v>72</v>
      </c>
      <c r="G700">
        <v>4</v>
      </c>
      <c r="H700" s="12">
        <v>203.94</v>
      </c>
      <c r="I700" t="s">
        <v>35</v>
      </c>
      <c r="J700" t="s">
        <v>92</v>
      </c>
      <c r="K700">
        <v>5</v>
      </c>
      <c r="L700" t="s">
        <v>17</v>
      </c>
      <c r="M700">
        <v>33</v>
      </c>
      <c r="N700" s="21">
        <f t="shared" si="20"/>
        <v>815.76</v>
      </c>
      <c r="O700" s="21">
        <f t="shared" si="21"/>
        <v>244.72799999999998</v>
      </c>
    </row>
    <row r="701" spans="1:15" x14ac:dyDescent="0.3">
      <c r="A701">
        <v>60036</v>
      </c>
      <c r="B701" s="1">
        <v>45623</v>
      </c>
      <c r="C701">
        <v>244</v>
      </c>
      <c r="D701">
        <v>20</v>
      </c>
      <c r="E701" t="s">
        <v>28</v>
      </c>
      <c r="F701" t="s">
        <v>51</v>
      </c>
      <c r="G701">
        <v>4</v>
      </c>
      <c r="H701" s="12">
        <v>333.23</v>
      </c>
      <c r="I701" t="s">
        <v>26</v>
      </c>
      <c r="J701" t="s">
        <v>776</v>
      </c>
      <c r="L701" t="s">
        <v>17</v>
      </c>
      <c r="M701">
        <v>57</v>
      </c>
      <c r="N701" s="21">
        <f t="shared" si="20"/>
        <v>1332.92</v>
      </c>
      <c r="O701" s="21">
        <f t="shared" si="21"/>
        <v>399.87600000000003</v>
      </c>
    </row>
    <row r="702" spans="1:15" x14ac:dyDescent="0.3">
      <c r="A702">
        <v>27117</v>
      </c>
      <c r="B702" s="1">
        <v>45623</v>
      </c>
      <c r="C702">
        <v>312</v>
      </c>
      <c r="D702">
        <v>20</v>
      </c>
      <c r="E702" t="s">
        <v>28</v>
      </c>
      <c r="F702" t="s">
        <v>77</v>
      </c>
      <c r="G702">
        <v>4</v>
      </c>
      <c r="H702" s="12">
        <v>245.65</v>
      </c>
      <c r="I702" t="s">
        <v>15</v>
      </c>
      <c r="J702" t="s">
        <v>901</v>
      </c>
      <c r="K702">
        <v>4</v>
      </c>
      <c r="L702" t="s">
        <v>17</v>
      </c>
      <c r="M702">
        <v>66</v>
      </c>
      <c r="N702" s="21">
        <f t="shared" si="20"/>
        <v>982.6</v>
      </c>
      <c r="O702" s="21">
        <f t="shared" si="21"/>
        <v>294.77999999999997</v>
      </c>
    </row>
    <row r="703" spans="1:15" x14ac:dyDescent="0.3">
      <c r="A703">
        <v>24078</v>
      </c>
      <c r="B703" s="1">
        <v>45625</v>
      </c>
      <c r="C703">
        <v>344</v>
      </c>
      <c r="D703">
        <v>20</v>
      </c>
      <c r="E703" t="s">
        <v>28</v>
      </c>
      <c r="F703" t="s">
        <v>51</v>
      </c>
      <c r="G703">
        <v>5</v>
      </c>
      <c r="H703" s="12">
        <v>364.91</v>
      </c>
      <c r="I703" t="s">
        <v>35</v>
      </c>
      <c r="J703" t="s">
        <v>433</v>
      </c>
      <c r="K703">
        <v>1</v>
      </c>
      <c r="L703" t="s">
        <v>21</v>
      </c>
      <c r="M703">
        <v>71</v>
      </c>
      <c r="N703" s="21">
        <f t="shared" si="20"/>
        <v>1824.5500000000002</v>
      </c>
      <c r="O703" s="21">
        <f t="shared" si="21"/>
        <v>547.36500000000001</v>
      </c>
    </row>
    <row r="704" spans="1:15" x14ac:dyDescent="0.3">
      <c r="A704">
        <v>59486</v>
      </c>
      <c r="B704" s="1">
        <v>45625</v>
      </c>
      <c r="C704">
        <v>327</v>
      </c>
      <c r="D704">
        <v>30</v>
      </c>
      <c r="E704" t="s">
        <v>37</v>
      </c>
      <c r="F704" t="s">
        <v>68</v>
      </c>
      <c r="G704">
        <v>5</v>
      </c>
      <c r="H704" s="12">
        <v>475.62</v>
      </c>
      <c r="I704" t="s">
        <v>26</v>
      </c>
      <c r="J704" t="s">
        <v>520</v>
      </c>
      <c r="K704">
        <v>4</v>
      </c>
      <c r="L704" t="s">
        <v>17</v>
      </c>
      <c r="M704">
        <v>61</v>
      </c>
      <c r="N704" s="21">
        <f t="shared" si="20"/>
        <v>2378.1</v>
      </c>
      <c r="O704" s="21">
        <f t="shared" si="21"/>
        <v>713.43</v>
      </c>
    </row>
    <row r="705" spans="1:15" x14ac:dyDescent="0.3">
      <c r="A705">
        <v>77096</v>
      </c>
      <c r="B705" s="1">
        <v>45626</v>
      </c>
      <c r="C705">
        <v>369</v>
      </c>
      <c r="D705">
        <v>50</v>
      </c>
      <c r="E705" t="s">
        <v>18</v>
      </c>
      <c r="F705" t="s">
        <v>84</v>
      </c>
      <c r="G705">
        <v>4</v>
      </c>
      <c r="H705" s="12">
        <v>83.08</v>
      </c>
      <c r="I705" t="s">
        <v>15</v>
      </c>
      <c r="J705" t="s">
        <v>682</v>
      </c>
      <c r="K705">
        <v>5</v>
      </c>
      <c r="L705" t="s">
        <v>21</v>
      </c>
      <c r="M705">
        <v>22</v>
      </c>
      <c r="N705" s="21">
        <f t="shared" si="20"/>
        <v>332.32</v>
      </c>
      <c r="O705" s="21">
        <f t="shared" si="21"/>
        <v>99.695999999999998</v>
      </c>
    </row>
    <row r="706" spans="1:15" x14ac:dyDescent="0.3">
      <c r="A706">
        <v>67215</v>
      </c>
      <c r="B706" s="1">
        <v>45628</v>
      </c>
      <c r="C706">
        <v>912</v>
      </c>
      <c r="D706">
        <v>20</v>
      </c>
      <c r="E706" t="s">
        <v>28</v>
      </c>
      <c r="F706" t="s">
        <v>77</v>
      </c>
      <c r="G706">
        <v>1</v>
      </c>
      <c r="H706" s="12">
        <v>242.04</v>
      </c>
      <c r="I706" t="s">
        <v>15</v>
      </c>
      <c r="J706" t="s">
        <v>146</v>
      </c>
      <c r="K706">
        <v>4</v>
      </c>
      <c r="L706" t="s">
        <v>21</v>
      </c>
      <c r="M706">
        <v>71</v>
      </c>
      <c r="N706" s="21">
        <f t="shared" si="20"/>
        <v>242.04</v>
      </c>
      <c r="O706" s="21">
        <f t="shared" si="21"/>
        <v>72.611999999999995</v>
      </c>
    </row>
    <row r="707" spans="1:15" x14ac:dyDescent="0.3">
      <c r="A707">
        <v>23807</v>
      </c>
      <c r="B707" s="1">
        <v>45628</v>
      </c>
      <c r="C707">
        <v>547</v>
      </c>
      <c r="D707">
        <v>40</v>
      </c>
      <c r="E707" t="s">
        <v>24</v>
      </c>
      <c r="F707" t="s">
        <v>44</v>
      </c>
      <c r="G707">
        <v>5</v>
      </c>
      <c r="H707" s="12">
        <v>397.63</v>
      </c>
      <c r="I707" t="s">
        <v>15</v>
      </c>
      <c r="J707" t="s">
        <v>534</v>
      </c>
      <c r="K707">
        <v>2</v>
      </c>
      <c r="L707" t="s">
        <v>21</v>
      </c>
      <c r="M707">
        <v>53</v>
      </c>
      <c r="N707" s="21">
        <f t="shared" ref="N707:N770" si="22">H707*G707</f>
        <v>1988.15</v>
      </c>
      <c r="O707" s="21">
        <f t="shared" ref="O707:O770" si="23">N707*0.3</f>
        <v>596.44500000000005</v>
      </c>
    </row>
    <row r="708" spans="1:15" x14ac:dyDescent="0.3">
      <c r="A708">
        <v>87140</v>
      </c>
      <c r="B708" s="1">
        <v>45628</v>
      </c>
      <c r="C708">
        <v>977</v>
      </c>
      <c r="D708">
        <v>30</v>
      </c>
      <c r="E708" t="s">
        <v>37</v>
      </c>
      <c r="F708" t="s">
        <v>40</v>
      </c>
      <c r="G708">
        <v>3</v>
      </c>
      <c r="H708" s="12">
        <v>83.47</v>
      </c>
      <c r="I708" t="s">
        <v>15</v>
      </c>
      <c r="J708" t="s">
        <v>316</v>
      </c>
      <c r="K708">
        <v>5</v>
      </c>
      <c r="L708" t="s">
        <v>17</v>
      </c>
      <c r="M708">
        <v>28</v>
      </c>
      <c r="N708" s="21">
        <f t="shared" si="22"/>
        <v>250.41</v>
      </c>
      <c r="O708" s="21">
        <f t="shared" si="23"/>
        <v>75.12299999999999</v>
      </c>
    </row>
    <row r="709" spans="1:15" x14ac:dyDescent="0.3">
      <c r="A709">
        <v>29989</v>
      </c>
      <c r="B709" s="1">
        <v>45629</v>
      </c>
      <c r="C709">
        <v>829</v>
      </c>
      <c r="D709">
        <v>10</v>
      </c>
      <c r="E709" t="s">
        <v>13</v>
      </c>
      <c r="F709" t="s">
        <v>14</v>
      </c>
      <c r="G709">
        <v>4</v>
      </c>
      <c r="H709" s="12">
        <v>196.16</v>
      </c>
      <c r="I709" t="s">
        <v>26</v>
      </c>
      <c r="J709" t="s">
        <v>31</v>
      </c>
      <c r="K709">
        <v>5</v>
      </c>
      <c r="L709" t="s">
        <v>17</v>
      </c>
      <c r="M709">
        <v>21</v>
      </c>
      <c r="N709" s="21">
        <f t="shared" si="22"/>
        <v>784.64</v>
      </c>
      <c r="O709" s="21">
        <f t="shared" si="23"/>
        <v>235.392</v>
      </c>
    </row>
    <row r="710" spans="1:15" x14ac:dyDescent="0.3">
      <c r="A710">
        <v>61360</v>
      </c>
      <c r="B710" s="1">
        <v>45629</v>
      </c>
      <c r="C710">
        <v>544</v>
      </c>
      <c r="D710">
        <v>10</v>
      </c>
      <c r="E710" t="s">
        <v>13</v>
      </c>
      <c r="F710" t="s">
        <v>47</v>
      </c>
      <c r="G710">
        <v>3</v>
      </c>
      <c r="H710" s="12">
        <v>457.44</v>
      </c>
      <c r="I710" t="s">
        <v>35</v>
      </c>
      <c r="J710" t="s">
        <v>48</v>
      </c>
      <c r="K710">
        <v>5</v>
      </c>
      <c r="L710" t="s">
        <v>21</v>
      </c>
      <c r="M710">
        <v>60</v>
      </c>
      <c r="N710" s="21">
        <f t="shared" si="22"/>
        <v>1372.32</v>
      </c>
      <c r="O710" s="21">
        <f t="shared" si="23"/>
        <v>411.69599999999997</v>
      </c>
    </row>
    <row r="711" spans="1:15" x14ac:dyDescent="0.3">
      <c r="A711">
        <v>75434</v>
      </c>
      <c r="B711" s="1">
        <v>45629</v>
      </c>
      <c r="C711">
        <v>775</v>
      </c>
      <c r="D711">
        <v>10</v>
      </c>
      <c r="E711" t="s">
        <v>13</v>
      </c>
      <c r="F711" t="s">
        <v>47</v>
      </c>
      <c r="G711">
        <v>3</v>
      </c>
      <c r="H711" s="12">
        <v>256.12</v>
      </c>
      <c r="I711" t="s">
        <v>35</v>
      </c>
      <c r="J711" t="s">
        <v>204</v>
      </c>
      <c r="K711">
        <v>3</v>
      </c>
      <c r="L711" t="s">
        <v>21</v>
      </c>
      <c r="M711">
        <v>21</v>
      </c>
      <c r="N711" s="21">
        <f t="shared" si="22"/>
        <v>768.36</v>
      </c>
      <c r="O711" s="21">
        <f t="shared" si="23"/>
        <v>230.50799999999998</v>
      </c>
    </row>
    <row r="712" spans="1:15" x14ac:dyDescent="0.3">
      <c r="A712">
        <v>16119</v>
      </c>
      <c r="B712" s="1">
        <v>45629</v>
      </c>
      <c r="C712">
        <v>628</v>
      </c>
      <c r="D712">
        <v>20</v>
      </c>
      <c r="E712" t="s">
        <v>28</v>
      </c>
      <c r="F712" t="s">
        <v>77</v>
      </c>
      <c r="G712">
        <v>1</v>
      </c>
      <c r="H712" s="12">
        <v>71.83</v>
      </c>
      <c r="I712" t="s">
        <v>26</v>
      </c>
      <c r="J712" t="s">
        <v>624</v>
      </c>
      <c r="L712" t="s">
        <v>17</v>
      </c>
      <c r="M712">
        <v>28</v>
      </c>
      <c r="N712" s="21">
        <f t="shared" si="22"/>
        <v>71.83</v>
      </c>
      <c r="O712" s="21">
        <f t="shared" si="23"/>
        <v>21.548999999999999</v>
      </c>
    </row>
    <row r="713" spans="1:15" x14ac:dyDescent="0.3">
      <c r="A713">
        <v>69355</v>
      </c>
      <c r="B713" s="1">
        <v>45630</v>
      </c>
      <c r="C713">
        <v>683</v>
      </c>
      <c r="D713">
        <v>30</v>
      </c>
      <c r="E713" t="s">
        <v>37</v>
      </c>
      <c r="F713" t="s">
        <v>95</v>
      </c>
      <c r="G713">
        <v>1</v>
      </c>
      <c r="H713" s="12">
        <v>404.07</v>
      </c>
      <c r="I713" t="s">
        <v>26</v>
      </c>
      <c r="J713" t="s">
        <v>225</v>
      </c>
      <c r="K713">
        <v>5</v>
      </c>
      <c r="L713" t="s">
        <v>21</v>
      </c>
      <c r="M713">
        <v>18</v>
      </c>
      <c r="N713" s="21">
        <f t="shared" si="22"/>
        <v>404.07</v>
      </c>
      <c r="O713" s="21">
        <f t="shared" si="23"/>
        <v>121.22099999999999</v>
      </c>
    </row>
    <row r="714" spans="1:15" x14ac:dyDescent="0.3">
      <c r="A714">
        <v>55134</v>
      </c>
      <c r="B714" s="1">
        <v>45630</v>
      </c>
      <c r="C714">
        <v>837</v>
      </c>
      <c r="D714">
        <v>50</v>
      </c>
      <c r="E714" t="s">
        <v>18</v>
      </c>
      <c r="F714" t="s">
        <v>87</v>
      </c>
      <c r="G714">
        <v>4</v>
      </c>
      <c r="H714" s="12">
        <v>487.21</v>
      </c>
      <c r="I714" t="s">
        <v>26</v>
      </c>
      <c r="J714" t="s">
        <v>997</v>
      </c>
      <c r="L714" t="s">
        <v>21</v>
      </c>
      <c r="M714">
        <v>46</v>
      </c>
      <c r="N714" s="21">
        <f t="shared" si="22"/>
        <v>1948.84</v>
      </c>
      <c r="O714" s="21">
        <f t="shared" si="23"/>
        <v>584.65199999999993</v>
      </c>
    </row>
    <row r="715" spans="1:15" x14ac:dyDescent="0.3">
      <c r="A715">
        <v>93992</v>
      </c>
      <c r="B715" s="1">
        <v>45631</v>
      </c>
      <c r="C715">
        <v>853</v>
      </c>
      <c r="D715">
        <v>30</v>
      </c>
      <c r="E715" t="s">
        <v>37</v>
      </c>
      <c r="F715" t="s">
        <v>38</v>
      </c>
      <c r="G715">
        <v>1</v>
      </c>
      <c r="H715" s="12">
        <v>153.82</v>
      </c>
      <c r="I715" t="s">
        <v>15</v>
      </c>
      <c r="J715" t="s">
        <v>57</v>
      </c>
      <c r="K715">
        <v>4</v>
      </c>
      <c r="M715">
        <v>29</v>
      </c>
      <c r="N715" s="21">
        <f t="shared" si="22"/>
        <v>153.82</v>
      </c>
      <c r="O715" s="21">
        <f t="shared" si="23"/>
        <v>46.145999999999994</v>
      </c>
    </row>
    <row r="716" spans="1:15" x14ac:dyDescent="0.3">
      <c r="A716">
        <v>77884</v>
      </c>
      <c r="B716" s="1">
        <v>45631</v>
      </c>
      <c r="C716">
        <v>620</v>
      </c>
      <c r="D716">
        <v>20</v>
      </c>
      <c r="E716" t="s">
        <v>28</v>
      </c>
      <c r="F716" t="s">
        <v>79</v>
      </c>
      <c r="G716">
        <v>3</v>
      </c>
      <c r="H716" s="12">
        <v>145.36000000000001</v>
      </c>
      <c r="I716" t="s">
        <v>26</v>
      </c>
      <c r="J716" t="s">
        <v>198</v>
      </c>
      <c r="K716">
        <v>3</v>
      </c>
      <c r="L716" t="s">
        <v>17</v>
      </c>
      <c r="M716">
        <v>41</v>
      </c>
      <c r="N716" s="21">
        <f t="shared" si="22"/>
        <v>436.08000000000004</v>
      </c>
      <c r="O716" s="21">
        <f t="shared" si="23"/>
        <v>130.82400000000001</v>
      </c>
    </row>
    <row r="717" spans="1:15" x14ac:dyDescent="0.3">
      <c r="A717">
        <v>32787</v>
      </c>
      <c r="B717" s="1">
        <v>45631</v>
      </c>
      <c r="C717">
        <v>359</v>
      </c>
      <c r="D717">
        <v>50</v>
      </c>
      <c r="E717" t="s">
        <v>18</v>
      </c>
      <c r="F717" t="s">
        <v>22</v>
      </c>
      <c r="G717">
        <v>5</v>
      </c>
      <c r="H717" s="12">
        <v>88.57</v>
      </c>
      <c r="I717" t="s">
        <v>35</v>
      </c>
      <c r="J717" t="s">
        <v>870</v>
      </c>
      <c r="L717" t="s">
        <v>21</v>
      </c>
      <c r="M717">
        <v>28</v>
      </c>
      <c r="N717" s="21">
        <f t="shared" si="22"/>
        <v>442.84999999999997</v>
      </c>
      <c r="O717" s="21">
        <f t="shared" si="23"/>
        <v>132.85499999999999</v>
      </c>
    </row>
    <row r="718" spans="1:15" x14ac:dyDescent="0.3">
      <c r="A718">
        <v>95980</v>
      </c>
      <c r="B718" s="1">
        <v>45632</v>
      </c>
      <c r="C718">
        <v>804</v>
      </c>
      <c r="D718">
        <v>40</v>
      </c>
      <c r="E718" t="s">
        <v>24</v>
      </c>
      <c r="F718" t="s">
        <v>49</v>
      </c>
      <c r="G718">
        <v>1</v>
      </c>
      <c r="H718" s="12">
        <v>106.07</v>
      </c>
      <c r="I718" t="s">
        <v>35</v>
      </c>
      <c r="J718" t="s">
        <v>820</v>
      </c>
      <c r="L718" t="s">
        <v>17</v>
      </c>
      <c r="M718">
        <v>75</v>
      </c>
      <c r="N718" s="21">
        <f t="shared" si="22"/>
        <v>106.07</v>
      </c>
      <c r="O718" s="21">
        <f t="shared" si="23"/>
        <v>31.820999999999998</v>
      </c>
    </row>
    <row r="719" spans="1:15" x14ac:dyDescent="0.3">
      <c r="A719">
        <v>97281</v>
      </c>
      <c r="B719" s="1">
        <v>45633</v>
      </c>
      <c r="C719">
        <v>450</v>
      </c>
      <c r="D719">
        <v>30</v>
      </c>
      <c r="E719" t="s">
        <v>37</v>
      </c>
      <c r="F719" t="s">
        <v>40</v>
      </c>
      <c r="G719">
        <v>4</v>
      </c>
      <c r="H719" s="12">
        <v>289.63</v>
      </c>
      <c r="I719" t="s">
        <v>15</v>
      </c>
      <c r="J719" t="s">
        <v>314</v>
      </c>
      <c r="K719">
        <v>5</v>
      </c>
      <c r="L719" t="s">
        <v>21</v>
      </c>
      <c r="M719">
        <v>32</v>
      </c>
      <c r="N719" s="21">
        <f t="shared" si="22"/>
        <v>1158.52</v>
      </c>
      <c r="O719" s="21">
        <f t="shared" si="23"/>
        <v>347.55599999999998</v>
      </c>
    </row>
    <row r="720" spans="1:15" x14ac:dyDescent="0.3">
      <c r="A720">
        <v>61329</v>
      </c>
      <c r="B720" s="1">
        <v>45633</v>
      </c>
      <c r="C720">
        <v>311</v>
      </c>
      <c r="D720">
        <v>10</v>
      </c>
      <c r="E720" t="s">
        <v>13</v>
      </c>
      <c r="F720" t="s">
        <v>47</v>
      </c>
      <c r="G720">
        <v>2</v>
      </c>
      <c r="H720" s="12">
        <v>50.52</v>
      </c>
      <c r="I720" t="s">
        <v>26</v>
      </c>
      <c r="J720" t="s">
        <v>453</v>
      </c>
      <c r="K720">
        <v>5</v>
      </c>
      <c r="L720" t="s">
        <v>21</v>
      </c>
      <c r="M720">
        <v>74</v>
      </c>
      <c r="N720" s="21">
        <f t="shared" si="22"/>
        <v>101.04</v>
      </c>
      <c r="O720" s="21">
        <f t="shared" si="23"/>
        <v>30.312000000000001</v>
      </c>
    </row>
    <row r="721" spans="1:15" x14ac:dyDescent="0.3">
      <c r="A721">
        <v>89104</v>
      </c>
      <c r="B721" s="1">
        <v>45633</v>
      </c>
      <c r="C721">
        <v>358</v>
      </c>
      <c r="D721">
        <v>40</v>
      </c>
      <c r="E721" t="s">
        <v>24</v>
      </c>
      <c r="F721" t="s">
        <v>44</v>
      </c>
      <c r="G721">
        <v>3</v>
      </c>
      <c r="H721" s="12">
        <v>284.47000000000003</v>
      </c>
      <c r="I721" t="s">
        <v>35</v>
      </c>
      <c r="J721" t="s">
        <v>704</v>
      </c>
      <c r="K721">
        <v>4</v>
      </c>
      <c r="L721" t="s">
        <v>17</v>
      </c>
      <c r="M721">
        <v>55</v>
      </c>
      <c r="N721" s="21">
        <f t="shared" si="22"/>
        <v>853.41000000000008</v>
      </c>
      <c r="O721" s="21">
        <f t="shared" si="23"/>
        <v>256.02300000000002</v>
      </c>
    </row>
    <row r="722" spans="1:15" x14ac:dyDescent="0.3">
      <c r="A722">
        <v>29306</v>
      </c>
      <c r="B722" s="1">
        <v>45633</v>
      </c>
      <c r="C722">
        <v>162</v>
      </c>
      <c r="D722">
        <v>50</v>
      </c>
      <c r="E722" t="s">
        <v>18</v>
      </c>
      <c r="F722" t="s">
        <v>34</v>
      </c>
      <c r="G722">
        <v>3</v>
      </c>
      <c r="H722" s="12">
        <v>358.82</v>
      </c>
      <c r="I722" t="s">
        <v>35</v>
      </c>
      <c r="J722" t="s">
        <v>714</v>
      </c>
      <c r="K722">
        <v>5</v>
      </c>
      <c r="L722" t="s">
        <v>21</v>
      </c>
      <c r="M722">
        <v>41</v>
      </c>
      <c r="N722" s="21">
        <f t="shared" si="22"/>
        <v>1076.46</v>
      </c>
      <c r="O722" s="21">
        <f t="shared" si="23"/>
        <v>322.93799999999999</v>
      </c>
    </row>
    <row r="723" spans="1:15" x14ac:dyDescent="0.3">
      <c r="A723">
        <v>64649</v>
      </c>
      <c r="B723" s="1">
        <v>45633</v>
      </c>
      <c r="C723">
        <v>438</v>
      </c>
      <c r="D723">
        <v>40</v>
      </c>
      <c r="E723" t="s">
        <v>24</v>
      </c>
      <c r="F723" t="s">
        <v>44</v>
      </c>
      <c r="G723">
        <v>5</v>
      </c>
      <c r="H723" s="12">
        <v>132.97999999999999</v>
      </c>
      <c r="I723" t="s">
        <v>35</v>
      </c>
      <c r="J723" t="s">
        <v>822</v>
      </c>
      <c r="L723" t="s">
        <v>21</v>
      </c>
      <c r="M723">
        <v>45</v>
      </c>
      <c r="N723" s="21">
        <f t="shared" si="22"/>
        <v>664.9</v>
      </c>
      <c r="O723" s="21">
        <f t="shared" si="23"/>
        <v>199.47</v>
      </c>
    </row>
    <row r="724" spans="1:15" x14ac:dyDescent="0.3">
      <c r="A724">
        <v>15545</v>
      </c>
      <c r="B724" s="1">
        <v>45634</v>
      </c>
      <c r="C724">
        <v>128</v>
      </c>
      <c r="D724">
        <v>40</v>
      </c>
      <c r="E724" t="s">
        <v>24</v>
      </c>
      <c r="F724" t="s">
        <v>49</v>
      </c>
      <c r="G724">
        <v>2</v>
      </c>
      <c r="H724" s="12">
        <v>475.77</v>
      </c>
      <c r="I724" t="s">
        <v>26</v>
      </c>
      <c r="J724" t="s">
        <v>234</v>
      </c>
      <c r="L724" t="s">
        <v>17</v>
      </c>
      <c r="M724">
        <v>65</v>
      </c>
      <c r="N724" s="21">
        <f t="shared" si="22"/>
        <v>951.54</v>
      </c>
      <c r="O724" s="21">
        <f t="shared" si="23"/>
        <v>285.46199999999999</v>
      </c>
    </row>
    <row r="725" spans="1:15" x14ac:dyDescent="0.3">
      <c r="A725">
        <v>55426</v>
      </c>
      <c r="B725" s="1">
        <v>45634</v>
      </c>
      <c r="C725">
        <v>139</v>
      </c>
      <c r="D725">
        <v>50</v>
      </c>
      <c r="E725" t="s">
        <v>18</v>
      </c>
      <c r="F725" t="s">
        <v>84</v>
      </c>
      <c r="G725">
        <v>5</v>
      </c>
      <c r="H725" s="12">
        <v>448.92</v>
      </c>
      <c r="I725" t="s">
        <v>26</v>
      </c>
      <c r="J725" t="s">
        <v>383</v>
      </c>
      <c r="K725">
        <v>5</v>
      </c>
      <c r="M725">
        <v>69</v>
      </c>
      <c r="N725" s="21">
        <f t="shared" si="22"/>
        <v>2244.6</v>
      </c>
      <c r="O725" s="21">
        <f t="shared" si="23"/>
        <v>673.38</v>
      </c>
    </row>
    <row r="726" spans="1:15" x14ac:dyDescent="0.3">
      <c r="A726">
        <v>58368</v>
      </c>
      <c r="B726" s="1">
        <v>45634</v>
      </c>
      <c r="C726">
        <v>522</v>
      </c>
      <c r="D726">
        <v>20</v>
      </c>
      <c r="E726" t="s">
        <v>28</v>
      </c>
      <c r="F726" t="s">
        <v>72</v>
      </c>
      <c r="G726">
        <v>3</v>
      </c>
      <c r="H726" s="12">
        <v>162.83000000000001</v>
      </c>
      <c r="I726" t="s">
        <v>26</v>
      </c>
      <c r="J726" t="s">
        <v>489</v>
      </c>
      <c r="K726">
        <v>5</v>
      </c>
      <c r="L726" t="s">
        <v>17</v>
      </c>
      <c r="M726">
        <v>23</v>
      </c>
      <c r="N726" s="21">
        <f t="shared" si="22"/>
        <v>488.49</v>
      </c>
      <c r="O726" s="21">
        <f t="shared" si="23"/>
        <v>146.547</v>
      </c>
    </row>
    <row r="727" spans="1:15" x14ac:dyDescent="0.3">
      <c r="A727">
        <v>54614</v>
      </c>
      <c r="B727" s="1">
        <v>45636</v>
      </c>
      <c r="C727">
        <v>704</v>
      </c>
      <c r="D727">
        <v>40</v>
      </c>
      <c r="E727" t="s">
        <v>24</v>
      </c>
      <c r="F727" t="s">
        <v>63</v>
      </c>
      <c r="G727">
        <v>1</v>
      </c>
      <c r="H727" s="12">
        <v>55.6</v>
      </c>
      <c r="I727" t="s">
        <v>15</v>
      </c>
      <c r="J727" t="s">
        <v>161</v>
      </c>
      <c r="K727">
        <v>4</v>
      </c>
      <c r="L727" t="s">
        <v>21</v>
      </c>
      <c r="M727">
        <v>61</v>
      </c>
      <c r="N727" s="21">
        <f t="shared" si="22"/>
        <v>55.6</v>
      </c>
      <c r="O727" s="21">
        <f t="shared" si="23"/>
        <v>16.68</v>
      </c>
    </row>
    <row r="728" spans="1:15" x14ac:dyDescent="0.3">
      <c r="A728">
        <v>38547</v>
      </c>
      <c r="B728" s="1">
        <v>45636</v>
      </c>
      <c r="C728">
        <v>486</v>
      </c>
      <c r="D728">
        <v>30</v>
      </c>
      <c r="E728" t="s">
        <v>37</v>
      </c>
      <c r="F728" t="s">
        <v>58</v>
      </c>
      <c r="G728">
        <v>3</v>
      </c>
      <c r="H728" s="12">
        <v>474.17</v>
      </c>
      <c r="I728" t="s">
        <v>15</v>
      </c>
      <c r="J728" t="s">
        <v>475</v>
      </c>
      <c r="K728">
        <v>4</v>
      </c>
      <c r="L728" t="s">
        <v>21</v>
      </c>
      <c r="M728">
        <v>61</v>
      </c>
      <c r="N728" s="21">
        <f t="shared" si="22"/>
        <v>1422.51</v>
      </c>
      <c r="O728" s="21">
        <f t="shared" si="23"/>
        <v>426.75299999999999</v>
      </c>
    </row>
    <row r="729" spans="1:15" x14ac:dyDescent="0.3">
      <c r="A729">
        <v>50139</v>
      </c>
      <c r="B729" s="1">
        <v>45636</v>
      </c>
      <c r="C729">
        <v>905</v>
      </c>
      <c r="D729">
        <v>30</v>
      </c>
      <c r="E729" t="s">
        <v>37</v>
      </c>
      <c r="F729" t="s">
        <v>38</v>
      </c>
      <c r="G729">
        <v>4</v>
      </c>
      <c r="H729" s="12">
        <v>388</v>
      </c>
      <c r="I729" t="s">
        <v>15</v>
      </c>
      <c r="J729" t="s">
        <v>548</v>
      </c>
      <c r="K729">
        <v>3</v>
      </c>
      <c r="L729" t="s">
        <v>21</v>
      </c>
      <c r="M729">
        <v>53</v>
      </c>
      <c r="N729" s="21">
        <f t="shared" si="22"/>
        <v>1552</v>
      </c>
      <c r="O729" s="21">
        <f t="shared" si="23"/>
        <v>465.59999999999997</v>
      </c>
    </row>
    <row r="730" spans="1:15" x14ac:dyDescent="0.3">
      <c r="A730">
        <v>30321</v>
      </c>
      <c r="B730" s="1">
        <v>45637</v>
      </c>
      <c r="C730">
        <v>665</v>
      </c>
      <c r="D730">
        <v>30</v>
      </c>
      <c r="E730" t="s">
        <v>37</v>
      </c>
      <c r="F730" t="s">
        <v>38</v>
      </c>
      <c r="G730">
        <v>3</v>
      </c>
      <c r="H730" s="12">
        <v>477.17</v>
      </c>
      <c r="I730" t="s">
        <v>35</v>
      </c>
      <c r="J730" t="s">
        <v>315</v>
      </c>
      <c r="K730">
        <v>4</v>
      </c>
      <c r="M730">
        <v>59</v>
      </c>
      <c r="N730" s="21">
        <f t="shared" si="22"/>
        <v>1431.51</v>
      </c>
      <c r="O730" s="21">
        <f t="shared" si="23"/>
        <v>429.45299999999997</v>
      </c>
    </row>
    <row r="731" spans="1:15" x14ac:dyDescent="0.3">
      <c r="A731">
        <v>18191</v>
      </c>
      <c r="B731" s="1">
        <v>45637</v>
      </c>
      <c r="C731">
        <v>355</v>
      </c>
      <c r="D731">
        <v>20</v>
      </c>
      <c r="E731" t="s">
        <v>28</v>
      </c>
      <c r="F731" t="s">
        <v>77</v>
      </c>
      <c r="G731">
        <v>2</v>
      </c>
      <c r="H731" s="12">
        <v>433.83</v>
      </c>
      <c r="I731" t="s">
        <v>26</v>
      </c>
      <c r="J731" t="s">
        <v>737</v>
      </c>
      <c r="K731">
        <v>5</v>
      </c>
      <c r="L731" t="s">
        <v>21</v>
      </c>
      <c r="M731">
        <v>26</v>
      </c>
      <c r="N731" s="21">
        <f t="shared" si="22"/>
        <v>867.66</v>
      </c>
      <c r="O731" s="21">
        <f t="shared" si="23"/>
        <v>260.298</v>
      </c>
    </row>
    <row r="732" spans="1:15" x14ac:dyDescent="0.3">
      <c r="A732">
        <v>31253</v>
      </c>
      <c r="B732" s="1">
        <v>45637</v>
      </c>
      <c r="C732">
        <v>226</v>
      </c>
      <c r="D732">
        <v>40</v>
      </c>
      <c r="E732" t="s">
        <v>24</v>
      </c>
      <c r="F732" t="s">
        <v>25</v>
      </c>
      <c r="G732">
        <v>3</v>
      </c>
      <c r="H732" s="12">
        <v>428.95</v>
      </c>
      <c r="I732" t="s">
        <v>35</v>
      </c>
      <c r="J732" t="s">
        <v>789</v>
      </c>
      <c r="L732" t="s">
        <v>21</v>
      </c>
      <c r="M732">
        <v>43</v>
      </c>
      <c r="N732" s="21">
        <f t="shared" si="22"/>
        <v>1286.8499999999999</v>
      </c>
      <c r="O732" s="21">
        <f t="shared" si="23"/>
        <v>386.05499999999995</v>
      </c>
    </row>
    <row r="733" spans="1:15" x14ac:dyDescent="0.3">
      <c r="A733">
        <v>76505</v>
      </c>
      <c r="B733" s="1">
        <v>45637</v>
      </c>
      <c r="C733">
        <v>295</v>
      </c>
      <c r="D733">
        <v>40</v>
      </c>
      <c r="E733" t="s">
        <v>24</v>
      </c>
      <c r="F733" t="s">
        <v>65</v>
      </c>
      <c r="G733">
        <v>5</v>
      </c>
      <c r="H733" s="12">
        <v>250.07</v>
      </c>
      <c r="I733" t="s">
        <v>26</v>
      </c>
      <c r="J733" t="s">
        <v>933</v>
      </c>
      <c r="K733">
        <v>5</v>
      </c>
      <c r="L733" t="s">
        <v>17</v>
      </c>
      <c r="M733">
        <v>19</v>
      </c>
      <c r="N733" s="21">
        <f t="shared" si="22"/>
        <v>1250.3499999999999</v>
      </c>
      <c r="O733" s="21">
        <f t="shared" si="23"/>
        <v>375.10499999999996</v>
      </c>
    </row>
    <row r="734" spans="1:15" x14ac:dyDescent="0.3">
      <c r="A734">
        <v>14361</v>
      </c>
      <c r="B734" s="1">
        <v>45638</v>
      </c>
      <c r="C734">
        <v>178</v>
      </c>
      <c r="D734">
        <v>50</v>
      </c>
      <c r="E734" t="s">
        <v>18</v>
      </c>
      <c r="F734" t="s">
        <v>84</v>
      </c>
      <c r="G734">
        <v>4</v>
      </c>
      <c r="H734" s="12">
        <v>233.12</v>
      </c>
      <c r="I734" t="s">
        <v>26</v>
      </c>
      <c r="J734" t="s">
        <v>201</v>
      </c>
      <c r="K734">
        <v>5</v>
      </c>
      <c r="M734">
        <v>23</v>
      </c>
      <c r="N734" s="21">
        <f t="shared" si="22"/>
        <v>932.48</v>
      </c>
      <c r="O734" s="21">
        <f t="shared" si="23"/>
        <v>279.74399999999997</v>
      </c>
    </row>
    <row r="735" spans="1:15" x14ac:dyDescent="0.3">
      <c r="A735">
        <v>57240</v>
      </c>
      <c r="B735" s="1">
        <v>45638</v>
      </c>
      <c r="C735">
        <v>426</v>
      </c>
      <c r="D735">
        <v>10</v>
      </c>
      <c r="E735" t="s">
        <v>13</v>
      </c>
      <c r="F735" t="s">
        <v>32</v>
      </c>
      <c r="G735">
        <v>4</v>
      </c>
      <c r="H735" s="12">
        <v>458.08</v>
      </c>
      <c r="I735" t="s">
        <v>35</v>
      </c>
      <c r="J735" t="s">
        <v>435</v>
      </c>
      <c r="K735">
        <v>5</v>
      </c>
      <c r="L735" t="s">
        <v>21</v>
      </c>
      <c r="M735">
        <v>61</v>
      </c>
      <c r="N735" s="21">
        <f t="shared" si="22"/>
        <v>1832.32</v>
      </c>
      <c r="O735" s="21">
        <f t="shared" si="23"/>
        <v>549.69599999999991</v>
      </c>
    </row>
    <row r="736" spans="1:15" x14ac:dyDescent="0.3">
      <c r="A736">
        <v>69817</v>
      </c>
      <c r="B736" s="1">
        <v>45638</v>
      </c>
      <c r="C736">
        <v>100</v>
      </c>
      <c r="D736">
        <v>10</v>
      </c>
      <c r="E736" t="s">
        <v>13</v>
      </c>
      <c r="F736" t="s">
        <v>47</v>
      </c>
      <c r="G736">
        <v>4</v>
      </c>
      <c r="H736" s="12">
        <v>179.94</v>
      </c>
      <c r="I736" t="s">
        <v>26</v>
      </c>
      <c r="J736" t="s">
        <v>602</v>
      </c>
      <c r="L736" t="s">
        <v>17</v>
      </c>
      <c r="M736">
        <v>18</v>
      </c>
      <c r="N736" s="21">
        <f t="shared" si="22"/>
        <v>719.76</v>
      </c>
      <c r="O736" s="21">
        <f t="shared" si="23"/>
        <v>215.928</v>
      </c>
    </row>
    <row r="737" spans="1:15" x14ac:dyDescent="0.3">
      <c r="A737">
        <v>55539</v>
      </c>
      <c r="B737" s="1">
        <v>45639</v>
      </c>
      <c r="C737">
        <v>614</v>
      </c>
      <c r="D737">
        <v>10</v>
      </c>
      <c r="E737" t="s">
        <v>13</v>
      </c>
      <c r="F737" t="s">
        <v>47</v>
      </c>
      <c r="G737">
        <v>5</v>
      </c>
      <c r="H737" s="12">
        <v>144.94999999999999</v>
      </c>
      <c r="I737" t="s">
        <v>15</v>
      </c>
      <c r="J737" t="s">
        <v>630</v>
      </c>
      <c r="K737">
        <v>5</v>
      </c>
      <c r="L737" t="s">
        <v>17</v>
      </c>
      <c r="M737">
        <v>59</v>
      </c>
      <c r="N737" s="21">
        <f t="shared" si="22"/>
        <v>724.75</v>
      </c>
      <c r="O737" s="21">
        <f t="shared" si="23"/>
        <v>217.42499999999998</v>
      </c>
    </row>
    <row r="738" spans="1:15" x14ac:dyDescent="0.3">
      <c r="A738">
        <v>88885</v>
      </c>
      <c r="B738" s="1">
        <v>45639</v>
      </c>
      <c r="C738">
        <v>393</v>
      </c>
      <c r="D738">
        <v>10</v>
      </c>
      <c r="E738" t="s">
        <v>13</v>
      </c>
      <c r="F738" t="s">
        <v>111</v>
      </c>
      <c r="G738">
        <v>1</v>
      </c>
      <c r="H738" s="12">
        <v>112.93</v>
      </c>
      <c r="I738" t="s">
        <v>35</v>
      </c>
      <c r="J738" t="s">
        <v>746</v>
      </c>
      <c r="K738">
        <v>5</v>
      </c>
      <c r="L738" t="s">
        <v>21</v>
      </c>
      <c r="M738">
        <v>27</v>
      </c>
      <c r="N738" s="21">
        <f t="shared" si="22"/>
        <v>112.93</v>
      </c>
      <c r="O738" s="21">
        <f t="shared" si="23"/>
        <v>33.878999999999998</v>
      </c>
    </row>
    <row r="739" spans="1:15" x14ac:dyDescent="0.3">
      <c r="A739">
        <v>85139</v>
      </c>
      <c r="B739" s="1">
        <v>45639</v>
      </c>
      <c r="C739">
        <v>844</v>
      </c>
      <c r="D739">
        <v>40</v>
      </c>
      <c r="E739" t="s">
        <v>24</v>
      </c>
      <c r="F739" t="s">
        <v>44</v>
      </c>
      <c r="G739">
        <v>1</v>
      </c>
      <c r="H739" s="12">
        <v>312.01</v>
      </c>
      <c r="I739" t="s">
        <v>26</v>
      </c>
      <c r="J739" t="s">
        <v>752</v>
      </c>
      <c r="K739">
        <v>5</v>
      </c>
      <c r="L739" t="s">
        <v>21</v>
      </c>
      <c r="M739">
        <v>57</v>
      </c>
      <c r="N739" s="21">
        <f t="shared" si="22"/>
        <v>312.01</v>
      </c>
      <c r="O739" s="21">
        <f t="shared" si="23"/>
        <v>93.602999999999994</v>
      </c>
    </row>
    <row r="740" spans="1:15" x14ac:dyDescent="0.3">
      <c r="A740">
        <v>74178</v>
      </c>
      <c r="B740" s="1">
        <v>45639</v>
      </c>
      <c r="C740">
        <v>179</v>
      </c>
      <c r="D740">
        <v>10</v>
      </c>
      <c r="E740" t="s">
        <v>13</v>
      </c>
      <c r="F740" t="s">
        <v>42</v>
      </c>
      <c r="G740">
        <v>1</v>
      </c>
      <c r="H740" s="12">
        <v>20.84</v>
      </c>
      <c r="I740" t="s">
        <v>15</v>
      </c>
      <c r="J740" t="s">
        <v>851</v>
      </c>
      <c r="K740">
        <v>2</v>
      </c>
      <c r="L740" t="s">
        <v>21</v>
      </c>
      <c r="M740">
        <v>52</v>
      </c>
      <c r="N740" s="21">
        <f t="shared" si="22"/>
        <v>20.84</v>
      </c>
      <c r="O740" s="21">
        <f t="shared" si="23"/>
        <v>6.2519999999999998</v>
      </c>
    </row>
    <row r="741" spans="1:15" x14ac:dyDescent="0.3">
      <c r="A741">
        <v>74956</v>
      </c>
      <c r="B741" s="1">
        <v>45640</v>
      </c>
      <c r="C741">
        <v>204</v>
      </c>
      <c r="D741">
        <v>50</v>
      </c>
      <c r="E741" t="s">
        <v>18</v>
      </c>
      <c r="F741" t="s">
        <v>87</v>
      </c>
      <c r="G741">
        <v>5</v>
      </c>
      <c r="H741" s="12">
        <v>93.29</v>
      </c>
      <c r="I741" t="s">
        <v>15</v>
      </c>
      <c r="J741" t="s">
        <v>212</v>
      </c>
      <c r="K741">
        <v>5</v>
      </c>
      <c r="L741" t="s">
        <v>21</v>
      </c>
      <c r="M741">
        <v>58</v>
      </c>
      <c r="N741" s="21">
        <f t="shared" si="22"/>
        <v>466.45000000000005</v>
      </c>
      <c r="O741" s="21">
        <f t="shared" si="23"/>
        <v>139.935</v>
      </c>
    </row>
    <row r="742" spans="1:15" x14ac:dyDescent="0.3">
      <c r="A742">
        <v>44994</v>
      </c>
      <c r="B742" s="1">
        <v>45640</v>
      </c>
      <c r="C742">
        <v>879</v>
      </c>
      <c r="D742">
        <v>10</v>
      </c>
      <c r="E742" t="s">
        <v>13</v>
      </c>
      <c r="F742" t="s">
        <v>32</v>
      </c>
      <c r="G742">
        <v>5</v>
      </c>
      <c r="H742" s="12">
        <v>269.42</v>
      </c>
      <c r="I742" t="s">
        <v>35</v>
      </c>
      <c r="J742" t="s">
        <v>586</v>
      </c>
      <c r="K742">
        <v>5</v>
      </c>
      <c r="M742">
        <v>42</v>
      </c>
      <c r="N742" s="21">
        <f t="shared" si="22"/>
        <v>1347.1000000000001</v>
      </c>
      <c r="O742" s="21">
        <f t="shared" si="23"/>
        <v>404.13000000000005</v>
      </c>
    </row>
    <row r="743" spans="1:15" x14ac:dyDescent="0.3">
      <c r="A743">
        <v>68416</v>
      </c>
      <c r="B743" s="1">
        <v>45641</v>
      </c>
      <c r="C743">
        <v>311</v>
      </c>
      <c r="D743">
        <v>20</v>
      </c>
      <c r="E743" t="s">
        <v>28</v>
      </c>
      <c r="F743" t="s">
        <v>29</v>
      </c>
      <c r="G743">
        <v>5</v>
      </c>
      <c r="H743" s="12">
        <v>22.15</v>
      </c>
      <c r="I743" t="s">
        <v>35</v>
      </c>
      <c r="J743" t="s">
        <v>107</v>
      </c>
      <c r="K743">
        <v>5</v>
      </c>
      <c r="L743" t="s">
        <v>17</v>
      </c>
      <c r="M743">
        <v>44</v>
      </c>
      <c r="N743" s="21">
        <f t="shared" si="22"/>
        <v>110.75</v>
      </c>
      <c r="O743" s="21">
        <f t="shared" si="23"/>
        <v>33.225000000000001</v>
      </c>
    </row>
    <row r="744" spans="1:15" x14ac:dyDescent="0.3">
      <c r="A744">
        <v>13112</v>
      </c>
      <c r="B744" s="1">
        <v>45641</v>
      </c>
      <c r="C744">
        <v>202</v>
      </c>
      <c r="D744">
        <v>10</v>
      </c>
      <c r="E744" t="s">
        <v>13</v>
      </c>
      <c r="F744" t="s">
        <v>111</v>
      </c>
      <c r="G744">
        <v>2</v>
      </c>
      <c r="H744" s="12">
        <v>182.06</v>
      </c>
      <c r="I744" t="s">
        <v>35</v>
      </c>
      <c r="J744" t="s">
        <v>112</v>
      </c>
      <c r="K744">
        <v>3</v>
      </c>
      <c r="M744">
        <v>35</v>
      </c>
      <c r="N744" s="21">
        <f t="shared" si="22"/>
        <v>364.12</v>
      </c>
      <c r="O744" s="21">
        <f t="shared" si="23"/>
        <v>109.236</v>
      </c>
    </row>
    <row r="745" spans="1:15" x14ac:dyDescent="0.3">
      <c r="A745">
        <v>46326</v>
      </c>
      <c r="B745" s="1">
        <v>45641</v>
      </c>
      <c r="C745">
        <v>625</v>
      </c>
      <c r="D745">
        <v>10</v>
      </c>
      <c r="E745" t="s">
        <v>13</v>
      </c>
      <c r="F745" t="s">
        <v>111</v>
      </c>
      <c r="G745">
        <v>4</v>
      </c>
      <c r="H745" s="12">
        <v>427.65</v>
      </c>
      <c r="I745" t="s">
        <v>35</v>
      </c>
      <c r="J745" t="s">
        <v>207</v>
      </c>
      <c r="K745">
        <v>3</v>
      </c>
      <c r="L745" t="s">
        <v>21</v>
      </c>
      <c r="M745">
        <v>31</v>
      </c>
      <c r="N745" s="21">
        <f t="shared" si="22"/>
        <v>1710.6</v>
      </c>
      <c r="O745" s="21">
        <f t="shared" si="23"/>
        <v>513.17999999999995</v>
      </c>
    </row>
    <row r="746" spans="1:15" x14ac:dyDescent="0.3">
      <c r="A746">
        <v>82894</v>
      </c>
      <c r="B746" s="1">
        <v>45641</v>
      </c>
      <c r="C746">
        <v>585</v>
      </c>
      <c r="D746">
        <v>20</v>
      </c>
      <c r="E746" t="s">
        <v>28</v>
      </c>
      <c r="F746" t="s">
        <v>51</v>
      </c>
      <c r="G746">
        <v>1</v>
      </c>
      <c r="H746" s="12">
        <v>499.23</v>
      </c>
      <c r="I746" t="s">
        <v>26</v>
      </c>
      <c r="J746" t="s">
        <v>885</v>
      </c>
      <c r="K746">
        <v>5</v>
      </c>
      <c r="M746">
        <v>58</v>
      </c>
      <c r="N746" s="21">
        <f t="shared" si="22"/>
        <v>499.23</v>
      </c>
      <c r="O746" s="21">
        <f t="shared" si="23"/>
        <v>149.76900000000001</v>
      </c>
    </row>
    <row r="747" spans="1:15" x14ac:dyDescent="0.3">
      <c r="A747">
        <v>57419</v>
      </c>
      <c r="B747" s="1">
        <v>45641</v>
      </c>
      <c r="C747">
        <v>222</v>
      </c>
      <c r="D747">
        <v>10</v>
      </c>
      <c r="E747" t="s">
        <v>13</v>
      </c>
      <c r="F747" t="s">
        <v>32</v>
      </c>
      <c r="G747">
        <v>2</v>
      </c>
      <c r="H747" s="12">
        <v>423.22</v>
      </c>
      <c r="I747" t="s">
        <v>15</v>
      </c>
      <c r="J747" t="s">
        <v>957</v>
      </c>
      <c r="K747">
        <v>2</v>
      </c>
      <c r="L747" t="s">
        <v>21</v>
      </c>
      <c r="M747">
        <v>29</v>
      </c>
      <c r="N747" s="21">
        <f t="shared" si="22"/>
        <v>846.44</v>
      </c>
      <c r="O747" s="21">
        <f t="shared" si="23"/>
        <v>253.93200000000002</v>
      </c>
    </row>
    <row r="748" spans="1:15" x14ac:dyDescent="0.3">
      <c r="A748">
        <v>79928</v>
      </c>
      <c r="B748" s="1">
        <v>45642</v>
      </c>
      <c r="C748">
        <v>246</v>
      </c>
      <c r="D748">
        <v>20</v>
      </c>
      <c r="E748" t="s">
        <v>28</v>
      </c>
      <c r="F748" t="s">
        <v>72</v>
      </c>
      <c r="G748">
        <v>3</v>
      </c>
      <c r="H748" s="12">
        <v>30.61</v>
      </c>
      <c r="I748" t="s">
        <v>35</v>
      </c>
      <c r="J748" t="s">
        <v>384</v>
      </c>
      <c r="M748">
        <v>50</v>
      </c>
      <c r="N748" s="21">
        <f t="shared" si="22"/>
        <v>91.83</v>
      </c>
      <c r="O748" s="21">
        <f t="shared" si="23"/>
        <v>27.548999999999999</v>
      </c>
    </row>
    <row r="749" spans="1:15" x14ac:dyDescent="0.3">
      <c r="A749">
        <v>52647</v>
      </c>
      <c r="B749" s="1">
        <v>45642</v>
      </c>
      <c r="C749">
        <v>806</v>
      </c>
      <c r="D749">
        <v>50</v>
      </c>
      <c r="E749" t="s">
        <v>18</v>
      </c>
      <c r="F749" t="s">
        <v>22</v>
      </c>
      <c r="G749">
        <v>4</v>
      </c>
      <c r="H749" s="12">
        <v>433.77</v>
      </c>
      <c r="I749" t="s">
        <v>35</v>
      </c>
      <c r="J749" t="s">
        <v>719</v>
      </c>
      <c r="K749">
        <v>5</v>
      </c>
      <c r="L749" t="s">
        <v>21</v>
      </c>
      <c r="M749">
        <v>43</v>
      </c>
      <c r="N749" s="21">
        <f t="shared" si="22"/>
        <v>1735.08</v>
      </c>
      <c r="O749" s="21">
        <f t="shared" si="23"/>
        <v>520.524</v>
      </c>
    </row>
    <row r="750" spans="1:15" x14ac:dyDescent="0.3">
      <c r="A750">
        <v>68904</v>
      </c>
      <c r="B750" s="1">
        <v>45642</v>
      </c>
      <c r="C750">
        <v>957</v>
      </c>
      <c r="D750">
        <v>10</v>
      </c>
      <c r="E750" t="s">
        <v>13</v>
      </c>
      <c r="F750" t="s">
        <v>47</v>
      </c>
      <c r="G750">
        <v>4</v>
      </c>
      <c r="H750" s="12">
        <v>266.13</v>
      </c>
      <c r="I750" t="s">
        <v>35</v>
      </c>
      <c r="J750" t="s">
        <v>778</v>
      </c>
      <c r="K750">
        <v>5</v>
      </c>
      <c r="L750" t="s">
        <v>17</v>
      </c>
      <c r="M750">
        <v>25</v>
      </c>
      <c r="N750" s="21">
        <f t="shared" si="22"/>
        <v>1064.52</v>
      </c>
      <c r="O750" s="21">
        <f t="shared" si="23"/>
        <v>319.35599999999999</v>
      </c>
    </row>
    <row r="751" spans="1:15" x14ac:dyDescent="0.3">
      <c r="A751">
        <v>13542</v>
      </c>
      <c r="B751" s="1">
        <v>45643</v>
      </c>
      <c r="C751">
        <v>784</v>
      </c>
      <c r="D751">
        <v>10</v>
      </c>
      <c r="E751" t="s">
        <v>13</v>
      </c>
      <c r="F751" t="s">
        <v>14</v>
      </c>
      <c r="G751">
        <v>2</v>
      </c>
      <c r="H751" s="12">
        <v>373.36</v>
      </c>
      <c r="I751" t="s">
        <v>15</v>
      </c>
      <c r="J751" t="s">
        <v>16</v>
      </c>
      <c r="K751">
        <v>1</v>
      </c>
      <c r="L751" t="s">
        <v>17</v>
      </c>
      <c r="M751">
        <v>56</v>
      </c>
      <c r="N751" s="21">
        <f t="shared" si="22"/>
        <v>746.72</v>
      </c>
      <c r="O751" s="21">
        <f t="shared" si="23"/>
        <v>224.01599999999999</v>
      </c>
    </row>
    <row r="752" spans="1:15" x14ac:dyDescent="0.3">
      <c r="A752">
        <v>41394</v>
      </c>
      <c r="B752" s="1">
        <v>45643</v>
      </c>
      <c r="C752">
        <v>549</v>
      </c>
      <c r="D752">
        <v>30</v>
      </c>
      <c r="E752" t="s">
        <v>37</v>
      </c>
      <c r="F752" t="s">
        <v>38</v>
      </c>
      <c r="G752">
        <v>3</v>
      </c>
      <c r="H752" s="12">
        <v>429.11</v>
      </c>
      <c r="I752" t="s">
        <v>15</v>
      </c>
      <c r="J752" t="s">
        <v>39</v>
      </c>
      <c r="K752">
        <v>3</v>
      </c>
      <c r="L752" t="s">
        <v>17</v>
      </c>
      <c r="M752">
        <v>69</v>
      </c>
      <c r="N752" s="21">
        <f t="shared" si="22"/>
        <v>1287.33</v>
      </c>
      <c r="O752" s="21">
        <f t="shared" si="23"/>
        <v>386.19899999999996</v>
      </c>
    </row>
    <row r="753" spans="1:15" x14ac:dyDescent="0.3">
      <c r="A753">
        <v>76490</v>
      </c>
      <c r="B753" s="1">
        <v>45643</v>
      </c>
      <c r="C753">
        <v>362</v>
      </c>
      <c r="D753">
        <v>30</v>
      </c>
      <c r="E753" t="s">
        <v>37</v>
      </c>
      <c r="F753" t="s">
        <v>68</v>
      </c>
      <c r="G753">
        <v>5</v>
      </c>
      <c r="H753" s="12">
        <v>307.04000000000002</v>
      </c>
      <c r="I753" t="s">
        <v>35</v>
      </c>
      <c r="J753" t="s">
        <v>115</v>
      </c>
      <c r="L753" t="s">
        <v>17</v>
      </c>
      <c r="M753">
        <v>48</v>
      </c>
      <c r="N753" s="21">
        <f t="shared" si="22"/>
        <v>1535.2</v>
      </c>
      <c r="O753" s="21">
        <f t="shared" si="23"/>
        <v>460.56</v>
      </c>
    </row>
    <row r="754" spans="1:15" x14ac:dyDescent="0.3">
      <c r="A754">
        <v>81394</v>
      </c>
      <c r="B754" s="1">
        <v>45643</v>
      </c>
      <c r="C754">
        <v>110</v>
      </c>
      <c r="D754">
        <v>50</v>
      </c>
      <c r="E754" t="s">
        <v>18</v>
      </c>
      <c r="F754" t="s">
        <v>22</v>
      </c>
      <c r="G754">
        <v>3</v>
      </c>
      <c r="H754" s="12">
        <v>68.22</v>
      </c>
      <c r="I754" t="s">
        <v>15</v>
      </c>
      <c r="J754" t="s">
        <v>365</v>
      </c>
      <c r="K754">
        <v>3</v>
      </c>
      <c r="L754" t="s">
        <v>17</v>
      </c>
      <c r="M754">
        <v>52</v>
      </c>
      <c r="N754" s="21">
        <f t="shared" si="22"/>
        <v>204.66</v>
      </c>
      <c r="O754" s="21">
        <f t="shared" si="23"/>
        <v>61.397999999999996</v>
      </c>
    </row>
    <row r="755" spans="1:15" x14ac:dyDescent="0.3">
      <c r="A755">
        <v>53977</v>
      </c>
      <c r="B755" s="1">
        <v>45643</v>
      </c>
      <c r="C755">
        <v>125</v>
      </c>
      <c r="D755">
        <v>50</v>
      </c>
      <c r="E755" t="s">
        <v>18</v>
      </c>
      <c r="F755" t="s">
        <v>87</v>
      </c>
      <c r="G755">
        <v>1</v>
      </c>
      <c r="H755" s="12">
        <v>117.37</v>
      </c>
      <c r="I755" t="s">
        <v>15</v>
      </c>
      <c r="J755" t="s">
        <v>404</v>
      </c>
      <c r="K755">
        <v>4</v>
      </c>
      <c r="L755" t="s">
        <v>17</v>
      </c>
      <c r="M755">
        <v>43</v>
      </c>
      <c r="N755" s="21">
        <f t="shared" si="22"/>
        <v>117.37</v>
      </c>
      <c r="O755" s="21">
        <f t="shared" si="23"/>
        <v>35.210999999999999</v>
      </c>
    </row>
    <row r="756" spans="1:15" x14ac:dyDescent="0.3">
      <c r="A756">
        <v>20814</v>
      </c>
      <c r="B756" s="1">
        <v>45644</v>
      </c>
      <c r="C756">
        <v>914</v>
      </c>
      <c r="D756">
        <v>10</v>
      </c>
      <c r="E756" t="s">
        <v>13</v>
      </c>
      <c r="F756" t="s">
        <v>14</v>
      </c>
      <c r="G756">
        <v>4</v>
      </c>
      <c r="H756" s="12">
        <v>291.29000000000002</v>
      </c>
      <c r="I756" t="s">
        <v>26</v>
      </c>
      <c r="J756" t="s">
        <v>169</v>
      </c>
      <c r="K756">
        <v>4</v>
      </c>
      <c r="L756" t="s">
        <v>21</v>
      </c>
      <c r="M756">
        <v>65</v>
      </c>
      <c r="N756" s="21">
        <f t="shared" si="22"/>
        <v>1165.1600000000001</v>
      </c>
      <c r="O756" s="21">
        <f t="shared" si="23"/>
        <v>349.548</v>
      </c>
    </row>
    <row r="757" spans="1:15" x14ac:dyDescent="0.3">
      <c r="A757">
        <v>85365</v>
      </c>
      <c r="B757" s="1">
        <v>45644</v>
      </c>
      <c r="C757">
        <v>870</v>
      </c>
      <c r="D757">
        <v>20</v>
      </c>
      <c r="E757" t="s">
        <v>28</v>
      </c>
      <c r="F757" t="s">
        <v>29</v>
      </c>
      <c r="G757">
        <v>2</v>
      </c>
      <c r="H757" s="12">
        <v>158.05000000000001</v>
      </c>
      <c r="I757" t="s">
        <v>35</v>
      </c>
      <c r="J757" t="s">
        <v>647</v>
      </c>
      <c r="K757">
        <v>5</v>
      </c>
      <c r="L757" t="s">
        <v>21</v>
      </c>
      <c r="M757">
        <v>59</v>
      </c>
      <c r="N757" s="21">
        <f t="shared" si="22"/>
        <v>316.10000000000002</v>
      </c>
      <c r="O757" s="21">
        <f t="shared" si="23"/>
        <v>94.83</v>
      </c>
    </row>
    <row r="758" spans="1:15" x14ac:dyDescent="0.3">
      <c r="A758">
        <v>85771</v>
      </c>
      <c r="B758" s="1">
        <v>45644</v>
      </c>
      <c r="C758">
        <v>299</v>
      </c>
      <c r="D758">
        <v>10</v>
      </c>
      <c r="E758" t="s">
        <v>13</v>
      </c>
      <c r="F758" t="s">
        <v>42</v>
      </c>
      <c r="G758">
        <v>2</v>
      </c>
      <c r="H758" s="12">
        <v>336.34</v>
      </c>
      <c r="I758" t="s">
        <v>15</v>
      </c>
      <c r="J758" t="s">
        <v>858</v>
      </c>
      <c r="K758">
        <v>4</v>
      </c>
      <c r="L758" t="s">
        <v>17</v>
      </c>
      <c r="M758">
        <v>56</v>
      </c>
      <c r="N758" s="21">
        <f t="shared" si="22"/>
        <v>672.68</v>
      </c>
      <c r="O758" s="21">
        <f t="shared" si="23"/>
        <v>201.80399999999997</v>
      </c>
    </row>
    <row r="759" spans="1:15" x14ac:dyDescent="0.3">
      <c r="A759">
        <v>63100</v>
      </c>
      <c r="B759" s="1">
        <v>45644</v>
      </c>
      <c r="C759">
        <v>974</v>
      </c>
      <c r="D759">
        <v>10</v>
      </c>
      <c r="E759" t="s">
        <v>13</v>
      </c>
      <c r="F759" t="s">
        <v>32</v>
      </c>
      <c r="G759">
        <v>5</v>
      </c>
      <c r="H759" s="12">
        <v>410.6</v>
      </c>
      <c r="I759" t="s">
        <v>15</v>
      </c>
      <c r="J759" t="s">
        <v>995</v>
      </c>
      <c r="K759">
        <v>3</v>
      </c>
      <c r="L759" t="s">
        <v>17</v>
      </c>
      <c r="M759">
        <v>58</v>
      </c>
      <c r="N759" s="21">
        <f t="shared" si="22"/>
        <v>2053</v>
      </c>
      <c r="O759" s="21">
        <f t="shared" si="23"/>
        <v>615.9</v>
      </c>
    </row>
    <row r="760" spans="1:15" x14ac:dyDescent="0.3">
      <c r="A760">
        <v>99182</v>
      </c>
      <c r="B760" s="1">
        <v>45645</v>
      </c>
      <c r="C760">
        <v>395</v>
      </c>
      <c r="D760">
        <v>20</v>
      </c>
      <c r="E760" t="s">
        <v>28</v>
      </c>
      <c r="F760" t="s">
        <v>51</v>
      </c>
      <c r="G760">
        <v>3</v>
      </c>
      <c r="H760" s="12">
        <v>197.66</v>
      </c>
      <c r="I760" t="s">
        <v>26</v>
      </c>
      <c r="J760" t="s">
        <v>202</v>
      </c>
      <c r="L760" t="s">
        <v>17</v>
      </c>
      <c r="M760">
        <v>23</v>
      </c>
      <c r="N760" s="21">
        <f t="shared" si="22"/>
        <v>592.98</v>
      </c>
      <c r="O760" s="21">
        <f t="shared" si="23"/>
        <v>177.89400000000001</v>
      </c>
    </row>
    <row r="761" spans="1:15" x14ac:dyDescent="0.3">
      <c r="A761">
        <v>64425</v>
      </c>
      <c r="B761" s="1">
        <v>45645</v>
      </c>
      <c r="C761">
        <v>780</v>
      </c>
      <c r="D761">
        <v>50</v>
      </c>
      <c r="E761" t="s">
        <v>18</v>
      </c>
      <c r="F761" t="s">
        <v>19</v>
      </c>
      <c r="G761">
        <v>5</v>
      </c>
      <c r="H761" s="12">
        <v>203.93</v>
      </c>
      <c r="I761" t="s">
        <v>26</v>
      </c>
      <c r="J761" t="s">
        <v>274</v>
      </c>
      <c r="K761">
        <v>5</v>
      </c>
      <c r="L761" t="s">
        <v>21</v>
      </c>
      <c r="M761">
        <v>22</v>
      </c>
      <c r="N761" s="21">
        <f t="shared" si="22"/>
        <v>1019.6500000000001</v>
      </c>
      <c r="O761" s="21">
        <f t="shared" si="23"/>
        <v>305.89500000000004</v>
      </c>
    </row>
    <row r="762" spans="1:15" x14ac:dyDescent="0.3">
      <c r="A762">
        <v>90540</v>
      </c>
      <c r="B762" s="1">
        <v>45645</v>
      </c>
      <c r="C762">
        <v>259</v>
      </c>
      <c r="D762">
        <v>20</v>
      </c>
      <c r="E762" t="s">
        <v>28</v>
      </c>
      <c r="F762" t="s">
        <v>72</v>
      </c>
      <c r="G762">
        <v>4</v>
      </c>
      <c r="H762" s="12">
        <v>438.66</v>
      </c>
      <c r="I762" t="s">
        <v>15</v>
      </c>
      <c r="J762" t="s">
        <v>511</v>
      </c>
      <c r="K762">
        <v>4</v>
      </c>
      <c r="L762" t="s">
        <v>21</v>
      </c>
      <c r="M762">
        <v>49</v>
      </c>
      <c r="N762" s="21">
        <f t="shared" si="22"/>
        <v>1754.64</v>
      </c>
      <c r="O762" s="21">
        <f t="shared" si="23"/>
        <v>526.39200000000005</v>
      </c>
    </row>
    <row r="763" spans="1:15" x14ac:dyDescent="0.3">
      <c r="A763">
        <v>14046</v>
      </c>
      <c r="B763" s="1">
        <v>45645</v>
      </c>
      <c r="C763">
        <v>689</v>
      </c>
      <c r="D763">
        <v>20</v>
      </c>
      <c r="E763" t="s">
        <v>28</v>
      </c>
      <c r="F763" t="s">
        <v>77</v>
      </c>
      <c r="G763">
        <v>4</v>
      </c>
      <c r="H763" s="12">
        <v>125.91</v>
      </c>
      <c r="I763" t="s">
        <v>26</v>
      </c>
      <c r="J763" t="s">
        <v>589</v>
      </c>
      <c r="K763">
        <v>5</v>
      </c>
      <c r="L763" t="s">
        <v>17</v>
      </c>
      <c r="M763">
        <v>24</v>
      </c>
      <c r="N763" s="21">
        <f t="shared" si="22"/>
        <v>503.64</v>
      </c>
      <c r="O763" s="21">
        <f t="shared" si="23"/>
        <v>151.09199999999998</v>
      </c>
    </row>
    <row r="764" spans="1:15" x14ac:dyDescent="0.3">
      <c r="A764">
        <v>60063</v>
      </c>
      <c r="B764" s="1">
        <v>45645</v>
      </c>
      <c r="C764">
        <v>173</v>
      </c>
      <c r="D764">
        <v>50</v>
      </c>
      <c r="E764" t="s">
        <v>18</v>
      </c>
      <c r="F764" t="s">
        <v>87</v>
      </c>
      <c r="G764">
        <v>1</v>
      </c>
      <c r="H764" s="12">
        <v>432.67</v>
      </c>
      <c r="I764" t="s">
        <v>26</v>
      </c>
      <c r="J764" t="s">
        <v>923</v>
      </c>
      <c r="K764">
        <v>5</v>
      </c>
      <c r="L764" t="s">
        <v>17</v>
      </c>
      <c r="M764">
        <v>68</v>
      </c>
      <c r="N764" s="21">
        <f t="shared" si="22"/>
        <v>432.67</v>
      </c>
      <c r="O764" s="21">
        <f t="shared" si="23"/>
        <v>129.80099999999999</v>
      </c>
    </row>
    <row r="765" spans="1:15" x14ac:dyDescent="0.3">
      <c r="A765">
        <v>61650</v>
      </c>
      <c r="B765" s="1">
        <v>45645</v>
      </c>
      <c r="C765">
        <v>804</v>
      </c>
      <c r="D765">
        <v>10</v>
      </c>
      <c r="E765" t="s">
        <v>13</v>
      </c>
      <c r="F765" t="s">
        <v>14</v>
      </c>
      <c r="G765">
        <v>2</v>
      </c>
      <c r="H765" s="12">
        <v>197.96</v>
      </c>
      <c r="I765" t="s">
        <v>15</v>
      </c>
      <c r="J765" t="s">
        <v>987</v>
      </c>
      <c r="K765">
        <v>4</v>
      </c>
      <c r="L765" t="s">
        <v>21</v>
      </c>
      <c r="M765">
        <v>29</v>
      </c>
      <c r="N765" s="21">
        <f t="shared" si="22"/>
        <v>395.92</v>
      </c>
      <c r="O765" s="21">
        <f t="shared" si="23"/>
        <v>118.776</v>
      </c>
    </row>
    <row r="766" spans="1:15" x14ac:dyDescent="0.3">
      <c r="A766">
        <v>76076</v>
      </c>
      <c r="B766" s="1">
        <v>45646</v>
      </c>
      <c r="C766">
        <v>184</v>
      </c>
      <c r="D766">
        <v>10</v>
      </c>
      <c r="E766" t="s">
        <v>13</v>
      </c>
      <c r="F766" t="s">
        <v>47</v>
      </c>
      <c r="G766">
        <v>4</v>
      </c>
      <c r="H766" s="12">
        <v>457.54</v>
      </c>
      <c r="I766" t="s">
        <v>26</v>
      </c>
      <c r="J766" t="s">
        <v>975</v>
      </c>
      <c r="K766">
        <v>4</v>
      </c>
      <c r="L766" t="s">
        <v>17</v>
      </c>
      <c r="M766">
        <v>29</v>
      </c>
      <c r="N766" s="21">
        <f t="shared" si="22"/>
        <v>1830.16</v>
      </c>
      <c r="O766" s="21">
        <f t="shared" si="23"/>
        <v>549.048</v>
      </c>
    </row>
    <row r="767" spans="1:15" x14ac:dyDescent="0.3">
      <c r="A767">
        <v>20025</v>
      </c>
      <c r="B767" s="1">
        <v>45647</v>
      </c>
      <c r="C767">
        <v>681</v>
      </c>
      <c r="D767">
        <v>50</v>
      </c>
      <c r="E767" t="s">
        <v>18</v>
      </c>
      <c r="F767" t="s">
        <v>34</v>
      </c>
      <c r="G767">
        <v>2</v>
      </c>
      <c r="H767" s="12">
        <v>68.510000000000005</v>
      </c>
      <c r="I767" t="s">
        <v>35</v>
      </c>
      <c r="J767" t="s">
        <v>555</v>
      </c>
      <c r="K767">
        <v>5</v>
      </c>
      <c r="L767" t="s">
        <v>21</v>
      </c>
      <c r="M767">
        <v>60</v>
      </c>
      <c r="N767" s="21">
        <f t="shared" si="22"/>
        <v>137.02000000000001</v>
      </c>
      <c r="O767" s="21">
        <f t="shared" si="23"/>
        <v>41.106000000000002</v>
      </c>
    </row>
    <row r="768" spans="1:15" x14ac:dyDescent="0.3">
      <c r="A768">
        <v>53649</v>
      </c>
      <c r="B768" s="1">
        <v>45648</v>
      </c>
      <c r="C768">
        <v>742</v>
      </c>
      <c r="D768">
        <v>50</v>
      </c>
      <c r="E768" t="s">
        <v>18</v>
      </c>
      <c r="F768" t="s">
        <v>34</v>
      </c>
      <c r="G768">
        <v>1</v>
      </c>
      <c r="H768" s="12">
        <v>329.05</v>
      </c>
      <c r="I768" t="s">
        <v>35</v>
      </c>
      <c r="J768" t="s">
        <v>351</v>
      </c>
      <c r="K768">
        <v>4</v>
      </c>
      <c r="L768" t="s">
        <v>17</v>
      </c>
      <c r="M768">
        <v>56</v>
      </c>
      <c r="N768" s="21">
        <f t="shared" si="22"/>
        <v>329.05</v>
      </c>
      <c r="O768" s="21">
        <f t="shared" si="23"/>
        <v>98.715000000000003</v>
      </c>
    </row>
    <row r="769" spans="1:15" x14ac:dyDescent="0.3">
      <c r="A769">
        <v>36989</v>
      </c>
      <c r="B769" s="1">
        <v>45648</v>
      </c>
      <c r="C769">
        <v>639</v>
      </c>
      <c r="D769">
        <v>10</v>
      </c>
      <c r="E769" t="s">
        <v>13</v>
      </c>
      <c r="F769" t="s">
        <v>42</v>
      </c>
      <c r="G769">
        <v>3</v>
      </c>
      <c r="H769" s="12">
        <v>185.56</v>
      </c>
      <c r="I769" t="s">
        <v>15</v>
      </c>
      <c r="J769" t="s">
        <v>569</v>
      </c>
      <c r="K769">
        <v>4</v>
      </c>
      <c r="L769" t="s">
        <v>17</v>
      </c>
      <c r="M769">
        <v>48</v>
      </c>
      <c r="N769" s="21">
        <f t="shared" si="22"/>
        <v>556.68000000000006</v>
      </c>
      <c r="O769" s="21">
        <f t="shared" si="23"/>
        <v>167.00400000000002</v>
      </c>
    </row>
    <row r="770" spans="1:15" x14ac:dyDescent="0.3">
      <c r="A770">
        <v>14520</v>
      </c>
      <c r="B770" s="1">
        <v>45648</v>
      </c>
      <c r="C770">
        <v>222</v>
      </c>
      <c r="D770">
        <v>30</v>
      </c>
      <c r="E770" t="s">
        <v>37</v>
      </c>
      <c r="F770" t="s">
        <v>40</v>
      </c>
      <c r="G770">
        <v>3</v>
      </c>
      <c r="H770" s="12">
        <v>372.61</v>
      </c>
      <c r="I770" t="s">
        <v>15</v>
      </c>
      <c r="J770" t="s">
        <v>909</v>
      </c>
      <c r="K770">
        <v>1</v>
      </c>
      <c r="L770" t="s">
        <v>17</v>
      </c>
      <c r="M770">
        <v>69</v>
      </c>
      <c r="N770" s="21">
        <f t="shared" si="22"/>
        <v>1117.83</v>
      </c>
      <c r="O770" s="21">
        <f t="shared" si="23"/>
        <v>335.34899999999999</v>
      </c>
    </row>
    <row r="771" spans="1:15" x14ac:dyDescent="0.3">
      <c r="A771">
        <v>44020</v>
      </c>
      <c r="B771" s="1">
        <v>45649</v>
      </c>
      <c r="C771">
        <v>798</v>
      </c>
      <c r="D771">
        <v>10</v>
      </c>
      <c r="E771" t="s">
        <v>13</v>
      </c>
      <c r="F771" t="s">
        <v>47</v>
      </c>
      <c r="G771">
        <v>5</v>
      </c>
      <c r="H771" s="12">
        <v>164.62</v>
      </c>
      <c r="I771" t="s">
        <v>35</v>
      </c>
      <c r="J771" t="s">
        <v>164</v>
      </c>
      <c r="K771">
        <v>4</v>
      </c>
      <c r="L771" t="s">
        <v>17</v>
      </c>
      <c r="M771">
        <v>62</v>
      </c>
      <c r="N771" s="21">
        <f t="shared" ref="N771:N834" si="24">H771*G771</f>
        <v>823.1</v>
      </c>
      <c r="O771" s="21">
        <f t="shared" ref="O771:O834" si="25">N771*0.3</f>
        <v>246.93</v>
      </c>
    </row>
    <row r="772" spans="1:15" x14ac:dyDescent="0.3">
      <c r="A772">
        <v>81512</v>
      </c>
      <c r="B772" s="1">
        <v>45649</v>
      </c>
      <c r="C772">
        <v>976</v>
      </c>
      <c r="D772">
        <v>50</v>
      </c>
      <c r="E772" t="s">
        <v>18</v>
      </c>
      <c r="F772" t="s">
        <v>19</v>
      </c>
      <c r="G772">
        <v>3</v>
      </c>
      <c r="H772" s="12">
        <v>76.44</v>
      </c>
      <c r="I772" t="s">
        <v>26</v>
      </c>
      <c r="J772" t="s">
        <v>516</v>
      </c>
      <c r="K772">
        <v>5</v>
      </c>
      <c r="M772">
        <v>49</v>
      </c>
      <c r="N772" s="21">
        <f t="shared" si="24"/>
        <v>229.32</v>
      </c>
      <c r="O772" s="21">
        <f t="shared" si="25"/>
        <v>68.795999999999992</v>
      </c>
    </row>
    <row r="773" spans="1:15" x14ac:dyDescent="0.3">
      <c r="A773">
        <v>21745</v>
      </c>
      <c r="B773" s="1">
        <v>45649</v>
      </c>
      <c r="C773">
        <v>560</v>
      </c>
      <c r="D773">
        <v>40</v>
      </c>
      <c r="E773" t="s">
        <v>24</v>
      </c>
      <c r="F773" t="s">
        <v>44</v>
      </c>
      <c r="G773">
        <v>5</v>
      </c>
      <c r="H773" s="12">
        <v>124.91</v>
      </c>
      <c r="I773" t="s">
        <v>15</v>
      </c>
      <c r="J773" t="s">
        <v>681</v>
      </c>
      <c r="K773">
        <v>5</v>
      </c>
      <c r="M773">
        <v>54</v>
      </c>
      <c r="N773" s="21">
        <f t="shared" si="24"/>
        <v>624.54999999999995</v>
      </c>
      <c r="O773" s="21">
        <f t="shared" si="25"/>
        <v>187.36499999999998</v>
      </c>
    </row>
    <row r="774" spans="1:15" x14ac:dyDescent="0.3">
      <c r="A774">
        <v>11645</v>
      </c>
      <c r="B774" s="1">
        <v>45649</v>
      </c>
      <c r="C774">
        <v>642</v>
      </c>
      <c r="D774">
        <v>20</v>
      </c>
      <c r="E774" t="s">
        <v>28</v>
      </c>
      <c r="F774" t="s">
        <v>79</v>
      </c>
      <c r="G774">
        <v>5</v>
      </c>
      <c r="H774" s="12">
        <v>367.65</v>
      </c>
      <c r="I774" t="s">
        <v>35</v>
      </c>
      <c r="J774" t="s">
        <v>920</v>
      </c>
      <c r="K774">
        <v>5</v>
      </c>
      <c r="L774" t="s">
        <v>17</v>
      </c>
      <c r="M774">
        <v>65</v>
      </c>
      <c r="N774" s="21">
        <f t="shared" si="24"/>
        <v>1838.25</v>
      </c>
      <c r="O774" s="21">
        <f t="shared" si="25"/>
        <v>551.47500000000002</v>
      </c>
    </row>
    <row r="775" spans="1:15" x14ac:dyDescent="0.3">
      <c r="A775">
        <v>69719</v>
      </c>
      <c r="B775" s="1">
        <v>45650</v>
      </c>
      <c r="C775">
        <v>941</v>
      </c>
      <c r="D775">
        <v>10</v>
      </c>
      <c r="E775" t="s">
        <v>13</v>
      </c>
      <c r="F775" t="s">
        <v>14</v>
      </c>
      <c r="G775">
        <v>2</v>
      </c>
      <c r="H775" s="12">
        <v>344.04</v>
      </c>
      <c r="I775" t="s">
        <v>35</v>
      </c>
      <c r="J775" t="s">
        <v>56</v>
      </c>
      <c r="K775">
        <v>5</v>
      </c>
      <c r="L775" t="s">
        <v>17</v>
      </c>
      <c r="M775">
        <v>29</v>
      </c>
      <c r="N775" s="21">
        <f t="shared" si="24"/>
        <v>688.08</v>
      </c>
      <c r="O775" s="21">
        <f t="shared" si="25"/>
        <v>206.42400000000001</v>
      </c>
    </row>
    <row r="776" spans="1:15" x14ac:dyDescent="0.3">
      <c r="A776">
        <v>33743</v>
      </c>
      <c r="B776" s="1">
        <v>45650</v>
      </c>
      <c r="C776">
        <v>405</v>
      </c>
      <c r="D776">
        <v>50</v>
      </c>
      <c r="E776" t="s">
        <v>18</v>
      </c>
      <c r="F776" t="s">
        <v>87</v>
      </c>
      <c r="G776">
        <v>3</v>
      </c>
      <c r="H776" s="12">
        <v>405.54</v>
      </c>
      <c r="I776" t="s">
        <v>35</v>
      </c>
      <c r="J776" t="s">
        <v>257</v>
      </c>
      <c r="K776">
        <v>5</v>
      </c>
      <c r="L776" t="s">
        <v>17</v>
      </c>
      <c r="M776">
        <v>64</v>
      </c>
      <c r="N776" s="21">
        <f t="shared" si="24"/>
        <v>1216.6200000000001</v>
      </c>
      <c r="O776" s="21">
        <f t="shared" si="25"/>
        <v>364.98600000000005</v>
      </c>
    </row>
    <row r="777" spans="1:15" x14ac:dyDescent="0.3">
      <c r="A777">
        <v>63024</v>
      </c>
      <c r="B777" s="1">
        <v>45650</v>
      </c>
      <c r="C777">
        <v>990</v>
      </c>
      <c r="D777">
        <v>30</v>
      </c>
      <c r="E777" t="s">
        <v>37</v>
      </c>
      <c r="F777" t="s">
        <v>40</v>
      </c>
      <c r="G777">
        <v>3</v>
      </c>
      <c r="H777" s="12">
        <v>480.65</v>
      </c>
      <c r="I777" t="s">
        <v>15</v>
      </c>
      <c r="J777" t="s">
        <v>334</v>
      </c>
      <c r="K777">
        <v>5</v>
      </c>
      <c r="L777" t="s">
        <v>17</v>
      </c>
      <c r="M777">
        <v>73</v>
      </c>
      <c r="N777" s="21">
        <f t="shared" si="24"/>
        <v>1441.9499999999998</v>
      </c>
      <c r="O777" s="21">
        <f t="shared" si="25"/>
        <v>432.58499999999992</v>
      </c>
    </row>
    <row r="778" spans="1:15" x14ac:dyDescent="0.3">
      <c r="A778">
        <v>84629</v>
      </c>
      <c r="B778" s="1">
        <v>45650</v>
      </c>
      <c r="C778">
        <v>246</v>
      </c>
      <c r="D778">
        <v>30</v>
      </c>
      <c r="E778" t="s">
        <v>37</v>
      </c>
      <c r="F778" t="s">
        <v>38</v>
      </c>
      <c r="G778">
        <v>4</v>
      </c>
      <c r="H778" s="12">
        <v>320.72000000000003</v>
      </c>
      <c r="I778" t="s">
        <v>26</v>
      </c>
      <c r="J778" t="s">
        <v>462</v>
      </c>
      <c r="K778">
        <v>4</v>
      </c>
      <c r="L778" t="s">
        <v>21</v>
      </c>
      <c r="M778">
        <v>75</v>
      </c>
      <c r="N778" s="21">
        <f t="shared" si="24"/>
        <v>1282.8800000000001</v>
      </c>
      <c r="O778" s="21">
        <f t="shared" si="25"/>
        <v>384.86400000000003</v>
      </c>
    </row>
    <row r="779" spans="1:15" x14ac:dyDescent="0.3">
      <c r="A779">
        <v>30444</v>
      </c>
      <c r="B779" s="1">
        <v>45650</v>
      </c>
      <c r="C779">
        <v>651</v>
      </c>
      <c r="D779">
        <v>30</v>
      </c>
      <c r="E779" t="s">
        <v>37</v>
      </c>
      <c r="F779" t="s">
        <v>68</v>
      </c>
      <c r="G779">
        <v>4</v>
      </c>
      <c r="H779" s="12">
        <v>61.91</v>
      </c>
      <c r="I779" t="s">
        <v>15</v>
      </c>
      <c r="J779" t="s">
        <v>485</v>
      </c>
      <c r="K779">
        <v>2</v>
      </c>
      <c r="L779" t="s">
        <v>17</v>
      </c>
      <c r="M779">
        <v>38</v>
      </c>
      <c r="N779" s="21">
        <f t="shared" si="24"/>
        <v>247.64</v>
      </c>
      <c r="O779" s="21">
        <f t="shared" si="25"/>
        <v>74.291999999999987</v>
      </c>
    </row>
    <row r="780" spans="1:15" x14ac:dyDescent="0.3">
      <c r="A780">
        <v>62824</v>
      </c>
      <c r="B780" s="1">
        <v>45651</v>
      </c>
      <c r="C780">
        <v>629</v>
      </c>
      <c r="D780">
        <v>30</v>
      </c>
      <c r="E780" t="s">
        <v>37</v>
      </c>
      <c r="F780" t="s">
        <v>40</v>
      </c>
      <c r="G780">
        <v>5</v>
      </c>
      <c r="H780" s="12">
        <v>321.94</v>
      </c>
      <c r="I780" t="s">
        <v>35</v>
      </c>
      <c r="J780" t="s">
        <v>220</v>
      </c>
      <c r="K780">
        <v>2</v>
      </c>
      <c r="L780" t="s">
        <v>17</v>
      </c>
      <c r="M780">
        <v>63</v>
      </c>
      <c r="N780" s="21">
        <f t="shared" si="24"/>
        <v>1609.7</v>
      </c>
      <c r="O780" s="21">
        <f t="shared" si="25"/>
        <v>482.90999999999997</v>
      </c>
    </row>
    <row r="781" spans="1:15" x14ac:dyDescent="0.3">
      <c r="A781">
        <v>15824</v>
      </c>
      <c r="B781" s="1">
        <v>45651</v>
      </c>
      <c r="C781">
        <v>119</v>
      </c>
      <c r="D781">
        <v>10</v>
      </c>
      <c r="E781" t="s">
        <v>13</v>
      </c>
      <c r="F781" t="s">
        <v>47</v>
      </c>
      <c r="G781">
        <v>2</v>
      </c>
      <c r="H781" s="12">
        <v>256.91000000000003</v>
      </c>
      <c r="I781" t="s">
        <v>26</v>
      </c>
      <c r="J781" t="s">
        <v>423</v>
      </c>
      <c r="K781">
        <v>1</v>
      </c>
      <c r="M781">
        <v>58</v>
      </c>
      <c r="N781" s="21">
        <f t="shared" si="24"/>
        <v>513.82000000000005</v>
      </c>
      <c r="O781" s="21">
        <f t="shared" si="25"/>
        <v>154.14600000000002</v>
      </c>
    </row>
    <row r="782" spans="1:15" x14ac:dyDescent="0.3">
      <c r="A782">
        <v>49580</v>
      </c>
      <c r="B782" s="1">
        <v>45651</v>
      </c>
      <c r="C782">
        <v>828</v>
      </c>
      <c r="D782">
        <v>40</v>
      </c>
      <c r="E782" t="s">
        <v>24</v>
      </c>
      <c r="F782" t="s">
        <v>65</v>
      </c>
      <c r="G782">
        <v>1</v>
      </c>
      <c r="H782" s="12">
        <v>373.83</v>
      </c>
      <c r="I782" t="s">
        <v>26</v>
      </c>
      <c r="J782" t="s">
        <v>508</v>
      </c>
      <c r="K782">
        <v>4</v>
      </c>
      <c r="L782" t="s">
        <v>21</v>
      </c>
      <c r="M782">
        <v>30</v>
      </c>
      <c r="N782" s="21">
        <f t="shared" si="24"/>
        <v>373.83</v>
      </c>
      <c r="O782" s="21">
        <f t="shared" si="25"/>
        <v>112.14899999999999</v>
      </c>
    </row>
    <row r="783" spans="1:15" x14ac:dyDescent="0.3">
      <c r="A783">
        <v>73507</v>
      </c>
      <c r="B783" s="1">
        <v>45651</v>
      </c>
      <c r="C783">
        <v>133</v>
      </c>
      <c r="D783">
        <v>20</v>
      </c>
      <c r="E783" t="s">
        <v>28</v>
      </c>
      <c r="F783" t="s">
        <v>79</v>
      </c>
      <c r="G783">
        <v>4</v>
      </c>
      <c r="H783" s="12">
        <v>54.68</v>
      </c>
      <c r="I783" t="s">
        <v>35</v>
      </c>
      <c r="J783" t="s">
        <v>944</v>
      </c>
      <c r="K783">
        <v>4</v>
      </c>
      <c r="L783" t="s">
        <v>21</v>
      </c>
      <c r="M783">
        <v>74</v>
      </c>
      <c r="N783" s="21">
        <f t="shared" si="24"/>
        <v>218.72</v>
      </c>
      <c r="O783" s="21">
        <f t="shared" si="25"/>
        <v>65.616</v>
      </c>
    </row>
    <row r="784" spans="1:15" x14ac:dyDescent="0.3">
      <c r="A784">
        <v>39027</v>
      </c>
      <c r="B784" s="1">
        <v>45652</v>
      </c>
      <c r="C784">
        <v>757</v>
      </c>
      <c r="D784">
        <v>30</v>
      </c>
      <c r="E784" t="s">
        <v>37</v>
      </c>
      <c r="F784" t="s">
        <v>58</v>
      </c>
      <c r="G784">
        <v>1</v>
      </c>
      <c r="H784" s="12">
        <v>274.58999999999997</v>
      </c>
      <c r="I784" t="s">
        <v>26</v>
      </c>
      <c r="J784" t="s">
        <v>182</v>
      </c>
      <c r="L784" t="s">
        <v>21</v>
      </c>
      <c r="M784">
        <v>23</v>
      </c>
      <c r="N784" s="21">
        <f t="shared" si="24"/>
        <v>274.58999999999997</v>
      </c>
      <c r="O784" s="21">
        <f t="shared" si="25"/>
        <v>82.376999999999995</v>
      </c>
    </row>
    <row r="785" spans="1:15" x14ac:dyDescent="0.3">
      <c r="A785">
        <v>80835</v>
      </c>
      <c r="B785" s="1">
        <v>45652</v>
      </c>
      <c r="C785">
        <v>114</v>
      </c>
      <c r="D785">
        <v>20</v>
      </c>
      <c r="E785" t="s">
        <v>28</v>
      </c>
      <c r="F785" t="s">
        <v>79</v>
      </c>
      <c r="G785">
        <v>3</v>
      </c>
      <c r="H785" s="12">
        <v>240.05</v>
      </c>
      <c r="I785" t="s">
        <v>26</v>
      </c>
      <c r="J785" t="s">
        <v>206</v>
      </c>
      <c r="K785">
        <v>3</v>
      </c>
      <c r="L785" t="s">
        <v>17</v>
      </c>
      <c r="M785">
        <v>40</v>
      </c>
      <c r="N785" s="21">
        <f t="shared" si="24"/>
        <v>720.15000000000009</v>
      </c>
      <c r="O785" s="21">
        <f t="shared" si="25"/>
        <v>216.04500000000002</v>
      </c>
    </row>
    <row r="786" spans="1:15" x14ac:dyDescent="0.3">
      <c r="A786">
        <v>72727</v>
      </c>
      <c r="B786" s="1">
        <v>45652</v>
      </c>
      <c r="C786">
        <v>773</v>
      </c>
      <c r="D786">
        <v>20</v>
      </c>
      <c r="E786" t="s">
        <v>28</v>
      </c>
      <c r="F786" t="s">
        <v>51</v>
      </c>
      <c r="G786">
        <v>3</v>
      </c>
      <c r="H786" s="12">
        <v>153.94999999999999</v>
      </c>
      <c r="I786" t="s">
        <v>15</v>
      </c>
      <c r="J786" t="s">
        <v>326</v>
      </c>
      <c r="L786" t="s">
        <v>17</v>
      </c>
      <c r="M786">
        <v>42</v>
      </c>
      <c r="N786" s="21">
        <f t="shared" si="24"/>
        <v>461.84999999999997</v>
      </c>
      <c r="O786" s="21">
        <f t="shared" si="25"/>
        <v>138.55499999999998</v>
      </c>
    </row>
    <row r="787" spans="1:15" x14ac:dyDescent="0.3">
      <c r="A787">
        <v>17305</v>
      </c>
      <c r="B787" s="1">
        <v>45652</v>
      </c>
      <c r="C787">
        <v>914</v>
      </c>
      <c r="D787">
        <v>20</v>
      </c>
      <c r="E787" t="s">
        <v>28</v>
      </c>
      <c r="F787" t="s">
        <v>77</v>
      </c>
      <c r="G787">
        <v>5</v>
      </c>
      <c r="H787" s="12">
        <v>104.05</v>
      </c>
      <c r="I787" t="s">
        <v>35</v>
      </c>
      <c r="J787" t="s">
        <v>450</v>
      </c>
      <c r="K787">
        <v>2</v>
      </c>
      <c r="L787" t="s">
        <v>21</v>
      </c>
      <c r="M787">
        <v>28</v>
      </c>
      <c r="N787" s="21">
        <f t="shared" si="24"/>
        <v>520.25</v>
      </c>
      <c r="O787" s="21">
        <f t="shared" si="25"/>
        <v>156.07499999999999</v>
      </c>
    </row>
    <row r="788" spans="1:15" x14ac:dyDescent="0.3">
      <c r="A788">
        <v>54917</v>
      </c>
      <c r="B788" s="1">
        <v>45652</v>
      </c>
      <c r="C788">
        <v>405</v>
      </c>
      <c r="D788">
        <v>20</v>
      </c>
      <c r="E788" t="s">
        <v>28</v>
      </c>
      <c r="F788" t="s">
        <v>77</v>
      </c>
      <c r="G788">
        <v>4</v>
      </c>
      <c r="H788" s="12">
        <v>157.24</v>
      </c>
      <c r="I788" t="s">
        <v>35</v>
      </c>
      <c r="J788" t="s">
        <v>634</v>
      </c>
      <c r="K788">
        <v>4</v>
      </c>
      <c r="L788" t="s">
        <v>17</v>
      </c>
      <c r="M788">
        <v>62</v>
      </c>
      <c r="N788" s="21">
        <f t="shared" si="24"/>
        <v>628.96</v>
      </c>
      <c r="O788" s="21">
        <f t="shared" si="25"/>
        <v>188.68800000000002</v>
      </c>
    </row>
    <row r="789" spans="1:15" x14ac:dyDescent="0.3">
      <c r="A789">
        <v>27123</v>
      </c>
      <c r="B789" s="1">
        <v>45653</v>
      </c>
      <c r="C789">
        <v>144</v>
      </c>
      <c r="D789">
        <v>20</v>
      </c>
      <c r="E789" t="s">
        <v>28</v>
      </c>
      <c r="F789" t="s">
        <v>72</v>
      </c>
      <c r="G789">
        <v>3</v>
      </c>
      <c r="H789" s="12">
        <v>162.69999999999999</v>
      </c>
      <c r="I789" t="s">
        <v>26</v>
      </c>
      <c r="J789" t="s">
        <v>262</v>
      </c>
      <c r="K789">
        <v>5</v>
      </c>
      <c r="L789" t="s">
        <v>17</v>
      </c>
      <c r="M789">
        <v>18</v>
      </c>
      <c r="N789" s="21">
        <f t="shared" si="24"/>
        <v>488.09999999999997</v>
      </c>
      <c r="O789" s="21">
        <f t="shared" si="25"/>
        <v>146.42999999999998</v>
      </c>
    </row>
    <row r="790" spans="1:15" x14ac:dyDescent="0.3">
      <c r="A790">
        <v>56589</v>
      </c>
      <c r="B790" s="1">
        <v>45653</v>
      </c>
      <c r="C790">
        <v>969</v>
      </c>
      <c r="D790">
        <v>20</v>
      </c>
      <c r="E790" t="s">
        <v>28</v>
      </c>
      <c r="F790" t="s">
        <v>51</v>
      </c>
      <c r="G790">
        <v>1</v>
      </c>
      <c r="H790" s="12">
        <v>275.82</v>
      </c>
      <c r="I790" t="s">
        <v>35</v>
      </c>
      <c r="J790" t="s">
        <v>715</v>
      </c>
      <c r="K790">
        <v>3</v>
      </c>
      <c r="L790" t="s">
        <v>21</v>
      </c>
      <c r="M790">
        <v>18</v>
      </c>
      <c r="N790" s="21">
        <f t="shared" si="24"/>
        <v>275.82</v>
      </c>
      <c r="O790" s="21">
        <f t="shared" si="25"/>
        <v>82.745999999999995</v>
      </c>
    </row>
    <row r="791" spans="1:15" x14ac:dyDescent="0.3">
      <c r="A791">
        <v>13356</v>
      </c>
      <c r="B791" s="1">
        <v>45653</v>
      </c>
      <c r="C791">
        <v>232</v>
      </c>
      <c r="D791">
        <v>50</v>
      </c>
      <c r="E791" t="s">
        <v>18</v>
      </c>
      <c r="F791" t="s">
        <v>87</v>
      </c>
      <c r="G791">
        <v>5</v>
      </c>
      <c r="H791" s="12">
        <v>408.95</v>
      </c>
      <c r="I791" t="s">
        <v>35</v>
      </c>
      <c r="J791" t="s">
        <v>819</v>
      </c>
      <c r="K791">
        <v>2</v>
      </c>
      <c r="L791" t="s">
        <v>21</v>
      </c>
      <c r="M791">
        <v>38</v>
      </c>
      <c r="N791" s="21">
        <f t="shared" si="24"/>
        <v>2044.75</v>
      </c>
      <c r="O791" s="21">
        <f t="shared" si="25"/>
        <v>613.42499999999995</v>
      </c>
    </row>
    <row r="792" spans="1:15" x14ac:dyDescent="0.3">
      <c r="A792">
        <v>43115</v>
      </c>
      <c r="B792" s="1">
        <v>45654</v>
      </c>
      <c r="C792">
        <v>144</v>
      </c>
      <c r="D792">
        <v>50</v>
      </c>
      <c r="E792" t="s">
        <v>18</v>
      </c>
      <c r="F792" t="s">
        <v>19</v>
      </c>
      <c r="G792">
        <v>3</v>
      </c>
      <c r="H792" s="12">
        <v>201.32</v>
      </c>
      <c r="I792" t="s">
        <v>26</v>
      </c>
      <c r="J792" t="s">
        <v>316</v>
      </c>
      <c r="L792" t="s">
        <v>21</v>
      </c>
      <c r="M792">
        <v>65</v>
      </c>
      <c r="N792" s="21">
        <f t="shared" si="24"/>
        <v>603.96</v>
      </c>
      <c r="O792" s="21">
        <f t="shared" si="25"/>
        <v>181.18800000000002</v>
      </c>
    </row>
    <row r="793" spans="1:15" x14ac:dyDescent="0.3">
      <c r="A793">
        <v>99923</v>
      </c>
      <c r="B793" s="1">
        <v>45654</v>
      </c>
      <c r="C793">
        <v>145</v>
      </c>
      <c r="D793">
        <v>20</v>
      </c>
      <c r="E793" t="s">
        <v>28</v>
      </c>
      <c r="F793" t="s">
        <v>79</v>
      </c>
      <c r="G793">
        <v>3</v>
      </c>
      <c r="H793" s="12">
        <v>164.64</v>
      </c>
      <c r="I793" t="s">
        <v>26</v>
      </c>
      <c r="J793" t="s">
        <v>321</v>
      </c>
      <c r="K793">
        <v>4</v>
      </c>
      <c r="M793">
        <v>66</v>
      </c>
      <c r="N793" s="21">
        <f t="shared" si="24"/>
        <v>493.91999999999996</v>
      </c>
      <c r="O793" s="21">
        <f t="shared" si="25"/>
        <v>148.17599999999999</v>
      </c>
    </row>
    <row r="794" spans="1:15" x14ac:dyDescent="0.3">
      <c r="A794">
        <v>94597</v>
      </c>
      <c r="B794" s="1">
        <v>45654</v>
      </c>
      <c r="C794">
        <v>241</v>
      </c>
      <c r="D794">
        <v>10</v>
      </c>
      <c r="E794" t="s">
        <v>13</v>
      </c>
      <c r="F794" t="s">
        <v>111</v>
      </c>
      <c r="G794">
        <v>2</v>
      </c>
      <c r="H794" s="12">
        <v>302.58999999999997</v>
      </c>
      <c r="I794" t="s">
        <v>15</v>
      </c>
      <c r="J794" t="s">
        <v>585</v>
      </c>
      <c r="K794">
        <v>5</v>
      </c>
      <c r="L794" t="s">
        <v>17</v>
      </c>
      <c r="M794">
        <v>28</v>
      </c>
      <c r="N794" s="21">
        <f t="shared" si="24"/>
        <v>605.17999999999995</v>
      </c>
      <c r="O794" s="21">
        <f t="shared" si="25"/>
        <v>181.55399999999997</v>
      </c>
    </row>
    <row r="795" spans="1:15" x14ac:dyDescent="0.3">
      <c r="A795">
        <v>73165</v>
      </c>
      <c r="B795" s="1">
        <v>45655</v>
      </c>
      <c r="C795">
        <v>237</v>
      </c>
      <c r="D795">
        <v>40</v>
      </c>
      <c r="E795" t="s">
        <v>24</v>
      </c>
      <c r="F795" t="s">
        <v>65</v>
      </c>
      <c r="G795">
        <v>2</v>
      </c>
      <c r="H795" s="12">
        <v>240.26</v>
      </c>
      <c r="I795" t="s">
        <v>15</v>
      </c>
      <c r="J795" t="s">
        <v>177</v>
      </c>
      <c r="K795">
        <v>1</v>
      </c>
      <c r="L795" t="s">
        <v>17</v>
      </c>
      <c r="M795">
        <v>48</v>
      </c>
      <c r="N795" s="21">
        <f t="shared" si="24"/>
        <v>480.52</v>
      </c>
      <c r="O795" s="21">
        <f t="shared" si="25"/>
        <v>144.15599999999998</v>
      </c>
    </row>
    <row r="796" spans="1:15" x14ac:dyDescent="0.3">
      <c r="A796">
        <v>95874</v>
      </c>
      <c r="B796" s="1">
        <v>45656</v>
      </c>
      <c r="C796">
        <v>424</v>
      </c>
      <c r="D796">
        <v>50</v>
      </c>
      <c r="E796" t="s">
        <v>18</v>
      </c>
      <c r="F796" t="s">
        <v>19</v>
      </c>
      <c r="G796">
        <v>3</v>
      </c>
      <c r="H796" s="12">
        <v>303.48</v>
      </c>
      <c r="I796" t="s">
        <v>26</v>
      </c>
      <c r="J796" t="s">
        <v>61</v>
      </c>
      <c r="M796">
        <v>48</v>
      </c>
      <c r="N796" s="21">
        <f t="shared" si="24"/>
        <v>910.44</v>
      </c>
      <c r="O796" s="21">
        <f t="shared" si="25"/>
        <v>273.13200000000001</v>
      </c>
    </row>
    <row r="797" spans="1:15" x14ac:dyDescent="0.3">
      <c r="A797">
        <v>25952</v>
      </c>
      <c r="B797" s="1">
        <v>45656</v>
      </c>
      <c r="C797">
        <v>448</v>
      </c>
      <c r="D797">
        <v>20</v>
      </c>
      <c r="E797" t="s">
        <v>28</v>
      </c>
      <c r="F797" t="s">
        <v>77</v>
      </c>
      <c r="G797">
        <v>5</v>
      </c>
      <c r="H797" s="12">
        <v>287.5</v>
      </c>
      <c r="I797" t="s">
        <v>26</v>
      </c>
      <c r="J797" t="s">
        <v>260</v>
      </c>
      <c r="L797" t="s">
        <v>17</v>
      </c>
      <c r="M797">
        <v>73</v>
      </c>
      <c r="N797" s="21">
        <f t="shared" si="24"/>
        <v>1437.5</v>
      </c>
      <c r="O797" s="21">
        <f t="shared" si="25"/>
        <v>431.25</v>
      </c>
    </row>
    <row r="798" spans="1:15" x14ac:dyDescent="0.3">
      <c r="A798">
        <v>71870</v>
      </c>
      <c r="B798" s="1">
        <v>45656</v>
      </c>
      <c r="C798">
        <v>522</v>
      </c>
      <c r="D798">
        <v>10</v>
      </c>
      <c r="E798" t="s">
        <v>13</v>
      </c>
      <c r="F798" t="s">
        <v>42</v>
      </c>
      <c r="G798">
        <v>3</v>
      </c>
      <c r="H798" s="12">
        <v>286.01</v>
      </c>
      <c r="I798" t="s">
        <v>35</v>
      </c>
      <c r="J798" t="s">
        <v>531</v>
      </c>
      <c r="K798">
        <v>5</v>
      </c>
      <c r="L798" t="s">
        <v>21</v>
      </c>
      <c r="M798">
        <v>56</v>
      </c>
      <c r="N798" s="21">
        <f t="shared" si="24"/>
        <v>858.03</v>
      </c>
      <c r="O798" s="21">
        <f t="shared" si="25"/>
        <v>257.40899999999999</v>
      </c>
    </row>
    <row r="799" spans="1:15" x14ac:dyDescent="0.3">
      <c r="A799">
        <v>74218</v>
      </c>
      <c r="B799" s="1">
        <v>45656</v>
      </c>
      <c r="C799">
        <v>631</v>
      </c>
      <c r="D799">
        <v>40</v>
      </c>
      <c r="E799" t="s">
        <v>24</v>
      </c>
      <c r="F799" t="s">
        <v>25</v>
      </c>
      <c r="G799">
        <v>1</v>
      </c>
      <c r="H799" s="12">
        <v>309.55</v>
      </c>
      <c r="I799" t="s">
        <v>26</v>
      </c>
      <c r="J799" t="s">
        <v>691</v>
      </c>
      <c r="K799">
        <v>5</v>
      </c>
      <c r="L799" t="s">
        <v>17</v>
      </c>
      <c r="M799">
        <v>52</v>
      </c>
      <c r="N799" s="21">
        <f t="shared" si="24"/>
        <v>309.55</v>
      </c>
      <c r="O799" s="21">
        <f t="shared" si="25"/>
        <v>92.864999999999995</v>
      </c>
    </row>
    <row r="800" spans="1:15" x14ac:dyDescent="0.3">
      <c r="A800">
        <v>15625</v>
      </c>
      <c r="B800" s="1">
        <v>45657</v>
      </c>
      <c r="C800">
        <v>852</v>
      </c>
      <c r="D800">
        <v>20</v>
      </c>
      <c r="E800" t="s">
        <v>28</v>
      </c>
      <c r="F800" t="s">
        <v>79</v>
      </c>
      <c r="G800">
        <v>4</v>
      </c>
      <c r="H800" s="12">
        <v>380.53</v>
      </c>
      <c r="I800" t="s">
        <v>26</v>
      </c>
      <c r="J800" t="s">
        <v>393</v>
      </c>
      <c r="K800">
        <v>4</v>
      </c>
      <c r="L800" t="s">
        <v>17</v>
      </c>
      <c r="M800">
        <v>45</v>
      </c>
      <c r="N800" s="21">
        <f t="shared" si="24"/>
        <v>1522.12</v>
      </c>
      <c r="O800" s="21">
        <f t="shared" si="25"/>
        <v>456.63599999999997</v>
      </c>
    </row>
    <row r="801" spans="1:15" x14ac:dyDescent="0.3">
      <c r="A801">
        <v>40338</v>
      </c>
      <c r="B801" s="1">
        <v>45657</v>
      </c>
      <c r="C801">
        <v>310</v>
      </c>
      <c r="D801">
        <v>40</v>
      </c>
      <c r="E801" t="s">
        <v>24</v>
      </c>
      <c r="F801" t="s">
        <v>49</v>
      </c>
      <c r="G801">
        <v>5</v>
      </c>
      <c r="H801" s="12">
        <v>79.66</v>
      </c>
      <c r="I801" t="s">
        <v>35</v>
      </c>
      <c r="J801" t="s">
        <v>518</v>
      </c>
      <c r="K801">
        <v>2</v>
      </c>
      <c r="L801" t="s">
        <v>21</v>
      </c>
      <c r="M801">
        <v>36</v>
      </c>
      <c r="N801" s="21">
        <f t="shared" si="24"/>
        <v>398.29999999999995</v>
      </c>
      <c r="O801" s="21">
        <f t="shared" si="25"/>
        <v>119.48999999999998</v>
      </c>
    </row>
    <row r="802" spans="1:15" x14ac:dyDescent="0.3">
      <c r="A802">
        <v>37729</v>
      </c>
      <c r="B802" s="1">
        <v>45657</v>
      </c>
      <c r="C802">
        <v>180</v>
      </c>
      <c r="D802">
        <v>30</v>
      </c>
      <c r="E802" t="s">
        <v>37</v>
      </c>
      <c r="F802" t="s">
        <v>58</v>
      </c>
      <c r="G802">
        <v>2</v>
      </c>
      <c r="H802" s="12">
        <v>127.95</v>
      </c>
      <c r="I802" t="s">
        <v>35</v>
      </c>
      <c r="J802" t="s">
        <v>887</v>
      </c>
      <c r="K802">
        <v>1</v>
      </c>
      <c r="L802" t="s">
        <v>17</v>
      </c>
      <c r="M802">
        <v>48</v>
      </c>
      <c r="N802" s="21">
        <f t="shared" si="24"/>
        <v>255.9</v>
      </c>
      <c r="O802" s="21">
        <f t="shared" si="25"/>
        <v>76.77</v>
      </c>
    </row>
    <row r="803" spans="1:15" x14ac:dyDescent="0.3">
      <c r="A803">
        <v>82793</v>
      </c>
      <c r="B803" s="1">
        <v>45658</v>
      </c>
      <c r="C803">
        <v>261</v>
      </c>
      <c r="D803">
        <v>30</v>
      </c>
      <c r="E803" t="s">
        <v>37</v>
      </c>
      <c r="F803" t="s">
        <v>40</v>
      </c>
      <c r="G803">
        <v>4</v>
      </c>
      <c r="H803" s="12">
        <v>321.18</v>
      </c>
      <c r="I803" t="s">
        <v>35</v>
      </c>
      <c r="J803" t="s">
        <v>347</v>
      </c>
      <c r="K803">
        <v>2</v>
      </c>
      <c r="L803" t="s">
        <v>17</v>
      </c>
      <c r="M803">
        <v>49</v>
      </c>
      <c r="N803" s="21">
        <f t="shared" si="24"/>
        <v>1284.72</v>
      </c>
      <c r="O803" s="21">
        <f t="shared" si="25"/>
        <v>385.416</v>
      </c>
    </row>
    <row r="804" spans="1:15" x14ac:dyDescent="0.3">
      <c r="A804">
        <v>73269</v>
      </c>
      <c r="B804" s="1">
        <v>45660</v>
      </c>
      <c r="C804">
        <v>748</v>
      </c>
      <c r="D804">
        <v>10</v>
      </c>
      <c r="E804" t="s">
        <v>13</v>
      </c>
      <c r="F804" t="s">
        <v>42</v>
      </c>
      <c r="G804">
        <v>2</v>
      </c>
      <c r="H804" s="12">
        <v>301.10000000000002</v>
      </c>
      <c r="I804" t="s">
        <v>26</v>
      </c>
      <c r="J804" t="s">
        <v>283</v>
      </c>
      <c r="K804">
        <v>4</v>
      </c>
      <c r="L804" t="s">
        <v>17</v>
      </c>
      <c r="M804">
        <v>24</v>
      </c>
      <c r="N804" s="21">
        <f t="shared" si="24"/>
        <v>602.20000000000005</v>
      </c>
      <c r="O804" s="21">
        <f t="shared" si="25"/>
        <v>180.66</v>
      </c>
    </row>
    <row r="805" spans="1:15" x14ac:dyDescent="0.3">
      <c r="A805">
        <v>35219</v>
      </c>
      <c r="B805" s="1">
        <v>45660</v>
      </c>
      <c r="C805">
        <v>739</v>
      </c>
      <c r="D805">
        <v>40</v>
      </c>
      <c r="E805" t="s">
        <v>24</v>
      </c>
      <c r="F805" t="s">
        <v>44</v>
      </c>
      <c r="G805">
        <v>4</v>
      </c>
      <c r="H805" s="12">
        <v>410.06</v>
      </c>
      <c r="I805" t="s">
        <v>35</v>
      </c>
      <c r="J805" t="s">
        <v>412</v>
      </c>
      <c r="K805">
        <v>1</v>
      </c>
      <c r="L805" t="s">
        <v>21</v>
      </c>
      <c r="M805">
        <v>21</v>
      </c>
      <c r="N805" s="21">
        <f t="shared" si="24"/>
        <v>1640.24</v>
      </c>
      <c r="O805" s="21">
        <f t="shared" si="25"/>
        <v>492.072</v>
      </c>
    </row>
    <row r="806" spans="1:15" x14ac:dyDescent="0.3">
      <c r="A806">
        <v>59338</v>
      </c>
      <c r="B806" s="1">
        <v>45660</v>
      </c>
      <c r="C806">
        <v>937</v>
      </c>
      <c r="D806">
        <v>30</v>
      </c>
      <c r="E806" t="s">
        <v>37</v>
      </c>
      <c r="F806" t="s">
        <v>95</v>
      </c>
      <c r="G806">
        <v>4</v>
      </c>
      <c r="H806" s="12">
        <v>478.94</v>
      </c>
      <c r="I806" t="s">
        <v>15</v>
      </c>
      <c r="J806" t="s">
        <v>434</v>
      </c>
      <c r="K806">
        <v>1</v>
      </c>
      <c r="L806" t="s">
        <v>21</v>
      </c>
      <c r="M806">
        <v>48</v>
      </c>
      <c r="N806" s="21">
        <f t="shared" si="24"/>
        <v>1915.76</v>
      </c>
      <c r="O806" s="21">
        <f t="shared" si="25"/>
        <v>574.72799999999995</v>
      </c>
    </row>
    <row r="807" spans="1:15" x14ac:dyDescent="0.3">
      <c r="A807">
        <v>40849</v>
      </c>
      <c r="B807" s="1">
        <v>45660</v>
      </c>
      <c r="C807">
        <v>554</v>
      </c>
      <c r="D807">
        <v>10</v>
      </c>
      <c r="E807" t="s">
        <v>13</v>
      </c>
      <c r="F807" t="s">
        <v>32</v>
      </c>
      <c r="G807">
        <v>4</v>
      </c>
      <c r="H807" s="12">
        <v>59.93</v>
      </c>
      <c r="I807" t="s">
        <v>15</v>
      </c>
      <c r="J807" t="s">
        <v>574</v>
      </c>
      <c r="L807" t="s">
        <v>21</v>
      </c>
      <c r="M807">
        <v>23</v>
      </c>
      <c r="N807" s="21">
        <f t="shared" si="24"/>
        <v>239.72</v>
      </c>
      <c r="O807" s="21">
        <f t="shared" si="25"/>
        <v>71.915999999999997</v>
      </c>
    </row>
    <row r="808" spans="1:15" x14ac:dyDescent="0.3">
      <c r="A808">
        <v>13431</v>
      </c>
      <c r="B808" s="1">
        <v>45660</v>
      </c>
      <c r="C808">
        <v>591</v>
      </c>
      <c r="D808">
        <v>20</v>
      </c>
      <c r="E808" t="s">
        <v>28</v>
      </c>
      <c r="F808" t="s">
        <v>79</v>
      </c>
      <c r="G808">
        <v>3</v>
      </c>
      <c r="H808" s="12">
        <v>206.38</v>
      </c>
      <c r="I808" t="s">
        <v>26</v>
      </c>
      <c r="J808" t="s">
        <v>688</v>
      </c>
      <c r="K808">
        <v>2</v>
      </c>
      <c r="L808" t="s">
        <v>21</v>
      </c>
      <c r="M808">
        <v>63</v>
      </c>
      <c r="N808" s="21">
        <f t="shared" si="24"/>
        <v>619.14</v>
      </c>
      <c r="O808" s="21">
        <f t="shared" si="25"/>
        <v>185.74199999999999</v>
      </c>
    </row>
    <row r="809" spans="1:15" x14ac:dyDescent="0.3">
      <c r="A809">
        <v>88937</v>
      </c>
      <c r="B809" s="1">
        <v>45661</v>
      </c>
      <c r="C809">
        <v>504</v>
      </c>
      <c r="D809">
        <v>30</v>
      </c>
      <c r="E809" t="s">
        <v>37</v>
      </c>
      <c r="F809" t="s">
        <v>68</v>
      </c>
      <c r="G809">
        <v>2</v>
      </c>
      <c r="H809" s="12">
        <v>240.14</v>
      </c>
      <c r="I809" t="s">
        <v>26</v>
      </c>
      <c r="J809" t="s">
        <v>762</v>
      </c>
      <c r="K809">
        <v>5</v>
      </c>
      <c r="L809" t="s">
        <v>21</v>
      </c>
      <c r="M809">
        <v>34</v>
      </c>
      <c r="N809" s="21">
        <f t="shared" si="24"/>
        <v>480.28</v>
      </c>
      <c r="O809" s="21">
        <f t="shared" si="25"/>
        <v>144.08399999999997</v>
      </c>
    </row>
    <row r="810" spans="1:15" x14ac:dyDescent="0.3">
      <c r="A810">
        <v>99133</v>
      </c>
      <c r="B810" s="1">
        <v>45662</v>
      </c>
      <c r="C810">
        <v>928</v>
      </c>
      <c r="D810">
        <v>50</v>
      </c>
      <c r="E810" t="s">
        <v>18</v>
      </c>
      <c r="F810" t="s">
        <v>22</v>
      </c>
      <c r="G810">
        <v>1</v>
      </c>
      <c r="H810" s="12">
        <v>63.44</v>
      </c>
      <c r="I810" t="s">
        <v>35</v>
      </c>
      <c r="J810" t="s">
        <v>243</v>
      </c>
      <c r="K810">
        <v>1</v>
      </c>
      <c r="L810" t="s">
        <v>17</v>
      </c>
      <c r="M810">
        <v>26</v>
      </c>
      <c r="N810" s="21">
        <f t="shared" si="24"/>
        <v>63.44</v>
      </c>
      <c r="O810" s="21">
        <f t="shared" si="25"/>
        <v>19.032</v>
      </c>
    </row>
    <row r="811" spans="1:15" x14ac:dyDescent="0.3">
      <c r="A811">
        <v>16865</v>
      </c>
      <c r="B811" s="1">
        <v>45663</v>
      </c>
      <c r="C811">
        <v>991</v>
      </c>
      <c r="D811">
        <v>30</v>
      </c>
      <c r="E811" t="s">
        <v>37</v>
      </c>
      <c r="F811" t="s">
        <v>38</v>
      </c>
      <c r="G811">
        <v>3</v>
      </c>
      <c r="H811" s="12">
        <v>208.47</v>
      </c>
      <c r="I811" t="s">
        <v>26</v>
      </c>
      <c r="J811" t="s">
        <v>272</v>
      </c>
      <c r="M811">
        <v>39</v>
      </c>
      <c r="N811" s="21">
        <f t="shared" si="24"/>
        <v>625.41</v>
      </c>
      <c r="O811" s="21">
        <f t="shared" si="25"/>
        <v>187.62299999999999</v>
      </c>
    </row>
    <row r="812" spans="1:15" x14ac:dyDescent="0.3">
      <c r="A812">
        <v>24196</v>
      </c>
      <c r="B812" s="1">
        <v>45663</v>
      </c>
      <c r="C812">
        <v>229</v>
      </c>
      <c r="D812">
        <v>10</v>
      </c>
      <c r="E812" t="s">
        <v>13</v>
      </c>
      <c r="F812" t="s">
        <v>14</v>
      </c>
      <c r="G812">
        <v>1</v>
      </c>
      <c r="H812" s="12">
        <v>231.51</v>
      </c>
      <c r="I812" t="s">
        <v>15</v>
      </c>
      <c r="J812" t="s">
        <v>663</v>
      </c>
      <c r="K812">
        <v>5</v>
      </c>
      <c r="L812" t="s">
        <v>21</v>
      </c>
      <c r="M812">
        <v>41</v>
      </c>
      <c r="N812" s="21">
        <f t="shared" si="24"/>
        <v>231.51</v>
      </c>
      <c r="O812" s="21">
        <f t="shared" si="25"/>
        <v>69.452999999999989</v>
      </c>
    </row>
    <row r="813" spans="1:15" x14ac:dyDescent="0.3">
      <c r="A813">
        <v>93038</v>
      </c>
      <c r="B813" s="1">
        <v>45663</v>
      </c>
      <c r="C813">
        <v>847</v>
      </c>
      <c r="D813">
        <v>40</v>
      </c>
      <c r="E813" t="s">
        <v>24</v>
      </c>
      <c r="F813" t="s">
        <v>25</v>
      </c>
      <c r="G813">
        <v>5</v>
      </c>
      <c r="H813" s="12">
        <v>125.08</v>
      </c>
      <c r="I813" t="s">
        <v>15</v>
      </c>
      <c r="J813" t="s">
        <v>809</v>
      </c>
      <c r="K813">
        <v>5</v>
      </c>
      <c r="L813" t="s">
        <v>21</v>
      </c>
      <c r="M813">
        <v>36</v>
      </c>
      <c r="N813" s="21">
        <f t="shared" si="24"/>
        <v>625.4</v>
      </c>
      <c r="O813" s="21">
        <f t="shared" si="25"/>
        <v>187.61999999999998</v>
      </c>
    </row>
    <row r="814" spans="1:15" x14ac:dyDescent="0.3">
      <c r="A814">
        <v>89875</v>
      </c>
      <c r="B814" s="1">
        <v>45663</v>
      </c>
      <c r="C814">
        <v>759</v>
      </c>
      <c r="D814">
        <v>40</v>
      </c>
      <c r="E814" t="s">
        <v>24</v>
      </c>
      <c r="F814" t="s">
        <v>63</v>
      </c>
      <c r="G814">
        <v>1</v>
      </c>
      <c r="H814" s="12">
        <v>233.24</v>
      </c>
      <c r="I814" t="s">
        <v>35</v>
      </c>
      <c r="J814" t="s">
        <v>991</v>
      </c>
      <c r="K814">
        <v>5</v>
      </c>
      <c r="L814" t="s">
        <v>17</v>
      </c>
      <c r="M814">
        <v>30</v>
      </c>
      <c r="N814" s="21">
        <f t="shared" si="24"/>
        <v>233.24</v>
      </c>
      <c r="O814" s="21">
        <f t="shared" si="25"/>
        <v>69.971999999999994</v>
      </c>
    </row>
    <row r="815" spans="1:15" x14ac:dyDescent="0.3">
      <c r="A815">
        <v>60807</v>
      </c>
      <c r="B815" s="1">
        <v>45664</v>
      </c>
      <c r="C815">
        <v>798</v>
      </c>
      <c r="D815">
        <v>20</v>
      </c>
      <c r="E815" t="s">
        <v>28</v>
      </c>
      <c r="F815" t="s">
        <v>29</v>
      </c>
      <c r="G815">
        <v>1</v>
      </c>
      <c r="H815" s="12">
        <v>280.12</v>
      </c>
      <c r="I815" t="s">
        <v>26</v>
      </c>
      <c r="J815" t="s">
        <v>197</v>
      </c>
      <c r="L815" t="s">
        <v>17</v>
      </c>
      <c r="M815">
        <v>39</v>
      </c>
      <c r="N815" s="21">
        <f t="shared" si="24"/>
        <v>280.12</v>
      </c>
      <c r="O815" s="21">
        <f t="shared" si="25"/>
        <v>84.036000000000001</v>
      </c>
    </row>
    <row r="816" spans="1:15" x14ac:dyDescent="0.3">
      <c r="A816">
        <v>57585</v>
      </c>
      <c r="B816" s="1">
        <v>45664</v>
      </c>
      <c r="C816">
        <v>394</v>
      </c>
      <c r="D816">
        <v>40</v>
      </c>
      <c r="E816" t="s">
        <v>24</v>
      </c>
      <c r="F816" t="s">
        <v>49</v>
      </c>
      <c r="G816">
        <v>4</v>
      </c>
      <c r="H816" s="12">
        <v>494.32</v>
      </c>
      <c r="I816" t="s">
        <v>35</v>
      </c>
      <c r="J816" t="s">
        <v>203</v>
      </c>
      <c r="K816">
        <v>5</v>
      </c>
      <c r="L816" t="s">
        <v>17</v>
      </c>
      <c r="M816">
        <v>50</v>
      </c>
      <c r="N816" s="21">
        <f t="shared" si="24"/>
        <v>1977.28</v>
      </c>
      <c r="O816" s="21">
        <f t="shared" si="25"/>
        <v>593.18399999999997</v>
      </c>
    </row>
    <row r="817" spans="1:15" x14ac:dyDescent="0.3">
      <c r="A817">
        <v>51301</v>
      </c>
      <c r="B817" s="1">
        <v>45664</v>
      </c>
      <c r="C817">
        <v>398</v>
      </c>
      <c r="D817">
        <v>30</v>
      </c>
      <c r="E817" t="s">
        <v>37</v>
      </c>
      <c r="F817" t="s">
        <v>68</v>
      </c>
      <c r="G817">
        <v>5</v>
      </c>
      <c r="H817" s="12">
        <v>73.19</v>
      </c>
      <c r="I817" t="s">
        <v>35</v>
      </c>
      <c r="J817" t="s">
        <v>291</v>
      </c>
      <c r="K817">
        <v>5</v>
      </c>
      <c r="L817" t="s">
        <v>21</v>
      </c>
      <c r="M817">
        <v>43</v>
      </c>
      <c r="N817" s="21">
        <f t="shared" si="24"/>
        <v>365.95</v>
      </c>
      <c r="O817" s="21">
        <f t="shared" si="25"/>
        <v>109.785</v>
      </c>
    </row>
    <row r="818" spans="1:15" x14ac:dyDescent="0.3">
      <c r="A818">
        <v>77157</v>
      </c>
      <c r="B818" s="1">
        <v>45664</v>
      </c>
      <c r="C818">
        <v>635</v>
      </c>
      <c r="D818">
        <v>30</v>
      </c>
      <c r="E818" t="s">
        <v>37</v>
      </c>
      <c r="F818" t="s">
        <v>95</v>
      </c>
      <c r="G818">
        <v>4</v>
      </c>
      <c r="H818" s="12">
        <v>323.89</v>
      </c>
      <c r="I818" t="s">
        <v>26</v>
      </c>
      <c r="J818" t="s">
        <v>650</v>
      </c>
      <c r="K818">
        <v>2</v>
      </c>
      <c r="L818" t="s">
        <v>17</v>
      </c>
      <c r="M818">
        <v>61</v>
      </c>
      <c r="N818" s="21">
        <f t="shared" si="24"/>
        <v>1295.56</v>
      </c>
      <c r="O818" s="21">
        <f t="shared" si="25"/>
        <v>388.66799999999995</v>
      </c>
    </row>
    <row r="819" spans="1:15" x14ac:dyDescent="0.3">
      <c r="A819">
        <v>27148</v>
      </c>
      <c r="B819" s="1">
        <v>45664</v>
      </c>
      <c r="C819">
        <v>635</v>
      </c>
      <c r="D819">
        <v>30</v>
      </c>
      <c r="E819" t="s">
        <v>37</v>
      </c>
      <c r="F819" t="s">
        <v>58</v>
      </c>
      <c r="G819">
        <v>1</v>
      </c>
      <c r="H819" s="12">
        <v>235.88</v>
      </c>
      <c r="I819" t="s">
        <v>35</v>
      </c>
      <c r="J819" t="s">
        <v>996</v>
      </c>
      <c r="K819">
        <v>4</v>
      </c>
      <c r="L819" t="s">
        <v>17</v>
      </c>
      <c r="M819">
        <v>40</v>
      </c>
      <c r="N819" s="21">
        <f t="shared" si="24"/>
        <v>235.88</v>
      </c>
      <c r="O819" s="21">
        <f t="shared" si="25"/>
        <v>70.763999999999996</v>
      </c>
    </row>
    <row r="820" spans="1:15" x14ac:dyDescent="0.3">
      <c r="A820">
        <v>60808</v>
      </c>
      <c r="B820" s="1">
        <v>45665</v>
      </c>
      <c r="C820">
        <v>424</v>
      </c>
      <c r="D820">
        <v>50</v>
      </c>
      <c r="E820" t="s">
        <v>18</v>
      </c>
      <c r="F820" t="s">
        <v>19</v>
      </c>
      <c r="G820">
        <v>3</v>
      </c>
      <c r="H820" s="12">
        <v>63.59</v>
      </c>
      <c r="I820" t="s">
        <v>15</v>
      </c>
      <c r="J820" t="s">
        <v>483</v>
      </c>
      <c r="K820">
        <v>5</v>
      </c>
      <c r="L820" t="s">
        <v>21</v>
      </c>
      <c r="M820">
        <v>19</v>
      </c>
      <c r="N820" s="21">
        <f t="shared" si="24"/>
        <v>190.77</v>
      </c>
      <c r="O820" s="21">
        <f t="shared" si="25"/>
        <v>57.231000000000002</v>
      </c>
    </row>
    <row r="821" spans="1:15" x14ac:dyDescent="0.3">
      <c r="A821">
        <v>32947</v>
      </c>
      <c r="B821" s="1">
        <v>45667</v>
      </c>
      <c r="C821">
        <v>387</v>
      </c>
      <c r="D821">
        <v>40</v>
      </c>
      <c r="E821" t="s">
        <v>24</v>
      </c>
      <c r="F821" t="s">
        <v>25</v>
      </c>
      <c r="G821">
        <v>2</v>
      </c>
      <c r="H821" s="12">
        <v>308.41000000000003</v>
      </c>
      <c r="I821" t="s">
        <v>26</v>
      </c>
      <c r="J821" t="s">
        <v>679</v>
      </c>
      <c r="K821">
        <v>5</v>
      </c>
      <c r="M821">
        <v>41</v>
      </c>
      <c r="N821" s="21">
        <f t="shared" si="24"/>
        <v>616.82000000000005</v>
      </c>
      <c r="O821" s="21">
        <f t="shared" si="25"/>
        <v>185.04600000000002</v>
      </c>
    </row>
    <row r="822" spans="1:15" x14ac:dyDescent="0.3">
      <c r="A822">
        <v>27584</v>
      </c>
      <c r="B822" s="1">
        <v>45667</v>
      </c>
      <c r="C822">
        <v>366</v>
      </c>
      <c r="D822">
        <v>40</v>
      </c>
      <c r="E822" t="s">
        <v>24</v>
      </c>
      <c r="F822" t="s">
        <v>65</v>
      </c>
      <c r="G822">
        <v>1</v>
      </c>
      <c r="H822" s="12">
        <v>79.8</v>
      </c>
      <c r="I822" t="s">
        <v>15</v>
      </c>
      <c r="J822" t="s">
        <v>747</v>
      </c>
      <c r="K822">
        <v>1</v>
      </c>
      <c r="L822" t="s">
        <v>17</v>
      </c>
      <c r="M822">
        <v>51</v>
      </c>
      <c r="N822" s="21">
        <f t="shared" si="24"/>
        <v>79.8</v>
      </c>
      <c r="O822" s="21">
        <f t="shared" si="25"/>
        <v>23.939999999999998</v>
      </c>
    </row>
    <row r="823" spans="1:15" x14ac:dyDescent="0.3">
      <c r="A823">
        <v>71289</v>
      </c>
      <c r="B823" s="1">
        <v>45668</v>
      </c>
      <c r="C823">
        <v>815</v>
      </c>
      <c r="D823">
        <v>30</v>
      </c>
      <c r="E823" t="s">
        <v>37</v>
      </c>
      <c r="F823" t="s">
        <v>68</v>
      </c>
      <c r="G823">
        <v>1</v>
      </c>
      <c r="H823" s="12">
        <v>450.81</v>
      </c>
      <c r="I823" t="s">
        <v>26</v>
      </c>
      <c r="J823" t="s">
        <v>69</v>
      </c>
      <c r="L823" t="s">
        <v>21</v>
      </c>
      <c r="M823">
        <v>50</v>
      </c>
      <c r="N823" s="21">
        <f t="shared" si="24"/>
        <v>450.81</v>
      </c>
      <c r="O823" s="21">
        <f t="shared" si="25"/>
        <v>135.24299999999999</v>
      </c>
    </row>
    <row r="824" spans="1:15" x14ac:dyDescent="0.3">
      <c r="A824">
        <v>19238</v>
      </c>
      <c r="B824" s="1">
        <v>45668</v>
      </c>
      <c r="C824">
        <v>517</v>
      </c>
      <c r="D824">
        <v>10</v>
      </c>
      <c r="E824" t="s">
        <v>13</v>
      </c>
      <c r="F824" t="s">
        <v>111</v>
      </c>
      <c r="G824">
        <v>2</v>
      </c>
      <c r="H824" s="12">
        <v>108.34</v>
      </c>
      <c r="I824" t="s">
        <v>35</v>
      </c>
      <c r="J824" t="s">
        <v>912</v>
      </c>
      <c r="K824">
        <v>5</v>
      </c>
      <c r="L824" t="s">
        <v>21</v>
      </c>
      <c r="M824">
        <v>70</v>
      </c>
      <c r="N824" s="21">
        <f t="shared" si="24"/>
        <v>216.68</v>
      </c>
      <c r="O824" s="21">
        <f t="shared" si="25"/>
        <v>65.004000000000005</v>
      </c>
    </row>
    <row r="825" spans="1:15" x14ac:dyDescent="0.3">
      <c r="A825">
        <v>21391</v>
      </c>
      <c r="B825" s="1">
        <v>45668</v>
      </c>
      <c r="C825">
        <v>143</v>
      </c>
      <c r="D825">
        <v>10</v>
      </c>
      <c r="E825" t="s">
        <v>13</v>
      </c>
      <c r="F825" t="s">
        <v>42</v>
      </c>
      <c r="G825">
        <v>1</v>
      </c>
      <c r="H825" s="12">
        <v>63.56</v>
      </c>
      <c r="I825" t="s">
        <v>26</v>
      </c>
      <c r="J825" t="s">
        <v>936</v>
      </c>
      <c r="K825">
        <v>5</v>
      </c>
      <c r="L825" t="s">
        <v>21</v>
      </c>
      <c r="M825">
        <v>28</v>
      </c>
      <c r="N825" s="21">
        <f t="shared" si="24"/>
        <v>63.56</v>
      </c>
      <c r="O825" s="21">
        <f t="shared" si="25"/>
        <v>19.068000000000001</v>
      </c>
    </row>
    <row r="826" spans="1:15" x14ac:dyDescent="0.3">
      <c r="A826">
        <v>36732</v>
      </c>
      <c r="B826" s="1">
        <v>45669</v>
      </c>
      <c r="C826">
        <v>704</v>
      </c>
      <c r="D826">
        <v>40</v>
      </c>
      <c r="E826" t="s">
        <v>24</v>
      </c>
      <c r="F826" t="s">
        <v>65</v>
      </c>
      <c r="G826">
        <v>3</v>
      </c>
      <c r="H826" s="12">
        <v>90.91</v>
      </c>
      <c r="I826" t="s">
        <v>35</v>
      </c>
      <c r="J826" t="s">
        <v>66</v>
      </c>
      <c r="K826">
        <v>5</v>
      </c>
      <c r="L826" t="s">
        <v>21</v>
      </c>
      <c r="M826">
        <v>42</v>
      </c>
      <c r="N826" s="21">
        <f t="shared" si="24"/>
        <v>272.73</v>
      </c>
      <c r="O826" s="21">
        <f t="shared" si="25"/>
        <v>81.819000000000003</v>
      </c>
    </row>
    <row r="827" spans="1:15" x14ac:dyDescent="0.3">
      <c r="A827">
        <v>76569</v>
      </c>
      <c r="B827" s="1">
        <v>45669</v>
      </c>
      <c r="C827">
        <v>447</v>
      </c>
      <c r="D827">
        <v>30</v>
      </c>
      <c r="E827" t="s">
        <v>37</v>
      </c>
      <c r="F827" t="s">
        <v>95</v>
      </c>
      <c r="G827">
        <v>1</v>
      </c>
      <c r="H827" s="12">
        <v>428.62</v>
      </c>
      <c r="I827" t="s">
        <v>26</v>
      </c>
      <c r="J827" t="s">
        <v>818</v>
      </c>
      <c r="K827">
        <v>4</v>
      </c>
      <c r="L827" t="s">
        <v>17</v>
      </c>
      <c r="M827">
        <v>56</v>
      </c>
      <c r="N827" s="21">
        <f t="shared" si="24"/>
        <v>428.62</v>
      </c>
      <c r="O827" s="21">
        <f t="shared" si="25"/>
        <v>128.58599999999998</v>
      </c>
    </row>
    <row r="828" spans="1:15" x14ac:dyDescent="0.3">
      <c r="A828">
        <v>18860</v>
      </c>
      <c r="B828" s="1">
        <v>45670</v>
      </c>
      <c r="C828">
        <v>860</v>
      </c>
      <c r="D828">
        <v>20</v>
      </c>
      <c r="E828" t="s">
        <v>28</v>
      </c>
      <c r="F828" t="s">
        <v>29</v>
      </c>
      <c r="G828">
        <v>1</v>
      </c>
      <c r="H828" s="12">
        <v>145.57</v>
      </c>
      <c r="I828" t="s">
        <v>26</v>
      </c>
      <c r="J828" t="s">
        <v>754</v>
      </c>
      <c r="L828" t="s">
        <v>17</v>
      </c>
      <c r="M828">
        <v>61</v>
      </c>
      <c r="N828" s="21">
        <f t="shared" si="24"/>
        <v>145.57</v>
      </c>
      <c r="O828" s="21">
        <f t="shared" si="25"/>
        <v>43.670999999999999</v>
      </c>
    </row>
    <row r="829" spans="1:15" x14ac:dyDescent="0.3">
      <c r="A829">
        <v>81507</v>
      </c>
      <c r="B829" s="1">
        <v>45670</v>
      </c>
      <c r="C829">
        <v>611</v>
      </c>
      <c r="D829">
        <v>20</v>
      </c>
      <c r="E829" t="s">
        <v>28</v>
      </c>
      <c r="F829" t="s">
        <v>29</v>
      </c>
      <c r="G829">
        <v>1</v>
      </c>
      <c r="H829" s="12">
        <v>124.01</v>
      </c>
      <c r="I829" t="s">
        <v>35</v>
      </c>
      <c r="J829" t="s">
        <v>866</v>
      </c>
      <c r="K829">
        <v>5</v>
      </c>
      <c r="L829" t="s">
        <v>17</v>
      </c>
      <c r="M829">
        <v>58</v>
      </c>
      <c r="N829" s="21">
        <f t="shared" si="24"/>
        <v>124.01</v>
      </c>
      <c r="O829" s="21">
        <f t="shared" si="25"/>
        <v>37.203000000000003</v>
      </c>
    </row>
    <row r="830" spans="1:15" x14ac:dyDescent="0.3">
      <c r="A830">
        <v>48551</v>
      </c>
      <c r="B830" s="1">
        <v>45671</v>
      </c>
      <c r="C830">
        <v>374</v>
      </c>
      <c r="D830">
        <v>40</v>
      </c>
      <c r="E830" t="s">
        <v>24</v>
      </c>
      <c r="F830" t="s">
        <v>25</v>
      </c>
      <c r="G830">
        <v>3</v>
      </c>
      <c r="H830" s="12">
        <v>215.43</v>
      </c>
      <c r="I830" t="s">
        <v>35</v>
      </c>
      <c r="J830" t="s">
        <v>582</v>
      </c>
      <c r="K830">
        <v>5</v>
      </c>
      <c r="L830" t="s">
        <v>17</v>
      </c>
      <c r="M830">
        <v>69</v>
      </c>
      <c r="N830" s="21">
        <f t="shared" si="24"/>
        <v>646.29</v>
      </c>
      <c r="O830" s="21">
        <f t="shared" si="25"/>
        <v>193.88699999999997</v>
      </c>
    </row>
    <row r="831" spans="1:15" x14ac:dyDescent="0.3">
      <c r="A831">
        <v>45242</v>
      </c>
      <c r="B831" s="1">
        <v>45671</v>
      </c>
      <c r="C831">
        <v>471</v>
      </c>
      <c r="D831">
        <v>20</v>
      </c>
      <c r="E831" t="s">
        <v>28</v>
      </c>
      <c r="F831" t="s">
        <v>77</v>
      </c>
      <c r="G831">
        <v>4</v>
      </c>
      <c r="H831" s="12">
        <v>375.91</v>
      </c>
      <c r="I831" t="s">
        <v>35</v>
      </c>
      <c r="J831" t="s">
        <v>564</v>
      </c>
      <c r="K831">
        <v>2</v>
      </c>
      <c r="L831" t="s">
        <v>17</v>
      </c>
      <c r="M831">
        <v>73</v>
      </c>
      <c r="N831" s="21">
        <f t="shared" si="24"/>
        <v>1503.64</v>
      </c>
      <c r="O831" s="21">
        <f t="shared" si="25"/>
        <v>451.09200000000004</v>
      </c>
    </row>
    <row r="832" spans="1:15" x14ac:dyDescent="0.3">
      <c r="A832">
        <v>45307</v>
      </c>
      <c r="B832" s="1">
        <v>45671</v>
      </c>
      <c r="C832">
        <v>162</v>
      </c>
      <c r="D832">
        <v>40</v>
      </c>
      <c r="E832" t="s">
        <v>24</v>
      </c>
      <c r="F832" t="s">
        <v>63</v>
      </c>
      <c r="G832">
        <v>1</v>
      </c>
      <c r="H832" s="12">
        <v>69.760000000000005</v>
      </c>
      <c r="I832" t="s">
        <v>35</v>
      </c>
      <c r="J832" t="s">
        <v>856</v>
      </c>
      <c r="K832">
        <v>1</v>
      </c>
      <c r="L832" t="s">
        <v>17</v>
      </c>
      <c r="M832">
        <v>68</v>
      </c>
      <c r="N832" s="21">
        <f t="shared" si="24"/>
        <v>69.760000000000005</v>
      </c>
      <c r="O832" s="21">
        <f t="shared" si="25"/>
        <v>20.928000000000001</v>
      </c>
    </row>
    <row r="833" spans="1:15" x14ac:dyDescent="0.3">
      <c r="A833">
        <v>54476</v>
      </c>
      <c r="B833" s="1">
        <v>45671</v>
      </c>
      <c r="C833">
        <v>678</v>
      </c>
      <c r="D833">
        <v>10</v>
      </c>
      <c r="E833" t="s">
        <v>13</v>
      </c>
      <c r="F833" t="s">
        <v>14</v>
      </c>
      <c r="G833">
        <v>2</v>
      </c>
      <c r="H833" s="12">
        <v>184.2</v>
      </c>
      <c r="I833" t="s">
        <v>15</v>
      </c>
      <c r="J833" t="s">
        <v>865</v>
      </c>
      <c r="K833">
        <v>5</v>
      </c>
      <c r="L833" t="s">
        <v>17</v>
      </c>
      <c r="M833">
        <v>21</v>
      </c>
      <c r="N833" s="21">
        <f t="shared" si="24"/>
        <v>368.4</v>
      </c>
      <c r="O833" s="21">
        <f t="shared" si="25"/>
        <v>110.52</v>
      </c>
    </row>
    <row r="834" spans="1:15" x14ac:dyDescent="0.3">
      <c r="A834">
        <v>65284</v>
      </c>
      <c r="B834" s="1">
        <v>45671</v>
      </c>
      <c r="C834">
        <v>290</v>
      </c>
      <c r="D834">
        <v>20</v>
      </c>
      <c r="E834" t="s">
        <v>28</v>
      </c>
      <c r="F834" t="s">
        <v>29</v>
      </c>
      <c r="G834">
        <v>3</v>
      </c>
      <c r="H834" s="12">
        <v>127.78</v>
      </c>
      <c r="I834" t="s">
        <v>15</v>
      </c>
      <c r="J834" t="s">
        <v>921</v>
      </c>
      <c r="K834">
        <v>4</v>
      </c>
      <c r="L834" t="s">
        <v>21</v>
      </c>
      <c r="M834">
        <v>75</v>
      </c>
      <c r="N834" s="21">
        <f t="shared" si="24"/>
        <v>383.34000000000003</v>
      </c>
      <c r="O834" s="21">
        <f t="shared" si="25"/>
        <v>115.00200000000001</v>
      </c>
    </row>
    <row r="835" spans="1:15" x14ac:dyDescent="0.3">
      <c r="A835">
        <v>62821</v>
      </c>
      <c r="B835" s="1">
        <v>45672</v>
      </c>
      <c r="C835">
        <v>146</v>
      </c>
      <c r="D835">
        <v>10</v>
      </c>
      <c r="E835" t="s">
        <v>13</v>
      </c>
      <c r="F835" t="s">
        <v>32</v>
      </c>
      <c r="G835">
        <v>5</v>
      </c>
      <c r="H835" s="12">
        <v>184.27</v>
      </c>
      <c r="I835" t="s">
        <v>15</v>
      </c>
      <c r="J835" t="s">
        <v>891</v>
      </c>
      <c r="K835">
        <v>2</v>
      </c>
      <c r="L835" t="s">
        <v>17</v>
      </c>
      <c r="M835">
        <v>36</v>
      </c>
      <c r="N835" s="21">
        <f t="shared" ref="N835:N898" si="26">H835*G835</f>
        <v>921.35</v>
      </c>
      <c r="O835" s="21">
        <f t="shared" ref="O835:O898" si="27">N835*0.3</f>
        <v>276.40499999999997</v>
      </c>
    </row>
    <row r="836" spans="1:15" x14ac:dyDescent="0.3">
      <c r="A836">
        <v>45059</v>
      </c>
      <c r="B836" s="1">
        <v>45672</v>
      </c>
      <c r="C836">
        <v>856</v>
      </c>
      <c r="D836">
        <v>50</v>
      </c>
      <c r="E836" t="s">
        <v>18</v>
      </c>
      <c r="F836" t="s">
        <v>34</v>
      </c>
      <c r="G836">
        <v>1</v>
      </c>
      <c r="H836" s="12">
        <v>230.09</v>
      </c>
      <c r="I836" t="s">
        <v>15</v>
      </c>
      <c r="J836" t="s">
        <v>922</v>
      </c>
      <c r="K836">
        <v>1</v>
      </c>
      <c r="L836" t="s">
        <v>21</v>
      </c>
      <c r="M836">
        <v>49</v>
      </c>
      <c r="N836" s="21">
        <f t="shared" si="26"/>
        <v>230.09</v>
      </c>
      <c r="O836" s="21">
        <f t="shared" si="27"/>
        <v>69.027000000000001</v>
      </c>
    </row>
    <row r="837" spans="1:15" x14ac:dyDescent="0.3">
      <c r="A837">
        <v>34358</v>
      </c>
      <c r="B837" s="1">
        <v>45673</v>
      </c>
      <c r="C837">
        <v>945</v>
      </c>
      <c r="D837">
        <v>20</v>
      </c>
      <c r="E837" t="s">
        <v>28</v>
      </c>
      <c r="F837" t="s">
        <v>51</v>
      </c>
      <c r="G837">
        <v>1</v>
      </c>
      <c r="H837" s="12">
        <v>27.65</v>
      </c>
      <c r="I837" t="s">
        <v>26</v>
      </c>
      <c r="J837" t="s">
        <v>103</v>
      </c>
      <c r="K837">
        <v>4</v>
      </c>
      <c r="L837" t="s">
        <v>21</v>
      </c>
      <c r="M837">
        <v>50</v>
      </c>
      <c r="N837" s="21">
        <f t="shared" si="26"/>
        <v>27.65</v>
      </c>
      <c r="O837" s="21">
        <f t="shared" si="27"/>
        <v>8.2949999999999999</v>
      </c>
    </row>
    <row r="838" spans="1:15" x14ac:dyDescent="0.3">
      <c r="A838">
        <v>77934</v>
      </c>
      <c r="B838" s="1">
        <v>45673</v>
      </c>
      <c r="C838">
        <v>695</v>
      </c>
      <c r="D838">
        <v>20</v>
      </c>
      <c r="E838" t="s">
        <v>28</v>
      </c>
      <c r="F838" t="s">
        <v>29</v>
      </c>
      <c r="G838">
        <v>1</v>
      </c>
      <c r="H838" s="12">
        <v>66.239999999999995</v>
      </c>
      <c r="I838" t="s">
        <v>15</v>
      </c>
      <c r="J838" t="s">
        <v>179</v>
      </c>
      <c r="K838">
        <v>5</v>
      </c>
      <c r="M838">
        <v>27</v>
      </c>
      <c r="N838" s="21">
        <f t="shared" si="26"/>
        <v>66.239999999999995</v>
      </c>
      <c r="O838" s="21">
        <f t="shared" si="27"/>
        <v>19.871999999999996</v>
      </c>
    </row>
    <row r="839" spans="1:15" x14ac:dyDescent="0.3">
      <c r="A839">
        <v>47485</v>
      </c>
      <c r="B839" s="1">
        <v>45673</v>
      </c>
      <c r="C839">
        <v>868</v>
      </c>
      <c r="D839">
        <v>30</v>
      </c>
      <c r="E839" t="s">
        <v>37</v>
      </c>
      <c r="F839" t="s">
        <v>58</v>
      </c>
      <c r="G839">
        <v>1</v>
      </c>
      <c r="H839" s="12">
        <v>55.6</v>
      </c>
      <c r="I839" t="s">
        <v>35</v>
      </c>
      <c r="J839" t="s">
        <v>467</v>
      </c>
      <c r="K839">
        <v>5</v>
      </c>
      <c r="L839" t="s">
        <v>17</v>
      </c>
      <c r="M839">
        <v>55</v>
      </c>
      <c r="N839" s="21">
        <f t="shared" si="26"/>
        <v>55.6</v>
      </c>
      <c r="O839" s="21">
        <f t="shared" si="27"/>
        <v>16.68</v>
      </c>
    </row>
    <row r="840" spans="1:15" x14ac:dyDescent="0.3">
      <c r="A840">
        <v>86737</v>
      </c>
      <c r="B840" s="1">
        <v>45673</v>
      </c>
      <c r="C840">
        <v>352</v>
      </c>
      <c r="D840">
        <v>20</v>
      </c>
      <c r="E840" t="s">
        <v>28</v>
      </c>
      <c r="F840" t="s">
        <v>51</v>
      </c>
      <c r="G840">
        <v>1</v>
      </c>
      <c r="H840" s="12">
        <v>424.55</v>
      </c>
      <c r="I840" t="s">
        <v>15</v>
      </c>
      <c r="J840" t="s">
        <v>20</v>
      </c>
      <c r="K840">
        <v>3</v>
      </c>
      <c r="L840" t="s">
        <v>17</v>
      </c>
      <c r="M840">
        <v>24</v>
      </c>
      <c r="N840" s="21">
        <f t="shared" si="26"/>
        <v>424.55</v>
      </c>
      <c r="O840" s="21">
        <f t="shared" si="27"/>
        <v>127.36499999999999</v>
      </c>
    </row>
    <row r="841" spans="1:15" x14ac:dyDescent="0.3">
      <c r="A841">
        <v>23094</v>
      </c>
      <c r="B841" s="1">
        <v>45674</v>
      </c>
      <c r="C841">
        <v>658</v>
      </c>
      <c r="D841">
        <v>10</v>
      </c>
      <c r="E841" t="s">
        <v>13</v>
      </c>
      <c r="F841" t="s">
        <v>47</v>
      </c>
      <c r="G841">
        <v>2</v>
      </c>
      <c r="H841" s="12">
        <v>43.03</v>
      </c>
      <c r="I841" t="s">
        <v>15</v>
      </c>
      <c r="J841" t="s">
        <v>71</v>
      </c>
      <c r="K841">
        <v>5</v>
      </c>
      <c r="L841" t="s">
        <v>21</v>
      </c>
      <c r="M841">
        <v>56</v>
      </c>
      <c r="N841" s="21">
        <f t="shared" si="26"/>
        <v>86.06</v>
      </c>
      <c r="O841" s="21">
        <f t="shared" si="27"/>
        <v>25.818000000000001</v>
      </c>
    </row>
    <row r="842" spans="1:15" x14ac:dyDescent="0.3">
      <c r="A842">
        <v>49956</v>
      </c>
      <c r="B842" s="1">
        <v>45674</v>
      </c>
      <c r="C842">
        <v>675</v>
      </c>
      <c r="D842">
        <v>30</v>
      </c>
      <c r="E842" t="s">
        <v>37</v>
      </c>
      <c r="F842" t="s">
        <v>40</v>
      </c>
      <c r="G842">
        <v>5</v>
      </c>
      <c r="H842" s="12">
        <v>63.52</v>
      </c>
      <c r="I842" t="s">
        <v>35</v>
      </c>
      <c r="J842" t="s">
        <v>386</v>
      </c>
      <c r="K842">
        <v>4</v>
      </c>
      <c r="L842" t="s">
        <v>21</v>
      </c>
      <c r="M842">
        <v>24</v>
      </c>
      <c r="N842" s="21">
        <f t="shared" si="26"/>
        <v>317.60000000000002</v>
      </c>
      <c r="O842" s="21">
        <f t="shared" si="27"/>
        <v>95.28</v>
      </c>
    </row>
    <row r="843" spans="1:15" x14ac:dyDescent="0.3">
      <c r="A843">
        <v>79582</v>
      </c>
      <c r="B843" s="1">
        <v>45674</v>
      </c>
      <c r="C843">
        <v>388</v>
      </c>
      <c r="D843">
        <v>40</v>
      </c>
      <c r="E843" t="s">
        <v>24</v>
      </c>
      <c r="F843" t="s">
        <v>49</v>
      </c>
      <c r="G843">
        <v>1</v>
      </c>
      <c r="H843" s="12">
        <v>78.2</v>
      </c>
      <c r="I843" t="s">
        <v>26</v>
      </c>
      <c r="J843" t="s">
        <v>480</v>
      </c>
      <c r="K843">
        <v>1</v>
      </c>
      <c r="L843" t="s">
        <v>17</v>
      </c>
      <c r="M843">
        <v>66</v>
      </c>
      <c r="N843" s="21">
        <f t="shared" si="26"/>
        <v>78.2</v>
      </c>
      <c r="O843" s="21">
        <f t="shared" si="27"/>
        <v>23.46</v>
      </c>
    </row>
    <row r="844" spans="1:15" x14ac:dyDescent="0.3">
      <c r="A844">
        <v>78277</v>
      </c>
      <c r="B844" s="1">
        <v>45674</v>
      </c>
      <c r="C844">
        <v>157</v>
      </c>
      <c r="D844">
        <v>30</v>
      </c>
      <c r="E844" t="s">
        <v>37</v>
      </c>
      <c r="F844" t="s">
        <v>38</v>
      </c>
      <c r="G844">
        <v>4</v>
      </c>
      <c r="H844" s="12">
        <v>406.99</v>
      </c>
      <c r="I844" t="s">
        <v>15</v>
      </c>
      <c r="J844" t="s">
        <v>491</v>
      </c>
      <c r="L844" t="s">
        <v>21</v>
      </c>
      <c r="M844">
        <v>38</v>
      </c>
      <c r="N844" s="21">
        <f t="shared" si="26"/>
        <v>1627.96</v>
      </c>
      <c r="O844" s="21">
        <f t="shared" si="27"/>
        <v>488.38799999999998</v>
      </c>
    </row>
    <row r="845" spans="1:15" x14ac:dyDescent="0.3">
      <c r="A845">
        <v>21298</v>
      </c>
      <c r="B845" s="1">
        <v>45674</v>
      </c>
      <c r="C845">
        <v>479</v>
      </c>
      <c r="D845">
        <v>30</v>
      </c>
      <c r="E845" t="s">
        <v>37</v>
      </c>
      <c r="F845" t="s">
        <v>58</v>
      </c>
      <c r="G845">
        <v>4</v>
      </c>
      <c r="H845" s="12">
        <v>276.73</v>
      </c>
      <c r="I845" t="s">
        <v>15</v>
      </c>
      <c r="J845" t="s">
        <v>764</v>
      </c>
      <c r="K845">
        <v>3</v>
      </c>
      <c r="L845" t="s">
        <v>21</v>
      </c>
      <c r="M845">
        <v>55</v>
      </c>
      <c r="N845" s="21">
        <f t="shared" si="26"/>
        <v>1106.92</v>
      </c>
      <c r="O845" s="21">
        <f t="shared" si="27"/>
        <v>332.07600000000002</v>
      </c>
    </row>
    <row r="846" spans="1:15" x14ac:dyDescent="0.3">
      <c r="A846">
        <v>92942</v>
      </c>
      <c r="B846" s="1">
        <v>45674</v>
      </c>
      <c r="C846">
        <v>489</v>
      </c>
      <c r="D846">
        <v>20</v>
      </c>
      <c r="E846" t="s">
        <v>28</v>
      </c>
      <c r="F846" t="s">
        <v>77</v>
      </c>
      <c r="G846">
        <v>3</v>
      </c>
      <c r="H846" s="12">
        <v>171.95</v>
      </c>
      <c r="I846" t="s">
        <v>26</v>
      </c>
      <c r="J846" t="s">
        <v>967</v>
      </c>
      <c r="K846">
        <v>5</v>
      </c>
      <c r="L846" t="s">
        <v>17</v>
      </c>
      <c r="M846">
        <v>29</v>
      </c>
      <c r="N846" s="21">
        <f t="shared" si="26"/>
        <v>515.84999999999991</v>
      </c>
      <c r="O846" s="21">
        <f t="shared" si="27"/>
        <v>154.75499999999997</v>
      </c>
    </row>
    <row r="847" spans="1:15" x14ac:dyDescent="0.3">
      <c r="A847">
        <v>14911</v>
      </c>
      <c r="B847" s="1">
        <v>45675</v>
      </c>
      <c r="C847">
        <v>589</v>
      </c>
      <c r="D847">
        <v>30</v>
      </c>
      <c r="E847" t="s">
        <v>37</v>
      </c>
      <c r="F847" t="s">
        <v>95</v>
      </c>
      <c r="G847">
        <v>2</v>
      </c>
      <c r="H847" s="12">
        <v>231.85</v>
      </c>
      <c r="I847" t="s">
        <v>15</v>
      </c>
      <c r="J847" t="s">
        <v>567</v>
      </c>
      <c r="L847" t="s">
        <v>21</v>
      </c>
      <c r="M847">
        <v>74</v>
      </c>
      <c r="N847" s="21">
        <f t="shared" si="26"/>
        <v>463.7</v>
      </c>
      <c r="O847" s="21">
        <f t="shared" si="27"/>
        <v>139.10999999999999</v>
      </c>
    </row>
    <row r="848" spans="1:15" x14ac:dyDescent="0.3">
      <c r="A848">
        <v>91976</v>
      </c>
      <c r="B848" s="1">
        <v>45676</v>
      </c>
      <c r="C848">
        <v>321</v>
      </c>
      <c r="D848">
        <v>10</v>
      </c>
      <c r="E848" t="s">
        <v>13</v>
      </c>
      <c r="F848" t="s">
        <v>111</v>
      </c>
      <c r="G848">
        <v>2</v>
      </c>
      <c r="H848" s="12">
        <v>143.88</v>
      </c>
      <c r="I848" t="s">
        <v>26</v>
      </c>
      <c r="J848" t="s">
        <v>323</v>
      </c>
      <c r="K848">
        <v>4</v>
      </c>
      <c r="L848" t="s">
        <v>21</v>
      </c>
      <c r="M848">
        <v>74</v>
      </c>
      <c r="N848" s="21">
        <f t="shared" si="26"/>
        <v>287.76</v>
      </c>
      <c r="O848" s="21">
        <f t="shared" si="27"/>
        <v>86.327999999999989</v>
      </c>
    </row>
    <row r="849" spans="1:15" x14ac:dyDescent="0.3">
      <c r="A849">
        <v>94108</v>
      </c>
      <c r="B849" s="1">
        <v>45677</v>
      </c>
      <c r="C849">
        <v>837</v>
      </c>
      <c r="D849">
        <v>30</v>
      </c>
      <c r="E849" t="s">
        <v>37</v>
      </c>
      <c r="F849" t="s">
        <v>95</v>
      </c>
      <c r="G849">
        <v>2</v>
      </c>
      <c r="H849" s="12">
        <v>87.3</v>
      </c>
      <c r="I849" t="s">
        <v>35</v>
      </c>
      <c r="J849" t="s">
        <v>96</v>
      </c>
      <c r="K849">
        <v>5</v>
      </c>
      <c r="L849" t="s">
        <v>17</v>
      </c>
      <c r="M849">
        <v>72</v>
      </c>
      <c r="N849" s="21">
        <f t="shared" si="26"/>
        <v>174.6</v>
      </c>
      <c r="O849" s="21">
        <f t="shared" si="27"/>
        <v>52.379999999999995</v>
      </c>
    </row>
    <row r="850" spans="1:15" x14ac:dyDescent="0.3">
      <c r="A850">
        <v>84063</v>
      </c>
      <c r="B850" s="1">
        <v>45677</v>
      </c>
      <c r="C850">
        <v>744</v>
      </c>
      <c r="D850">
        <v>50</v>
      </c>
      <c r="E850" t="s">
        <v>18</v>
      </c>
      <c r="F850" t="s">
        <v>84</v>
      </c>
      <c r="G850">
        <v>5</v>
      </c>
      <c r="H850" s="12">
        <v>321.04000000000002</v>
      </c>
      <c r="I850" t="s">
        <v>26</v>
      </c>
      <c r="J850" t="s">
        <v>186</v>
      </c>
      <c r="K850">
        <v>5</v>
      </c>
      <c r="L850" t="s">
        <v>17</v>
      </c>
      <c r="M850">
        <v>43</v>
      </c>
      <c r="N850" s="21">
        <f t="shared" si="26"/>
        <v>1605.2</v>
      </c>
      <c r="O850" s="21">
        <f t="shared" si="27"/>
        <v>481.56</v>
      </c>
    </row>
    <row r="851" spans="1:15" x14ac:dyDescent="0.3">
      <c r="A851">
        <v>81896</v>
      </c>
      <c r="B851" s="1">
        <v>45677</v>
      </c>
      <c r="C851">
        <v>105</v>
      </c>
      <c r="D851">
        <v>40</v>
      </c>
      <c r="E851" t="s">
        <v>24</v>
      </c>
      <c r="F851" t="s">
        <v>25</v>
      </c>
      <c r="G851">
        <v>2</v>
      </c>
      <c r="H851" s="12">
        <v>307.58999999999997</v>
      </c>
      <c r="I851" t="s">
        <v>26</v>
      </c>
      <c r="J851" t="s">
        <v>610</v>
      </c>
      <c r="L851" t="s">
        <v>21</v>
      </c>
      <c r="M851">
        <v>21</v>
      </c>
      <c r="N851" s="21">
        <f t="shared" si="26"/>
        <v>615.17999999999995</v>
      </c>
      <c r="O851" s="21">
        <f t="shared" si="27"/>
        <v>184.55399999999997</v>
      </c>
    </row>
    <row r="852" spans="1:15" x14ac:dyDescent="0.3">
      <c r="A852">
        <v>54625</v>
      </c>
      <c r="B852" s="1">
        <v>45678</v>
      </c>
      <c r="C852">
        <v>539</v>
      </c>
      <c r="D852">
        <v>50</v>
      </c>
      <c r="E852" t="s">
        <v>18</v>
      </c>
      <c r="F852" t="s">
        <v>22</v>
      </c>
      <c r="G852">
        <v>3</v>
      </c>
      <c r="H852" s="12">
        <v>99.16</v>
      </c>
      <c r="I852" t="s">
        <v>15</v>
      </c>
      <c r="J852" t="s">
        <v>344</v>
      </c>
      <c r="K852">
        <v>4</v>
      </c>
      <c r="M852">
        <v>70</v>
      </c>
      <c r="N852" s="21">
        <f t="shared" si="26"/>
        <v>297.48</v>
      </c>
      <c r="O852" s="21">
        <f t="shared" si="27"/>
        <v>89.244</v>
      </c>
    </row>
    <row r="853" spans="1:15" x14ac:dyDescent="0.3">
      <c r="A853">
        <v>12572</v>
      </c>
      <c r="B853" s="1">
        <v>45679</v>
      </c>
      <c r="C853">
        <v>656</v>
      </c>
      <c r="D853">
        <v>20</v>
      </c>
      <c r="E853" t="s">
        <v>28</v>
      </c>
      <c r="F853" t="s">
        <v>79</v>
      </c>
      <c r="G853">
        <v>4</v>
      </c>
      <c r="H853" s="12">
        <v>226.45</v>
      </c>
      <c r="I853" t="s">
        <v>26</v>
      </c>
      <c r="J853" t="s">
        <v>215</v>
      </c>
      <c r="K853">
        <v>5</v>
      </c>
      <c r="L853" t="s">
        <v>21</v>
      </c>
      <c r="M853">
        <v>46</v>
      </c>
      <c r="N853" s="21">
        <f t="shared" si="26"/>
        <v>905.8</v>
      </c>
      <c r="O853" s="21">
        <f t="shared" si="27"/>
        <v>271.73999999999995</v>
      </c>
    </row>
    <row r="854" spans="1:15" x14ac:dyDescent="0.3">
      <c r="A854">
        <v>71609</v>
      </c>
      <c r="B854" s="1">
        <v>45679</v>
      </c>
      <c r="C854">
        <v>510</v>
      </c>
      <c r="D854">
        <v>20</v>
      </c>
      <c r="E854" t="s">
        <v>28</v>
      </c>
      <c r="F854" t="s">
        <v>51</v>
      </c>
      <c r="G854">
        <v>2</v>
      </c>
      <c r="H854" s="12">
        <v>345.89</v>
      </c>
      <c r="I854" t="s">
        <v>26</v>
      </c>
      <c r="J854" t="s">
        <v>970</v>
      </c>
      <c r="L854" t="s">
        <v>21</v>
      </c>
      <c r="M854">
        <v>24</v>
      </c>
      <c r="N854" s="21">
        <f t="shared" si="26"/>
        <v>691.78</v>
      </c>
      <c r="O854" s="21">
        <f t="shared" si="27"/>
        <v>207.53399999999999</v>
      </c>
    </row>
    <row r="855" spans="1:15" x14ac:dyDescent="0.3">
      <c r="A855">
        <v>82168</v>
      </c>
      <c r="B855" s="1">
        <v>45680</v>
      </c>
      <c r="C855">
        <v>653</v>
      </c>
      <c r="D855">
        <v>40</v>
      </c>
      <c r="E855" t="s">
        <v>24</v>
      </c>
      <c r="F855" t="s">
        <v>65</v>
      </c>
      <c r="G855">
        <v>2</v>
      </c>
      <c r="H855" s="12">
        <v>473.57</v>
      </c>
      <c r="I855" t="s">
        <v>15</v>
      </c>
      <c r="J855" t="s">
        <v>136</v>
      </c>
      <c r="K855">
        <v>5</v>
      </c>
      <c r="L855" t="s">
        <v>17</v>
      </c>
      <c r="M855">
        <v>44</v>
      </c>
      <c r="N855" s="21">
        <f t="shared" si="26"/>
        <v>947.14</v>
      </c>
      <c r="O855" s="21">
        <f t="shared" si="27"/>
        <v>284.142</v>
      </c>
    </row>
    <row r="856" spans="1:15" x14ac:dyDescent="0.3">
      <c r="A856">
        <v>60144</v>
      </c>
      <c r="B856" s="1">
        <v>45680</v>
      </c>
      <c r="C856">
        <v>287</v>
      </c>
      <c r="D856">
        <v>10</v>
      </c>
      <c r="E856" t="s">
        <v>13</v>
      </c>
      <c r="F856" t="s">
        <v>14</v>
      </c>
      <c r="G856">
        <v>4</v>
      </c>
      <c r="H856" s="12">
        <v>86.23</v>
      </c>
      <c r="I856" t="s">
        <v>35</v>
      </c>
      <c r="J856" t="s">
        <v>263</v>
      </c>
      <c r="L856" t="s">
        <v>21</v>
      </c>
      <c r="M856">
        <v>65</v>
      </c>
      <c r="N856" s="21">
        <f t="shared" si="26"/>
        <v>344.92</v>
      </c>
      <c r="O856" s="21">
        <f t="shared" si="27"/>
        <v>103.476</v>
      </c>
    </row>
    <row r="857" spans="1:15" x14ac:dyDescent="0.3">
      <c r="A857">
        <v>32331</v>
      </c>
      <c r="B857" s="1">
        <v>45680</v>
      </c>
      <c r="C857">
        <v>241</v>
      </c>
      <c r="D857">
        <v>30</v>
      </c>
      <c r="E857" t="s">
        <v>37</v>
      </c>
      <c r="F857" t="s">
        <v>95</v>
      </c>
      <c r="G857">
        <v>2</v>
      </c>
      <c r="H857" s="12">
        <v>487.93</v>
      </c>
      <c r="I857" t="s">
        <v>15</v>
      </c>
      <c r="J857" t="s">
        <v>355</v>
      </c>
      <c r="K857">
        <v>5</v>
      </c>
      <c r="L857" t="s">
        <v>17</v>
      </c>
      <c r="M857">
        <v>61</v>
      </c>
      <c r="N857" s="21">
        <f t="shared" si="26"/>
        <v>975.86</v>
      </c>
      <c r="O857" s="21">
        <f t="shared" si="27"/>
        <v>292.75799999999998</v>
      </c>
    </row>
    <row r="858" spans="1:15" x14ac:dyDescent="0.3">
      <c r="A858">
        <v>85009</v>
      </c>
      <c r="B858" s="1">
        <v>45680</v>
      </c>
      <c r="C858">
        <v>260</v>
      </c>
      <c r="D858">
        <v>50</v>
      </c>
      <c r="E858" t="s">
        <v>18</v>
      </c>
      <c r="F858" t="s">
        <v>22</v>
      </c>
      <c r="G858">
        <v>4</v>
      </c>
      <c r="H858" s="12">
        <v>109.06</v>
      </c>
      <c r="I858" t="s">
        <v>35</v>
      </c>
      <c r="J858" t="s">
        <v>408</v>
      </c>
      <c r="L858" t="s">
        <v>21</v>
      </c>
      <c r="M858">
        <v>21</v>
      </c>
      <c r="N858" s="21">
        <f t="shared" si="26"/>
        <v>436.24</v>
      </c>
      <c r="O858" s="21">
        <f t="shared" si="27"/>
        <v>130.87199999999999</v>
      </c>
    </row>
    <row r="859" spans="1:15" x14ac:dyDescent="0.3">
      <c r="A859">
        <v>21063</v>
      </c>
      <c r="B859" s="1">
        <v>45680</v>
      </c>
      <c r="C859">
        <v>327</v>
      </c>
      <c r="D859">
        <v>20</v>
      </c>
      <c r="E859" t="s">
        <v>28</v>
      </c>
      <c r="F859" t="s">
        <v>51</v>
      </c>
      <c r="G859">
        <v>2</v>
      </c>
      <c r="H859" s="12">
        <v>499.5</v>
      </c>
      <c r="I859" t="s">
        <v>26</v>
      </c>
      <c r="J859" t="s">
        <v>963</v>
      </c>
      <c r="L859" t="s">
        <v>21</v>
      </c>
      <c r="M859">
        <v>66</v>
      </c>
      <c r="N859" s="21">
        <f t="shared" si="26"/>
        <v>999</v>
      </c>
      <c r="O859" s="21">
        <f t="shared" si="27"/>
        <v>299.7</v>
      </c>
    </row>
    <row r="860" spans="1:15" x14ac:dyDescent="0.3">
      <c r="A860">
        <v>98627</v>
      </c>
      <c r="B860" s="1">
        <v>45681</v>
      </c>
      <c r="C860">
        <v>886</v>
      </c>
      <c r="D860">
        <v>30</v>
      </c>
      <c r="E860" t="s">
        <v>37</v>
      </c>
      <c r="F860" t="s">
        <v>40</v>
      </c>
      <c r="G860">
        <v>4</v>
      </c>
      <c r="H860" s="12">
        <v>346.54</v>
      </c>
      <c r="I860" t="s">
        <v>26</v>
      </c>
      <c r="J860" t="s">
        <v>251</v>
      </c>
      <c r="L860" t="s">
        <v>17</v>
      </c>
      <c r="M860">
        <v>25</v>
      </c>
      <c r="N860" s="21">
        <f t="shared" si="26"/>
        <v>1386.16</v>
      </c>
      <c r="O860" s="21">
        <f t="shared" si="27"/>
        <v>415.84800000000001</v>
      </c>
    </row>
    <row r="861" spans="1:15" x14ac:dyDescent="0.3">
      <c r="A861">
        <v>52566</v>
      </c>
      <c r="B861" s="1">
        <v>45681</v>
      </c>
      <c r="C861">
        <v>799</v>
      </c>
      <c r="D861">
        <v>30</v>
      </c>
      <c r="E861" t="s">
        <v>37</v>
      </c>
      <c r="F861" t="s">
        <v>68</v>
      </c>
      <c r="G861">
        <v>4</v>
      </c>
      <c r="H861" s="12">
        <v>114.85</v>
      </c>
      <c r="I861" t="s">
        <v>35</v>
      </c>
      <c r="J861" t="s">
        <v>385</v>
      </c>
      <c r="K861">
        <v>2</v>
      </c>
      <c r="L861" t="s">
        <v>17</v>
      </c>
      <c r="M861">
        <v>31</v>
      </c>
      <c r="N861" s="21">
        <f t="shared" si="26"/>
        <v>459.4</v>
      </c>
      <c r="O861" s="21">
        <f t="shared" si="27"/>
        <v>137.82</v>
      </c>
    </row>
    <row r="862" spans="1:15" x14ac:dyDescent="0.3">
      <c r="A862">
        <v>51729</v>
      </c>
      <c r="B862" s="1">
        <v>45681</v>
      </c>
      <c r="C862">
        <v>713</v>
      </c>
      <c r="D862">
        <v>50</v>
      </c>
      <c r="E862" t="s">
        <v>18</v>
      </c>
      <c r="F862" t="s">
        <v>22</v>
      </c>
      <c r="G862">
        <v>3</v>
      </c>
      <c r="H862" s="12">
        <v>318.44</v>
      </c>
      <c r="I862" t="s">
        <v>35</v>
      </c>
      <c r="J862" t="s">
        <v>988</v>
      </c>
      <c r="K862">
        <v>5</v>
      </c>
      <c r="L862" t="s">
        <v>17</v>
      </c>
      <c r="M862">
        <v>23</v>
      </c>
      <c r="N862" s="21">
        <f t="shared" si="26"/>
        <v>955.31999999999994</v>
      </c>
      <c r="O862" s="21">
        <f t="shared" si="27"/>
        <v>286.59599999999995</v>
      </c>
    </row>
    <row r="863" spans="1:15" x14ac:dyDescent="0.3">
      <c r="A863">
        <v>58283</v>
      </c>
      <c r="B863" s="1">
        <v>45682</v>
      </c>
      <c r="C863">
        <v>787</v>
      </c>
      <c r="D863">
        <v>30</v>
      </c>
      <c r="E863" t="s">
        <v>37</v>
      </c>
      <c r="F863" t="s">
        <v>95</v>
      </c>
      <c r="G863">
        <v>3</v>
      </c>
      <c r="H863" s="12">
        <v>138.16999999999999</v>
      </c>
      <c r="I863" t="s">
        <v>35</v>
      </c>
      <c r="J863" t="s">
        <v>437</v>
      </c>
      <c r="K863">
        <v>5</v>
      </c>
      <c r="L863" t="s">
        <v>17</v>
      </c>
      <c r="M863">
        <v>22</v>
      </c>
      <c r="N863" s="21">
        <f t="shared" si="26"/>
        <v>414.51</v>
      </c>
      <c r="O863" s="21">
        <f t="shared" si="27"/>
        <v>124.35299999999999</v>
      </c>
    </row>
    <row r="864" spans="1:15" x14ac:dyDescent="0.3">
      <c r="A864">
        <v>99243</v>
      </c>
      <c r="B864" s="1">
        <v>45682</v>
      </c>
      <c r="C864">
        <v>739</v>
      </c>
      <c r="D864">
        <v>10</v>
      </c>
      <c r="E864" t="s">
        <v>13</v>
      </c>
      <c r="F864" t="s">
        <v>111</v>
      </c>
      <c r="G864">
        <v>2</v>
      </c>
      <c r="H864" s="12">
        <v>10.72</v>
      </c>
      <c r="I864" t="s">
        <v>35</v>
      </c>
      <c r="J864" t="s">
        <v>561</v>
      </c>
      <c r="K864">
        <v>3</v>
      </c>
      <c r="L864" t="s">
        <v>17</v>
      </c>
      <c r="M864">
        <v>55</v>
      </c>
      <c r="N864" s="21">
        <f t="shared" si="26"/>
        <v>21.44</v>
      </c>
      <c r="O864" s="21">
        <f t="shared" si="27"/>
        <v>6.4320000000000004</v>
      </c>
    </row>
    <row r="865" spans="1:15" x14ac:dyDescent="0.3">
      <c r="A865">
        <v>41567</v>
      </c>
      <c r="B865" s="1">
        <v>45682</v>
      </c>
      <c r="C865">
        <v>292</v>
      </c>
      <c r="D865">
        <v>20</v>
      </c>
      <c r="E865" t="s">
        <v>28</v>
      </c>
      <c r="F865" t="s">
        <v>72</v>
      </c>
      <c r="G865">
        <v>4</v>
      </c>
      <c r="H865" s="12">
        <v>256.18</v>
      </c>
      <c r="I865" t="s">
        <v>15</v>
      </c>
      <c r="J865" t="s">
        <v>897</v>
      </c>
      <c r="L865" t="s">
        <v>17</v>
      </c>
      <c r="M865">
        <v>32</v>
      </c>
      <c r="N865" s="21">
        <f t="shared" si="26"/>
        <v>1024.72</v>
      </c>
      <c r="O865" s="21">
        <f t="shared" si="27"/>
        <v>307.416</v>
      </c>
    </row>
    <row r="866" spans="1:15" x14ac:dyDescent="0.3">
      <c r="A866">
        <v>47349</v>
      </c>
      <c r="B866" s="1">
        <v>45683</v>
      </c>
      <c r="C866">
        <v>517</v>
      </c>
      <c r="D866">
        <v>40</v>
      </c>
      <c r="E866" t="s">
        <v>24</v>
      </c>
      <c r="F866" t="s">
        <v>49</v>
      </c>
      <c r="G866">
        <v>2</v>
      </c>
      <c r="H866" s="12">
        <v>382.15</v>
      </c>
      <c r="I866" t="s">
        <v>26</v>
      </c>
      <c r="J866" t="s">
        <v>636</v>
      </c>
      <c r="K866">
        <v>5</v>
      </c>
      <c r="L866" t="s">
        <v>17</v>
      </c>
      <c r="M866">
        <v>47</v>
      </c>
      <c r="N866" s="21">
        <f t="shared" si="26"/>
        <v>764.3</v>
      </c>
      <c r="O866" s="21">
        <f t="shared" si="27"/>
        <v>229.29</v>
      </c>
    </row>
    <row r="867" spans="1:15" x14ac:dyDescent="0.3">
      <c r="A867">
        <v>46239</v>
      </c>
      <c r="B867" s="1">
        <v>45683</v>
      </c>
      <c r="C867">
        <v>413</v>
      </c>
      <c r="D867">
        <v>50</v>
      </c>
      <c r="E867" t="s">
        <v>18</v>
      </c>
      <c r="F867" t="s">
        <v>19</v>
      </c>
      <c r="G867">
        <v>2</v>
      </c>
      <c r="H867" s="12">
        <v>433.67</v>
      </c>
      <c r="I867" t="s">
        <v>35</v>
      </c>
      <c r="J867" t="s">
        <v>644</v>
      </c>
      <c r="M867">
        <v>52</v>
      </c>
      <c r="N867" s="21">
        <f t="shared" si="26"/>
        <v>867.34</v>
      </c>
      <c r="O867" s="21">
        <f t="shared" si="27"/>
        <v>260.202</v>
      </c>
    </row>
    <row r="868" spans="1:15" x14ac:dyDescent="0.3">
      <c r="A868">
        <v>94304</v>
      </c>
      <c r="B868" s="1">
        <v>45683</v>
      </c>
      <c r="C868">
        <v>701</v>
      </c>
      <c r="D868">
        <v>30</v>
      </c>
      <c r="E868" t="s">
        <v>37</v>
      </c>
      <c r="F868" t="s">
        <v>68</v>
      </c>
      <c r="G868">
        <v>5</v>
      </c>
      <c r="H868" s="12">
        <v>248.88</v>
      </c>
      <c r="I868" t="s">
        <v>15</v>
      </c>
      <c r="J868" t="s">
        <v>985</v>
      </c>
      <c r="K868">
        <v>4</v>
      </c>
      <c r="L868" t="s">
        <v>21</v>
      </c>
      <c r="M868">
        <v>56</v>
      </c>
      <c r="N868" s="21">
        <f t="shared" si="26"/>
        <v>1244.4000000000001</v>
      </c>
      <c r="O868" s="21">
        <f t="shared" si="27"/>
        <v>373.32</v>
      </c>
    </row>
    <row r="869" spans="1:15" x14ac:dyDescent="0.3">
      <c r="A869">
        <v>33859</v>
      </c>
      <c r="B869" s="1">
        <v>45683</v>
      </c>
      <c r="C869">
        <v>712</v>
      </c>
      <c r="D869">
        <v>20</v>
      </c>
      <c r="E869" t="s">
        <v>28</v>
      </c>
      <c r="F869" t="s">
        <v>77</v>
      </c>
      <c r="G869">
        <v>4</v>
      </c>
      <c r="H869" s="12">
        <v>334.68</v>
      </c>
      <c r="I869" t="s">
        <v>15</v>
      </c>
      <c r="J869" t="s">
        <v>998</v>
      </c>
      <c r="K869">
        <v>5</v>
      </c>
      <c r="L869" t="s">
        <v>17</v>
      </c>
      <c r="M869">
        <v>25</v>
      </c>
      <c r="N869" s="21">
        <f t="shared" si="26"/>
        <v>1338.72</v>
      </c>
      <c r="O869" s="21">
        <f t="shared" si="27"/>
        <v>401.61599999999999</v>
      </c>
    </row>
    <row r="870" spans="1:15" x14ac:dyDescent="0.3">
      <c r="A870">
        <v>51458</v>
      </c>
      <c r="B870" s="1">
        <v>45684</v>
      </c>
      <c r="C870">
        <v>400</v>
      </c>
      <c r="D870">
        <v>40</v>
      </c>
      <c r="E870" t="s">
        <v>24</v>
      </c>
      <c r="F870" t="s">
        <v>49</v>
      </c>
      <c r="G870">
        <v>1</v>
      </c>
      <c r="H870" s="12">
        <v>389.49</v>
      </c>
      <c r="I870" t="s">
        <v>35</v>
      </c>
      <c r="J870" t="s">
        <v>288</v>
      </c>
      <c r="K870">
        <v>4</v>
      </c>
      <c r="L870" t="s">
        <v>17</v>
      </c>
      <c r="M870">
        <v>19</v>
      </c>
      <c r="N870" s="21">
        <f t="shared" si="26"/>
        <v>389.49</v>
      </c>
      <c r="O870" s="21">
        <f t="shared" si="27"/>
        <v>116.84699999999999</v>
      </c>
    </row>
    <row r="871" spans="1:15" x14ac:dyDescent="0.3">
      <c r="A871">
        <v>96947</v>
      </c>
      <c r="B871" s="1">
        <v>45684</v>
      </c>
      <c r="C871">
        <v>148</v>
      </c>
      <c r="D871">
        <v>40</v>
      </c>
      <c r="E871" t="s">
        <v>24</v>
      </c>
      <c r="F871" t="s">
        <v>63</v>
      </c>
      <c r="G871">
        <v>5</v>
      </c>
      <c r="H871" s="12">
        <v>291.22000000000003</v>
      </c>
      <c r="I871" t="s">
        <v>35</v>
      </c>
      <c r="J871" t="s">
        <v>333</v>
      </c>
      <c r="K871">
        <v>3</v>
      </c>
      <c r="L871" t="s">
        <v>21</v>
      </c>
      <c r="M871">
        <v>35</v>
      </c>
      <c r="N871" s="21">
        <f t="shared" si="26"/>
        <v>1456.1000000000001</v>
      </c>
      <c r="O871" s="21">
        <f t="shared" si="27"/>
        <v>436.83000000000004</v>
      </c>
    </row>
    <row r="872" spans="1:15" x14ac:dyDescent="0.3">
      <c r="A872">
        <v>46059</v>
      </c>
      <c r="B872" s="1">
        <v>45684</v>
      </c>
      <c r="C872">
        <v>266</v>
      </c>
      <c r="D872">
        <v>20</v>
      </c>
      <c r="E872" t="s">
        <v>28</v>
      </c>
      <c r="F872" t="s">
        <v>72</v>
      </c>
      <c r="G872">
        <v>4</v>
      </c>
      <c r="H872" s="12">
        <v>474.27</v>
      </c>
      <c r="I872" t="s">
        <v>35</v>
      </c>
      <c r="J872" t="s">
        <v>346</v>
      </c>
      <c r="K872">
        <v>5</v>
      </c>
      <c r="L872" t="s">
        <v>17</v>
      </c>
      <c r="M872">
        <v>40</v>
      </c>
      <c r="N872" s="21">
        <f t="shared" si="26"/>
        <v>1897.08</v>
      </c>
      <c r="O872" s="21">
        <f t="shared" si="27"/>
        <v>569.12399999999991</v>
      </c>
    </row>
    <row r="873" spans="1:15" x14ac:dyDescent="0.3">
      <c r="A873">
        <v>34224</v>
      </c>
      <c r="B873" s="1">
        <v>45684</v>
      </c>
      <c r="C873">
        <v>347</v>
      </c>
      <c r="D873">
        <v>10</v>
      </c>
      <c r="E873" t="s">
        <v>13</v>
      </c>
      <c r="F873" t="s">
        <v>111</v>
      </c>
      <c r="G873">
        <v>5</v>
      </c>
      <c r="H873" s="12">
        <v>410.38</v>
      </c>
      <c r="I873" t="s">
        <v>26</v>
      </c>
      <c r="J873" t="s">
        <v>528</v>
      </c>
      <c r="K873">
        <v>5</v>
      </c>
      <c r="L873" t="s">
        <v>17</v>
      </c>
      <c r="M873">
        <v>35</v>
      </c>
      <c r="N873" s="21">
        <f t="shared" si="26"/>
        <v>2051.9</v>
      </c>
      <c r="O873" s="21">
        <f t="shared" si="27"/>
        <v>615.57000000000005</v>
      </c>
    </row>
    <row r="874" spans="1:15" x14ac:dyDescent="0.3">
      <c r="A874">
        <v>77523</v>
      </c>
      <c r="B874" s="1">
        <v>45685</v>
      </c>
      <c r="C874">
        <v>543</v>
      </c>
      <c r="D874">
        <v>30</v>
      </c>
      <c r="E874" t="s">
        <v>37</v>
      </c>
      <c r="F874" t="s">
        <v>58</v>
      </c>
      <c r="G874">
        <v>5</v>
      </c>
      <c r="H874" s="12">
        <v>355.65</v>
      </c>
      <c r="I874" t="s">
        <v>26</v>
      </c>
      <c r="J874" t="s">
        <v>196</v>
      </c>
      <c r="K874">
        <v>5</v>
      </c>
      <c r="M874">
        <v>21</v>
      </c>
      <c r="N874" s="21">
        <f t="shared" si="26"/>
        <v>1778.25</v>
      </c>
      <c r="O874" s="21">
        <f t="shared" si="27"/>
        <v>533.47500000000002</v>
      </c>
    </row>
    <row r="875" spans="1:15" x14ac:dyDescent="0.3">
      <c r="A875">
        <v>26392</v>
      </c>
      <c r="B875" s="1">
        <v>45685</v>
      </c>
      <c r="C875">
        <v>282</v>
      </c>
      <c r="D875">
        <v>20</v>
      </c>
      <c r="E875" t="s">
        <v>28</v>
      </c>
      <c r="F875" t="s">
        <v>72</v>
      </c>
      <c r="G875">
        <v>1</v>
      </c>
      <c r="H875" s="12">
        <v>467.54</v>
      </c>
      <c r="I875" t="s">
        <v>35</v>
      </c>
      <c r="J875" t="s">
        <v>358</v>
      </c>
      <c r="K875">
        <v>3</v>
      </c>
      <c r="L875" t="s">
        <v>17</v>
      </c>
      <c r="M875">
        <v>73</v>
      </c>
      <c r="N875" s="21">
        <f t="shared" si="26"/>
        <v>467.54</v>
      </c>
      <c r="O875" s="21">
        <f t="shared" si="27"/>
        <v>140.262</v>
      </c>
    </row>
    <row r="876" spans="1:15" x14ac:dyDescent="0.3">
      <c r="A876">
        <v>22599</v>
      </c>
      <c r="B876" s="1">
        <v>45685</v>
      </c>
      <c r="C876">
        <v>888</v>
      </c>
      <c r="D876">
        <v>40</v>
      </c>
      <c r="E876" t="s">
        <v>24</v>
      </c>
      <c r="F876" t="s">
        <v>65</v>
      </c>
      <c r="G876">
        <v>4</v>
      </c>
      <c r="H876" s="12">
        <v>36.270000000000003</v>
      </c>
      <c r="I876" t="s">
        <v>26</v>
      </c>
      <c r="J876" t="s">
        <v>504</v>
      </c>
      <c r="K876">
        <v>5</v>
      </c>
      <c r="L876" t="s">
        <v>17</v>
      </c>
      <c r="M876">
        <v>18</v>
      </c>
      <c r="N876" s="21">
        <f t="shared" si="26"/>
        <v>145.08000000000001</v>
      </c>
      <c r="O876" s="21">
        <f t="shared" si="27"/>
        <v>43.524000000000001</v>
      </c>
    </row>
    <row r="877" spans="1:15" x14ac:dyDescent="0.3">
      <c r="A877">
        <v>56948</v>
      </c>
      <c r="B877" s="1">
        <v>45685</v>
      </c>
      <c r="C877">
        <v>349</v>
      </c>
      <c r="D877">
        <v>20</v>
      </c>
      <c r="E877" t="s">
        <v>28</v>
      </c>
      <c r="F877" t="s">
        <v>77</v>
      </c>
      <c r="G877">
        <v>3</v>
      </c>
      <c r="H877" s="12">
        <v>350.64</v>
      </c>
      <c r="I877" t="s">
        <v>35</v>
      </c>
      <c r="J877" t="s">
        <v>676</v>
      </c>
      <c r="L877" t="s">
        <v>21</v>
      </c>
      <c r="M877">
        <v>55</v>
      </c>
      <c r="N877" s="21">
        <f t="shared" si="26"/>
        <v>1051.92</v>
      </c>
      <c r="O877" s="21">
        <f t="shared" si="27"/>
        <v>315.57600000000002</v>
      </c>
    </row>
    <row r="878" spans="1:15" x14ac:dyDescent="0.3">
      <c r="A878">
        <v>54453</v>
      </c>
      <c r="B878" s="1">
        <v>45685</v>
      </c>
      <c r="C878">
        <v>246</v>
      </c>
      <c r="D878">
        <v>30</v>
      </c>
      <c r="E878" t="s">
        <v>37</v>
      </c>
      <c r="F878" t="s">
        <v>58</v>
      </c>
      <c r="G878">
        <v>2</v>
      </c>
      <c r="H878" s="12">
        <v>117.78</v>
      </c>
      <c r="I878" t="s">
        <v>15</v>
      </c>
      <c r="J878" t="s">
        <v>728</v>
      </c>
      <c r="K878">
        <v>4</v>
      </c>
      <c r="L878" t="s">
        <v>17</v>
      </c>
      <c r="M878">
        <v>19</v>
      </c>
      <c r="N878" s="21">
        <f t="shared" si="26"/>
        <v>235.56</v>
      </c>
      <c r="O878" s="21">
        <f t="shared" si="27"/>
        <v>70.667999999999992</v>
      </c>
    </row>
    <row r="879" spans="1:15" x14ac:dyDescent="0.3">
      <c r="A879">
        <v>93036</v>
      </c>
      <c r="B879" s="1">
        <v>45685</v>
      </c>
      <c r="C879">
        <v>964</v>
      </c>
      <c r="D879">
        <v>50</v>
      </c>
      <c r="E879" t="s">
        <v>18</v>
      </c>
      <c r="F879" t="s">
        <v>34</v>
      </c>
      <c r="G879">
        <v>4</v>
      </c>
      <c r="H879" s="12">
        <v>189.3</v>
      </c>
      <c r="I879" t="s">
        <v>26</v>
      </c>
      <c r="J879" t="s">
        <v>817</v>
      </c>
      <c r="K879">
        <v>4</v>
      </c>
      <c r="L879" t="s">
        <v>21</v>
      </c>
      <c r="M879">
        <v>30</v>
      </c>
      <c r="N879" s="21">
        <f t="shared" si="26"/>
        <v>757.2</v>
      </c>
      <c r="O879" s="21">
        <f t="shared" si="27"/>
        <v>227.16</v>
      </c>
    </row>
    <row r="880" spans="1:15" x14ac:dyDescent="0.3">
      <c r="A880">
        <v>43949</v>
      </c>
      <c r="B880" s="1">
        <v>45685</v>
      </c>
      <c r="C880">
        <v>346</v>
      </c>
      <c r="D880">
        <v>30</v>
      </c>
      <c r="E880" t="s">
        <v>37</v>
      </c>
      <c r="F880" t="s">
        <v>40</v>
      </c>
      <c r="G880">
        <v>3</v>
      </c>
      <c r="H880" s="12">
        <v>158.75</v>
      </c>
      <c r="I880" t="s">
        <v>15</v>
      </c>
      <c r="J880" t="s">
        <v>842</v>
      </c>
      <c r="K880">
        <v>4</v>
      </c>
      <c r="L880" t="s">
        <v>17</v>
      </c>
      <c r="M880">
        <v>27</v>
      </c>
      <c r="N880" s="21">
        <f t="shared" si="26"/>
        <v>476.25</v>
      </c>
      <c r="O880" s="21">
        <f t="shared" si="27"/>
        <v>142.875</v>
      </c>
    </row>
    <row r="881" spans="1:15" x14ac:dyDescent="0.3">
      <c r="A881">
        <v>11479</v>
      </c>
      <c r="B881" s="1">
        <v>45685</v>
      </c>
      <c r="C881">
        <v>331</v>
      </c>
      <c r="D881">
        <v>20</v>
      </c>
      <c r="E881" t="s">
        <v>28</v>
      </c>
      <c r="F881" t="s">
        <v>51</v>
      </c>
      <c r="G881">
        <v>2</v>
      </c>
      <c r="H881" s="12">
        <v>452.6</v>
      </c>
      <c r="I881" t="s">
        <v>35</v>
      </c>
      <c r="J881" t="s">
        <v>1002</v>
      </c>
      <c r="K881">
        <v>5</v>
      </c>
      <c r="L881" t="s">
        <v>17</v>
      </c>
      <c r="M881">
        <v>48</v>
      </c>
      <c r="N881" s="21">
        <f t="shared" si="26"/>
        <v>905.2</v>
      </c>
      <c r="O881" s="21">
        <f t="shared" si="27"/>
        <v>271.56</v>
      </c>
    </row>
    <row r="882" spans="1:15" x14ac:dyDescent="0.3">
      <c r="A882">
        <v>58103</v>
      </c>
      <c r="B882" s="1">
        <v>45686</v>
      </c>
      <c r="C882">
        <v>389</v>
      </c>
      <c r="D882">
        <v>30</v>
      </c>
      <c r="E882" t="s">
        <v>37</v>
      </c>
      <c r="F882" t="s">
        <v>68</v>
      </c>
      <c r="G882">
        <v>3</v>
      </c>
      <c r="H882" s="12">
        <v>435.37</v>
      </c>
      <c r="I882" t="s">
        <v>35</v>
      </c>
      <c r="J882" t="s">
        <v>254</v>
      </c>
      <c r="L882" t="s">
        <v>21</v>
      </c>
      <c r="M882">
        <v>18</v>
      </c>
      <c r="N882" s="21">
        <f t="shared" si="26"/>
        <v>1306.1100000000001</v>
      </c>
      <c r="O882" s="21">
        <f t="shared" si="27"/>
        <v>391.83300000000003</v>
      </c>
    </row>
    <row r="883" spans="1:15" x14ac:dyDescent="0.3">
      <c r="A883">
        <v>50813</v>
      </c>
      <c r="B883" s="1">
        <v>45686</v>
      </c>
      <c r="C883">
        <v>481</v>
      </c>
      <c r="D883">
        <v>50</v>
      </c>
      <c r="E883" t="s">
        <v>18</v>
      </c>
      <c r="F883" t="s">
        <v>87</v>
      </c>
      <c r="G883">
        <v>4</v>
      </c>
      <c r="H883" s="12">
        <v>173.35</v>
      </c>
      <c r="I883" t="s">
        <v>35</v>
      </c>
      <c r="J883" t="s">
        <v>290</v>
      </c>
      <c r="K883">
        <v>5</v>
      </c>
      <c r="M883">
        <v>70</v>
      </c>
      <c r="N883" s="21">
        <f t="shared" si="26"/>
        <v>693.4</v>
      </c>
      <c r="O883" s="21">
        <f t="shared" si="27"/>
        <v>208.01999999999998</v>
      </c>
    </row>
    <row r="884" spans="1:15" x14ac:dyDescent="0.3">
      <c r="A884">
        <v>19925</v>
      </c>
      <c r="B884" s="1">
        <v>45686</v>
      </c>
      <c r="C884">
        <v>747</v>
      </c>
      <c r="D884">
        <v>20</v>
      </c>
      <c r="E884" t="s">
        <v>28</v>
      </c>
      <c r="F884" t="s">
        <v>79</v>
      </c>
      <c r="G884">
        <v>3</v>
      </c>
      <c r="H884" s="12">
        <v>364.55</v>
      </c>
      <c r="I884" t="s">
        <v>26</v>
      </c>
      <c r="J884" t="s">
        <v>892</v>
      </c>
      <c r="L884" t="s">
        <v>17</v>
      </c>
      <c r="M884">
        <v>51</v>
      </c>
      <c r="N884" s="21">
        <f t="shared" si="26"/>
        <v>1093.6500000000001</v>
      </c>
      <c r="O884" s="21">
        <f t="shared" si="27"/>
        <v>328.09500000000003</v>
      </c>
    </row>
    <row r="885" spans="1:15" x14ac:dyDescent="0.3">
      <c r="A885">
        <v>91017</v>
      </c>
      <c r="B885" s="1">
        <v>45686</v>
      </c>
      <c r="C885">
        <v>408</v>
      </c>
      <c r="D885">
        <v>40</v>
      </c>
      <c r="E885" t="s">
        <v>24</v>
      </c>
      <c r="F885" t="s">
        <v>63</v>
      </c>
      <c r="G885">
        <v>2</v>
      </c>
      <c r="H885" s="12">
        <v>436.2</v>
      </c>
      <c r="I885" t="s">
        <v>15</v>
      </c>
      <c r="J885" t="s">
        <v>895</v>
      </c>
      <c r="K885">
        <v>5</v>
      </c>
      <c r="L885" t="s">
        <v>17</v>
      </c>
      <c r="M885">
        <v>26</v>
      </c>
      <c r="N885" s="21">
        <f t="shared" si="26"/>
        <v>872.4</v>
      </c>
      <c r="O885" s="21">
        <f t="shared" si="27"/>
        <v>261.71999999999997</v>
      </c>
    </row>
    <row r="886" spans="1:15" x14ac:dyDescent="0.3">
      <c r="A886">
        <v>66073</v>
      </c>
      <c r="B886" s="1">
        <v>45687</v>
      </c>
      <c r="C886">
        <v>983</v>
      </c>
      <c r="D886">
        <v>30</v>
      </c>
      <c r="E886" t="s">
        <v>37</v>
      </c>
      <c r="F886" t="s">
        <v>40</v>
      </c>
      <c r="G886">
        <v>2</v>
      </c>
      <c r="H886" s="12">
        <v>469.33</v>
      </c>
      <c r="I886" t="s">
        <v>35</v>
      </c>
      <c r="J886" t="s">
        <v>419</v>
      </c>
      <c r="K886">
        <v>5</v>
      </c>
      <c r="L886" t="s">
        <v>21</v>
      </c>
      <c r="M886">
        <v>40</v>
      </c>
      <c r="N886" s="21">
        <f t="shared" si="26"/>
        <v>938.66</v>
      </c>
      <c r="O886" s="21">
        <f t="shared" si="27"/>
        <v>281.59799999999996</v>
      </c>
    </row>
    <row r="887" spans="1:15" x14ac:dyDescent="0.3">
      <c r="A887">
        <v>25091</v>
      </c>
      <c r="B887" s="1">
        <v>45687</v>
      </c>
      <c r="C887">
        <v>766</v>
      </c>
      <c r="D887">
        <v>50</v>
      </c>
      <c r="E887" t="s">
        <v>18</v>
      </c>
      <c r="F887" t="s">
        <v>22</v>
      </c>
      <c r="G887">
        <v>5</v>
      </c>
      <c r="H887" s="12">
        <v>119.75</v>
      </c>
      <c r="I887" t="s">
        <v>35</v>
      </c>
      <c r="J887" t="s">
        <v>694</v>
      </c>
      <c r="K887">
        <v>5</v>
      </c>
      <c r="L887" t="s">
        <v>17</v>
      </c>
      <c r="M887">
        <v>20</v>
      </c>
      <c r="N887" s="21">
        <f t="shared" si="26"/>
        <v>598.75</v>
      </c>
      <c r="O887" s="21">
        <f t="shared" si="27"/>
        <v>179.625</v>
      </c>
    </row>
    <row r="888" spans="1:15" x14ac:dyDescent="0.3">
      <c r="A888">
        <v>98363</v>
      </c>
      <c r="B888" s="1">
        <v>45687</v>
      </c>
      <c r="C888">
        <v>332</v>
      </c>
      <c r="D888">
        <v>40</v>
      </c>
      <c r="E888" t="s">
        <v>24</v>
      </c>
      <c r="F888" t="s">
        <v>25</v>
      </c>
      <c r="G888">
        <v>2</v>
      </c>
      <c r="H888" s="12">
        <v>160.94</v>
      </c>
      <c r="I888" t="s">
        <v>26</v>
      </c>
      <c r="J888" t="s">
        <v>1000</v>
      </c>
      <c r="L888" t="s">
        <v>21</v>
      </c>
      <c r="M888">
        <v>27</v>
      </c>
      <c r="N888" s="21">
        <f t="shared" si="26"/>
        <v>321.88</v>
      </c>
      <c r="O888" s="21">
        <f t="shared" si="27"/>
        <v>96.563999999999993</v>
      </c>
    </row>
    <row r="889" spans="1:15" x14ac:dyDescent="0.3">
      <c r="A889">
        <v>27389</v>
      </c>
      <c r="B889" s="1">
        <v>45688</v>
      </c>
      <c r="C889">
        <v>549</v>
      </c>
      <c r="D889">
        <v>10</v>
      </c>
      <c r="E889" t="s">
        <v>13</v>
      </c>
      <c r="F889" t="s">
        <v>42</v>
      </c>
      <c r="G889">
        <v>2</v>
      </c>
      <c r="H889" s="12">
        <v>321.14</v>
      </c>
      <c r="I889" t="s">
        <v>35</v>
      </c>
      <c r="J889" t="s">
        <v>43</v>
      </c>
      <c r="K889">
        <v>5</v>
      </c>
      <c r="L889" t="s">
        <v>21</v>
      </c>
      <c r="M889">
        <v>26</v>
      </c>
      <c r="N889" s="21">
        <f t="shared" si="26"/>
        <v>642.28</v>
      </c>
      <c r="O889" s="21">
        <f t="shared" si="27"/>
        <v>192.684</v>
      </c>
    </row>
    <row r="890" spans="1:15" x14ac:dyDescent="0.3">
      <c r="A890">
        <v>47548</v>
      </c>
      <c r="B890" s="1">
        <v>45688</v>
      </c>
      <c r="C890">
        <v>381</v>
      </c>
      <c r="D890">
        <v>30</v>
      </c>
      <c r="E890" t="s">
        <v>37</v>
      </c>
      <c r="F890" t="s">
        <v>68</v>
      </c>
      <c r="G890">
        <v>2</v>
      </c>
      <c r="H890" s="12">
        <v>226.48</v>
      </c>
      <c r="I890" t="s">
        <v>35</v>
      </c>
      <c r="J890" t="s">
        <v>122</v>
      </c>
      <c r="K890">
        <v>1</v>
      </c>
      <c r="L890" t="s">
        <v>17</v>
      </c>
      <c r="M890">
        <v>36</v>
      </c>
      <c r="N890" s="21">
        <f t="shared" si="26"/>
        <v>452.96</v>
      </c>
      <c r="O890" s="21">
        <f t="shared" si="27"/>
        <v>135.88799999999998</v>
      </c>
    </row>
    <row r="891" spans="1:15" x14ac:dyDescent="0.3">
      <c r="A891">
        <v>93644</v>
      </c>
      <c r="B891" s="1">
        <v>45688</v>
      </c>
      <c r="C891">
        <v>734</v>
      </c>
      <c r="D891">
        <v>20</v>
      </c>
      <c r="E891" t="s">
        <v>28</v>
      </c>
      <c r="F891" t="s">
        <v>51</v>
      </c>
      <c r="G891">
        <v>2</v>
      </c>
      <c r="H891" s="12">
        <v>361.74</v>
      </c>
      <c r="I891" t="s">
        <v>15</v>
      </c>
      <c r="J891" t="s">
        <v>878</v>
      </c>
      <c r="K891">
        <v>5</v>
      </c>
      <c r="L891" t="s">
        <v>21</v>
      </c>
      <c r="M891">
        <v>33</v>
      </c>
      <c r="N891" s="21">
        <f t="shared" si="26"/>
        <v>723.48</v>
      </c>
      <c r="O891" s="21">
        <f t="shared" si="27"/>
        <v>217.04400000000001</v>
      </c>
    </row>
    <row r="892" spans="1:15" x14ac:dyDescent="0.3">
      <c r="A892">
        <v>67837</v>
      </c>
      <c r="B892" s="1">
        <v>45690</v>
      </c>
      <c r="C892">
        <v>671</v>
      </c>
      <c r="D892">
        <v>40</v>
      </c>
      <c r="E892" t="s">
        <v>24</v>
      </c>
      <c r="F892" t="s">
        <v>44</v>
      </c>
      <c r="G892">
        <v>1</v>
      </c>
      <c r="H892" s="12">
        <v>281.72000000000003</v>
      </c>
      <c r="I892" t="s">
        <v>15</v>
      </c>
      <c r="J892" t="s">
        <v>303</v>
      </c>
      <c r="K892">
        <v>5</v>
      </c>
      <c r="L892" t="s">
        <v>17</v>
      </c>
      <c r="M892">
        <v>39</v>
      </c>
      <c r="N892" s="21">
        <f t="shared" si="26"/>
        <v>281.72000000000003</v>
      </c>
      <c r="O892" s="21">
        <f t="shared" si="27"/>
        <v>84.516000000000005</v>
      </c>
    </row>
    <row r="893" spans="1:15" x14ac:dyDescent="0.3">
      <c r="A893">
        <v>45699</v>
      </c>
      <c r="B893" s="1">
        <v>45691</v>
      </c>
      <c r="C893">
        <v>200</v>
      </c>
      <c r="D893">
        <v>20</v>
      </c>
      <c r="E893" t="s">
        <v>28</v>
      </c>
      <c r="F893" t="s">
        <v>77</v>
      </c>
      <c r="G893">
        <v>3</v>
      </c>
      <c r="H893" s="12">
        <v>17.95</v>
      </c>
      <c r="I893" t="s">
        <v>35</v>
      </c>
      <c r="J893" t="s">
        <v>439</v>
      </c>
      <c r="K893">
        <v>5</v>
      </c>
      <c r="L893" t="s">
        <v>17</v>
      </c>
      <c r="M893">
        <v>26</v>
      </c>
      <c r="N893" s="21">
        <f t="shared" si="26"/>
        <v>53.849999999999994</v>
      </c>
      <c r="O893" s="21">
        <f t="shared" si="27"/>
        <v>16.154999999999998</v>
      </c>
    </row>
    <row r="894" spans="1:15" x14ac:dyDescent="0.3">
      <c r="A894">
        <v>55098</v>
      </c>
      <c r="B894" s="1">
        <v>45692</v>
      </c>
      <c r="C894">
        <v>684</v>
      </c>
      <c r="D894">
        <v>50</v>
      </c>
      <c r="E894" t="s">
        <v>18</v>
      </c>
      <c r="F894" t="s">
        <v>22</v>
      </c>
      <c r="G894">
        <v>5</v>
      </c>
      <c r="H894" s="12">
        <v>23</v>
      </c>
      <c r="I894" t="s">
        <v>15</v>
      </c>
      <c r="J894" t="s">
        <v>23</v>
      </c>
      <c r="K894">
        <v>5</v>
      </c>
      <c r="L894" t="s">
        <v>17</v>
      </c>
      <c r="M894">
        <v>64</v>
      </c>
      <c r="N894" s="21">
        <f t="shared" si="26"/>
        <v>115</v>
      </c>
      <c r="O894" s="21">
        <f t="shared" si="27"/>
        <v>34.5</v>
      </c>
    </row>
    <row r="895" spans="1:15" x14ac:dyDescent="0.3">
      <c r="A895">
        <v>66682</v>
      </c>
      <c r="B895" s="1">
        <v>45692</v>
      </c>
      <c r="C895">
        <v>632</v>
      </c>
      <c r="D895">
        <v>50</v>
      </c>
      <c r="E895" t="s">
        <v>18</v>
      </c>
      <c r="F895" t="s">
        <v>34</v>
      </c>
      <c r="G895">
        <v>1</v>
      </c>
      <c r="H895" s="12">
        <v>315.08999999999997</v>
      </c>
      <c r="I895" t="s">
        <v>26</v>
      </c>
      <c r="J895" t="s">
        <v>191</v>
      </c>
      <c r="K895">
        <v>5</v>
      </c>
      <c r="L895" t="s">
        <v>17</v>
      </c>
      <c r="M895">
        <v>42</v>
      </c>
      <c r="N895" s="21">
        <f t="shared" si="26"/>
        <v>315.08999999999997</v>
      </c>
      <c r="O895" s="21">
        <f t="shared" si="27"/>
        <v>94.526999999999987</v>
      </c>
    </row>
    <row r="896" spans="1:15" x14ac:dyDescent="0.3">
      <c r="A896">
        <v>25852</v>
      </c>
      <c r="B896" s="1">
        <v>45692</v>
      </c>
      <c r="C896">
        <v>544</v>
      </c>
      <c r="D896">
        <v>20</v>
      </c>
      <c r="E896" t="s">
        <v>28</v>
      </c>
      <c r="F896" t="s">
        <v>79</v>
      </c>
      <c r="G896">
        <v>3</v>
      </c>
      <c r="H896" s="12">
        <v>79.959999999999994</v>
      </c>
      <c r="I896" t="s">
        <v>35</v>
      </c>
      <c r="J896" t="s">
        <v>330</v>
      </c>
      <c r="K896">
        <v>5</v>
      </c>
      <c r="L896" t="s">
        <v>21</v>
      </c>
      <c r="M896">
        <v>21</v>
      </c>
      <c r="N896" s="21">
        <f t="shared" si="26"/>
        <v>239.88</v>
      </c>
      <c r="O896" s="21">
        <f t="shared" si="27"/>
        <v>71.963999999999999</v>
      </c>
    </row>
    <row r="897" spans="1:15" x14ac:dyDescent="0.3">
      <c r="A897">
        <v>88218</v>
      </c>
      <c r="B897" s="1">
        <v>45692</v>
      </c>
      <c r="C897">
        <v>299</v>
      </c>
      <c r="D897">
        <v>20</v>
      </c>
      <c r="E897" t="s">
        <v>28</v>
      </c>
      <c r="F897" t="s">
        <v>29</v>
      </c>
      <c r="G897">
        <v>3</v>
      </c>
      <c r="H897" s="12">
        <v>225.1</v>
      </c>
      <c r="I897" t="s">
        <v>15</v>
      </c>
      <c r="J897" t="s">
        <v>795</v>
      </c>
      <c r="K897">
        <v>5</v>
      </c>
      <c r="M897">
        <v>40</v>
      </c>
      <c r="N897" s="21">
        <f t="shared" si="26"/>
        <v>675.3</v>
      </c>
      <c r="O897" s="21">
        <f t="shared" si="27"/>
        <v>202.58999999999997</v>
      </c>
    </row>
    <row r="898" spans="1:15" x14ac:dyDescent="0.3">
      <c r="A898">
        <v>45081</v>
      </c>
      <c r="B898" s="1">
        <v>45693</v>
      </c>
      <c r="C898">
        <v>721</v>
      </c>
      <c r="D898">
        <v>20</v>
      </c>
      <c r="E898" t="s">
        <v>28</v>
      </c>
      <c r="F898" t="s">
        <v>72</v>
      </c>
      <c r="G898">
        <v>4</v>
      </c>
      <c r="H898" s="12">
        <v>31.75</v>
      </c>
      <c r="I898" t="s">
        <v>26</v>
      </c>
      <c r="J898" t="s">
        <v>116</v>
      </c>
      <c r="M898">
        <v>55</v>
      </c>
      <c r="N898" s="21">
        <f t="shared" si="26"/>
        <v>127</v>
      </c>
      <c r="O898" s="21">
        <f t="shared" si="27"/>
        <v>38.1</v>
      </c>
    </row>
    <row r="899" spans="1:15" x14ac:dyDescent="0.3">
      <c r="A899">
        <v>54630</v>
      </c>
      <c r="B899" s="1">
        <v>45693</v>
      </c>
      <c r="C899">
        <v>967</v>
      </c>
      <c r="D899">
        <v>30</v>
      </c>
      <c r="E899" t="s">
        <v>37</v>
      </c>
      <c r="F899" t="s">
        <v>40</v>
      </c>
      <c r="G899">
        <v>4</v>
      </c>
      <c r="H899" s="12">
        <v>416.89</v>
      </c>
      <c r="I899" t="s">
        <v>35</v>
      </c>
      <c r="J899" t="s">
        <v>319</v>
      </c>
      <c r="K899">
        <v>4</v>
      </c>
      <c r="L899" t="s">
        <v>17</v>
      </c>
      <c r="M899">
        <v>64</v>
      </c>
      <c r="N899" s="21">
        <f t="shared" ref="N899:N962" si="28">H899*G899</f>
        <v>1667.56</v>
      </c>
      <c r="O899" s="21">
        <f t="shared" ref="O899:O962" si="29">N899*0.3</f>
        <v>500.26799999999997</v>
      </c>
    </row>
    <row r="900" spans="1:15" x14ac:dyDescent="0.3">
      <c r="A900">
        <v>98713</v>
      </c>
      <c r="B900" s="1">
        <v>45693</v>
      </c>
      <c r="C900">
        <v>260</v>
      </c>
      <c r="D900">
        <v>20</v>
      </c>
      <c r="E900" t="s">
        <v>28</v>
      </c>
      <c r="F900" t="s">
        <v>29</v>
      </c>
      <c r="G900">
        <v>1</v>
      </c>
      <c r="H900" s="12">
        <v>463.67</v>
      </c>
      <c r="I900" t="s">
        <v>26</v>
      </c>
      <c r="J900" t="s">
        <v>792</v>
      </c>
      <c r="L900" t="s">
        <v>21</v>
      </c>
      <c r="M900">
        <v>37</v>
      </c>
      <c r="N900" s="21">
        <f t="shared" si="28"/>
        <v>463.67</v>
      </c>
      <c r="O900" s="21">
        <f t="shared" si="29"/>
        <v>139.101</v>
      </c>
    </row>
    <row r="901" spans="1:15" x14ac:dyDescent="0.3">
      <c r="A901">
        <v>54371</v>
      </c>
      <c r="B901" s="1">
        <v>45693</v>
      </c>
      <c r="C901">
        <v>325</v>
      </c>
      <c r="D901">
        <v>20</v>
      </c>
      <c r="E901" t="s">
        <v>28</v>
      </c>
      <c r="F901" t="s">
        <v>72</v>
      </c>
      <c r="G901">
        <v>4</v>
      </c>
      <c r="H901" s="12">
        <v>156.87</v>
      </c>
      <c r="I901" t="s">
        <v>35</v>
      </c>
      <c r="J901" t="s">
        <v>1004</v>
      </c>
      <c r="K901">
        <v>3</v>
      </c>
      <c r="M901">
        <v>37</v>
      </c>
      <c r="N901" s="21">
        <f t="shared" si="28"/>
        <v>627.48</v>
      </c>
      <c r="O901" s="21">
        <f t="shared" si="29"/>
        <v>188.244</v>
      </c>
    </row>
    <row r="902" spans="1:15" x14ac:dyDescent="0.3">
      <c r="A902">
        <v>59944</v>
      </c>
      <c r="B902" s="1">
        <v>45694</v>
      </c>
      <c r="C902">
        <v>293</v>
      </c>
      <c r="D902">
        <v>50</v>
      </c>
      <c r="E902" t="s">
        <v>18</v>
      </c>
      <c r="F902" t="s">
        <v>87</v>
      </c>
      <c r="G902">
        <v>2</v>
      </c>
      <c r="H902" s="12">
        <v>361.99</v>
      </c>
      <c r="I902" t="s">
        <v>26</v>
      </c>
      <c r="J902" t="s">
        <v>126</v>
      </c>
      <c r="K902">
        <v>4</v>
      </c>
      <c r="L902" t="s">
        <v>21</v>
      </c>
      <c r="M902">
        <v>51</v>
      </c>
      <c r="N902" s="21">
        <f t="shared" si="28"/>
        <v>723.98</v>
      </c>
      <c r="O902" s="21">
        <f t="shared" si="29"/>
        <v>217.19399999999999</v>
      </c>
    </row>
    <row r="903" spans="1:15" x14ac:dyDescent="0.3">
      <c r="A903">
        <v>32569</v>
      </c>
      <c r="B903" s="1">
        <v>45694</v>
      </c>
      <c r="C903">
        <v>336</v>
      </c>
      <c r="D903">
        <v>40</v>
      </c>
      <c r="E903" t="s">
        <v>24</v>
      </c>
      <c r="F903" t="s">
        <v>65</v>
      </c>
      <c r="G903">
        <v>2</v>
      </c>
      <c r="H903" s="12">
        <v>336.89</v>
      </c>
      <c r="I903" t="s">
        <v>15</v>
      </c>
      <c r="J903" t="s">
        <v>266</v>
      </c>
      <c r="K903">
        <v>1</v>
      </c>
      <c r="M903">
        <v>26</v>
      </c>
      <c r="N903" s="21">
        <f t="shared" si="28"/>
        <v>673.78</v>
      </c>
      <c r="O903" s="21">
        <f t="shared" si="29"/>
        <v>202.13399999999999</v>
      </c>
    </row>
    <row r="904" spans="1:15" x14ac:dyDescent="0.3">
      <c r="A904">
        <v>84328</v>
      </c>
      <c r="B904" s="1">
        <v>45694</v>
      </c>
      <c r="C904">
        <v>122</v>
      </c>
      <c r="D904">
        <v>10</v>
      </c>
      <c r="E904" t="s">
        <v>13</v>
      </c>
      <c r="F904" t="s">
        <v>42</v>
      </c>
      <c r="G904">
        <v>1</v>
      </c>
      <c r="H904" s="12">
        <v>420.63</v>
      </c>
      <c r="I904" t="s">
        <v>26</v>
      </c>
      <c r="J904" t="s">
        <v>953</v>
      </c>
      <c r="K904">
        <v>3</v>
      </c>
      <c r="L904" t="s">
        <v>21</v>
      </c>
      <c r="M904">
        <v>54</v>
      </c>
      <c r="N904" s="21">
        <f t="shared" si="28"/>
        <v>420.63</v>
      </c>
      <c r="O904" s="21">
        <f t="shared" si="29"/>
        <v>126.18899999999999</v>
      </c>
    </row>
    <row r="905" spans="1:15" x14ac:dyDescent="0.3">
      <c r="A905">
        <v>24426</v>
      </c>
      <c r="B905" s="1">
        <v>45695</v>
      </c>
      <c r="C905">
        <v>943</v>
      </c>
      <c r="D905">
        <v>40</v>
      </c>
      <c r="E905" t="s">
        <v>24</v>
      </c>
      <c r="F905" t="s">
        <v>49</v>
      </c>
      <c r="G905">
        <v>2</v>
      </c>
      <c r="H905" s="12">
        <v>443.49</v>
      </c>
      <c r="I905" t="s">
        <v>35</v>
      </c>
      <c r="J905" t="s">
        <v>50</v>
      </c>
      <c r="K905">
        <v>4</v>
      </c>
      <c r="L905" t="s">
        <v>21</v>
      </c>
      <c r="M905">
        <v>67</v>
      </c>
      <c r="N905" s="21">
        <f t="shared" si="28"/>
        <v>886.98</v>
      </c>
      <c r="O905" s="21">
        <f t="shared" si="29"/>
        <v>266.09399999999999</v>
      </c>
    </row>
    <row r="906" spans="1:15" x14ac:dyDescent="0.3">
      <c r="A906">
        <v>58706</v>
      </c>
      <c r="B906" s="1">
        <v>45695</v>
      </c>
      <c r="C906">
        <v>613</v>
      </c>
      <c r="D906">
        <v>20</v>
      </c>
      <c r="E906" t="s">
        <v>28</v>
      </c>
      <c r="F906" t="s">
        <v>79</v>
      </c>
      <c r="G906">
        <v>4</v>
      </c>
      <c r="H906" s="12">
        <v>351.62</v>
      </c>
      <c r="I906" t="s">
        <v>26</v>
      </c>
      <c r="J906" t="s">
        <v>150</v>
      </c>
      <c r="K906">
        <v>5</v>
      </c>
      <c r="L906" t="s">
        <v>17</v>
      </c>
      <c r="M906">
        <v>65</v>
      </c>
      <c r="N906" s="21">
        <f t="shared" si="28"/>
        <v>1406.48</v>
      </c>
      <c r="O906" s="21">
        <f t="shared" si="29"/>
        <v>421.94400000000002</v>
      </c>
    </row>
    <row r="907" spans="1:15" x14ac:dyDescent="0.3">
      <c r="A907">
        <v>68850</v>
      </c>
      <c r="B907" s="1">
        <v>45695</v>
      </c>
      <c r="C907">
        <v>484</v>
      </c>
      <c r="D907">
        <v>40</v>
      </c>
      <c r="E907" t="s">
        <v>24</v>
      </c>
      <c r="F907" t="s">
        <v>44</v>
      </c>
      <c r="G907">
        <v>1</v>
      </c>
      <c r="H907" s="12">
        <v>53.18</v>
      </c>
      <c r="I907" t="s">
        <v>15</v>
      </c>
      <c r="J907" t="s">
        <v>273</v>
      </c>
      <c r="K907">
        <v>1</v>
      </c>
      <c r="L907" t="s">
        <v>17</v>
      </c>
      <c r="M907">
        <v>58</v>
      </c>
      <c r="N907" s="21">
        <f t="shared" si="28"/>
        <v>53.18</v>
      </c>
      <c r="O907" s="21">
        <f t="shared" si="29"/>
        <v>15.953999999999999</v>
      </c>
    </row>
    <row r="908" spans="1:15" x14ac:dyDescent="0.3">
      <c r="A908">
        <v>45831</v>
      </c>
      <c r="B908" s="1">
        <v>45695</v>
      </c>
      <c r="C908">
        <v>685</v>
      </c>
      <c r="D908">
        <v>40</v>
      </c>
      <c r="E908" t="s">
        <v>24</v>
      </c>
      <c r="F908" t="s">
        <v>65</v>
      </c>
      <c r="G908">
        <v>1</v>
      </c>
      <c r="H908" s="12">
        <v>151.94</v>
      </c>
      <c r="I908" t="s">
        <v>26</v>
      </c>
      <c r="J908" t="s">
        <v>352</v>
      </c>
      <c r="K908">
        <v>4</v>
      </c>
      <c r="L908" t="s">
        <v>17</v>
      </c>
      <c r="M908">
        <v>74</v>
      </c>
      <c r="N908" s="21">
        <f t="shared" si="28"/>
        <v>151.94</v>
      </c>
      <c r="O908" s="21">
        <f t="shared" si="29"/>
        <v>45.582000000000001</v>
      </c>
    </row>
    <row r="909" spans="1:15" x14ac:dyDescent="0.3">
      <c r="A909">
        <v>72286</v>
      </c>
      <c r="B909" s="1">
        <v>45695</v>
      </c>
      <c r="C909">
        <v>702</v>
      </c>
      <c r="D909">
        <v>10</v>
      </c>
      <c r="E909" t="s">
        <v>13</v>
      </c>
      <c r="F909" t="s">
        <v>111</v>
      </c>
      <c r="G909">
        <v>5</v>
      </c>
      <c r="H909" s="12">
        <v>128.44999999999999</v>
      </c>
      <c r="I909" t="s">
        <v>15</v>
      </c>
      <c r="J909" t="s">
        <v>356</v>
      </c>
      <c r="K909">
        <v>2</v>
      </c>
      <c r="L909" t="s">
        <v>21</v>
      </c>
      <c r="M909">
        <v>58</v>
      </c>
      <c r="N909" s="21">
        <f t="shared" si="28"/>
        <v>642.25</v>
      </c>
      <c r="O909" s="21">
        <f t="shared" si="29"/>
        <v>192.67499999999998</v>
      </c>
    </row>
    <row r="910" spans="1:15" x14ac:dyDescent="0.3">
      <c r="A910">
        <v>48904</v>
      </c>
      <c r="B910" s="1">
        <v>45695</v>
      </c>
      <c r="C910">
        <v>931</v>
      </c>
      <c r="D910">
        <v>10</v>
      </c>
      <c r="E910" t="s">
        <v>13</v>
      </c>
      <c r="F910" t="s">
        <v>32</v>
      </c>
      <c r="G910">
        <v>3</v>
      </c>
      <c r="H910" s="12">
        <v>439.51</v>
      </c>
      <c r="I910" t="s">
        <v>26</v>
      </c>
      <c r="J910" t="s">
        <v>673</v>
      </c>
      <c r="K910">
        <v>5</v>
      </c>
      <c r="L910" t="s">
        <v>17</v>
      </c>
      <c r="M910">
        <v>63</v>
      </c>
      <c r="N910" s="21">
        <f t="shared" si="28"/>
        <v>1318.53</v>
      </c>
      <c r="O910" s="21">
        <f t="shared" si="29"/>
        <v>395.55899999999997</v>
      </c>
    </row>
    <row r="911" spans="1:15" x14ac:dyDescent="0.3">
      <c r="A911">
        <v>25985</v>
      </c>
      <c r="B911" s="1">
        <v>45695</v>
      </c>
      <c r="C911">
        <v>480</v>
      </c>
      <c r="D911">
        <v>40</v>
      </c>
      <c r="E911" t="s">
        <v>24</v>
      </c>
      <c r="F911" t="s">
        <v>44</v>
      </c>
      <c r="G911">
        <v>2</v>
      </c>
      <c r="H911" s="12">
        <v>353.23</v>
      </c>
      <c r="I911" t="s">
        <v>26</v>
      </c>
      <c r="J911" t="s">
        <v>850</v>
      </c>
      <c r="L911" t="s">
        <v>21</v>
      </c>
      <c r="M911">
        <v>65</v>
      </c>
      <c r="N911" s="21">
        <f t="shared" si="28"/>
        <v>706.46</v>
      </c>
      <c r="O911" s="21">
        <f t="shared" si="29"/>
        <v>211.93800000000002</v>
      </c>
    </row>
    <row r="912" spans="1:15" x14ac:dyDescent="0.3">
      <c r="A912">
        <v>22604</v>
      </c>
      <c r="B912" s="1">
        <v>45696</v>
      </c>
      <c r="C912">
        <v>351</v>
      </c>
      <c r="D912">
        <v>30</v>
      </c>
      <c r="E912" t="s">
        <v>37</v>
      </c>
      <c r="F912" t="s">
        <v>58</v>
      </c>
      <c r="G912">
        <v>1</v>
      </c>
      <c r="H912" s="12">
        <v>247.45</v>
      </c>
      <c r="I912" t="s">
        <v>15</v>
      </c>
      <c r="J912" t="s">
        <v>132</v>
      </c>
      <c r="K912">
        <v>2</v>
      </c>
      <c r="L912" t="s">
        <v>21</v>
      </c>
      <c r="M912">
        <v>47</v>
      </c>
      <c r="N912" s="21">
        <f t="shared" si="28"/>
        <v>247.45</v>
      </c>
      <c r="O912" s="21">
        <f t="shared" si="29"/>
        <v>74.234999999999999</v>
      </c>
    </row>
    <row r="913" spans="1:15" x14ac:dyDescent="0.3">
      <c r="A913">
        <v>22228</v>
      </c>
      <c r="B913" s="1">
        <v>45696</v>
      </c>
      <c r="C913">
        <v>789</v>
      </c>
      <c r="D913">
        <v>20</v>
      </c>
      <c r="E913" t="s">
        <v>28</v>
      </c>
      <c r="F913" t="s">
        <v>29</v>
      </c>
      <c r="G913">
        <v>1</v>
      </c>
      <c r="H913" s="12">
        <v>54.94</v>
      </c>
      <c r="I913" t="s">
        <v>15</v>
      </c>
      <c r="J913" t="s">
        <v>305</v>
      </c>
      <c r="K913">
        <v>5</v>
      </c>
      <c r="L913" t="s">
        <v>17</v>
      </c>
      <c r="M913">
        <v>62</v>
      </c>
      <c r="N913" s="21">
        <f t="shared" si="28"/>
        <v>54.94</v>
      </c>
      <c r="O913" s="21">
        <f t="shared" si="29"/>
        <v>16.481999999999999</v>
      </c>
    </row>
    <row r="914" spans="1:15" x14ac:dyDescent="0.3">
      <c r="A914">
        <v>45679</v>
      </c>
      <c r="B914" s="1">
        <v>45696</v>
      </c>
      <c r="C914">
        <v>470</v>
      </c>
      <c r="D914">
        <v>10</v>
      </c>
      <c r="E914" t="s">
        <v>13</v>
      </c>
      <c r="F914" t="s">
        <v>42</v>
      </c>
      <c r="G914">
        <v>4</v>
      </c>
      <c r="H914" s="12">
        <v>431.73</v>
      </c>
      <c r="I914" t="s">
        <v>15</v>
      </c>
      <c r="J914" t="s">
        <v>595</v>
      </c>
      <c r="K914">
        <v>3</v>
      </c>
      <c r="M914">
        <v>75</v>
      </c>
      <c r="N914" s="21">
        <f t="shared" si="28"/>
        <v>1726.92</v>
      </c>
      <c r="O914" s="21">
        <f t="shared" si="29"/>
        <v>518.07600000000002</v>
      </c>
    </row>
    <row r="915" spans="1:15" x14ac:dyDescent="0.3">
      <c r="A915">
        <v>60712</v>
      </c>
      <c r="B915" s="1">
        <v>45697</v>
      </c>
      <c r="C915">
        <v>775</v>
      </c>
      <c r="D915">
        <v>50</v>
      </c>
      <c r="E915" t="s">
        <v>18</v>
      </c>
      <c r="F915" t="s">
        <v>22</v>
      </c>
      <c r="G915">
        <v>5</v>
      </c>
      <c r="H915" s="12">
        <v>24.18</v>
      </c>
      <c r="I915" t="s">
        <v>15</v>
      </c>
      <c r="J915" t="s">
        <v>638</v>
      </c>
      <c r="K915">
        <v>5</v>
      </c>
      <c r="L915" t="s">
        <v>21</v>
      </c>
      <c r="M915">
        <v>57</v>
      </c>
      <c r="N915" s="21">
        <f t="shared" si="28"/>
        <v>120.9</v>
      </c>
      <c r="O915" s="21">
        <f t="shared" si="29"/>
        <v>36.270000000000003</v>
      </c>
    </row>
    <row r="916" spans="1:15" x14ac:dyDescent="0.3">
      <c r="A916">
        <v>72072</v>
      </c>
      <c r="B916" s="1">
        <v>45697</v>
      </c>
      <c r="C916">
        <v>349</v>
      </c>
      <c r="D916">
        <v>20</v>
      </c>
      <c r="E916" t="s">
        <v>28</v>
      </c>
      <c r="F916" t="s">
        <v>29</v>
      </c>
      <c r="G916">
        <v>3</v>
      </c>
      <c r="H916" s="12">
        <v>475.67</v>
      </c>
      <c r="I916" t="s">
        <v>26</v>
      </c>
      <c r="J916" t="s">
        <v>703</v>
      </c>
      <c r="K916">
        <v>5</v>
      </c>
      <c r="L916" t="s">
        <v>17</v>
      </c>
      <c r="M916">
        <v>51</v>
      </c>
      <c r="N916" s="21">
        <f t="shared" si="28"/>
        <v>1427.01</v>
      </c>
      <c r="O916" s="21">
        <f t="shared" si="29"/>
        <v>428.10300000000001</v>
      </c>
    </row>
    <row r="917" spans="1:15" x14ac:dyDescent="0.3">
      <c r="A917">
        <v>92246</v>
      </c>
      <c r="B917" s="1">
        <v>45699</v>
      </c>
      <c r="C917">
        <v>988</v>
      </c>
      <c r="D917">
        <v>20</v>
      </c>
      <c r="E917" t="s">
        <v>28</v>
      </c>
      <c r="F917" t="s">
        <v>72</v>
      </c>
      <c r="G917">
        <v>3</v>
      </c>
      <c r="H917" s="12">
        <v>345.18</v>
      </c>
      <c r="I917" t="s">
        <v>15</v>
      </c>
      <c r="J917" t="s">
        <v>363</v>
      </c>
      <c r="K917">
        <v>5</v>
      </c>
      <c r="L917" t="s">
        <v>17</v>
      </c>
      <c r="M917">
        <v>21</v>
      </c>
      <c r="N917" s="21">
        <f t="shared" si="28"/>
        <v>1035.54</v>
      </c>
      <c r="O917" s="21">
        <f t="shared" si="29"/>
        <v>310.66199999999998</v>
      </c>
    </row>
    <row r="918" spans="1:15" x14ac:dyDescent="0.3">
      <c r="A918">
        <v>49769</v>
      </c>
      <c r="B918" s="1">
        <v>45699</v>
      </c>
      <c r="C918">
        <v>295</v>
      </c>
      <c r="D918">
        <v>50</v>
      </c>
      <c r="E918" t="s">
        <v>18</v>
      </c>
      <c r="F918" t="s">
        <v>34</v>
      </c>
      <c r="G918">
        <v>5</v>
      </c>
      <c r="H918" s="12">
        <v>405.77</v>
      </c>
      <c r="I918" t="s">
        <v>26</v>
      </c>
      <c r="J918" t="s">
        <v>753</v>
      </c>
      <c r="L918" t="s">
        <v>21</v>
      </c>
      <c r="M918">
        <v>26</v>
      </c>
      <c r="N918" s="21">
        <f t="shared" si="28"/>
        <v>2028.85</v>
      </c>
      <c r="O918" s="21">
        <f t="shared" si="29"/>
        <v>608.65499999999997</v>
      </c>
    </row>
    <row r="919" spans="1:15" x14ac:dyDescent="0.3">
      <c r="A919">
        <v>87200</v>
      </c>
      <c r="B919" s="1">
        <v>45699</v>
      </c>
      <c r="C919">
        <v>937</v>
      </c>
      <c r="D919">
        <v>10</v>
      </c>
      <c r="E919" t="s">
        <v>13</v>
      </c>
      <c r="F919" t="s">
        <v>47</v>
      </c>
      <c r="G919">
        <v>1</v>
      </c>
      <c r="H919" s="12">
        <v>391.58</v>
      </c>
      <c r="I919" t="s">
        <v>35</v>
      </c>
      <c r="J919" t="s">
        <v>941</v>
      </c>
      <c r="K919">
        <v>4</v>
      </c>
      <c r="L919" t="s">
        <v>21</v>
      </c>
      <c r="M919">
        <v>68</v>
      </c>
      <c r="N919" s="21">
        <f t="shared" si="28"/>
        <v>391.58</v>
      </c>
      <c r="O919" s="21">
        <f t="shared" si="29"/>
        <v>117.47399999999999</v>
      </c>
    </row>
    <row r="920" spans="1:15" x14ac:dyDescent="0.3">
      <c r="A920">
        <v>25974</v>
      </c>
      <c r="B920" s="1">
        <v>45700</v>
      </c>
      <c r="C920">
        <v>123</v>
      </c>
      <c r="D920">
        <v>40</v>
      </c>
      <c r="E920" t="s">
        <v>24</v>
      </c>
      <c r="F920" t="s">
        <v>65</v>
      </c>
      <c r="G920">
        <v>1</v>
      </c>
      <c r="H920" s="12">
        <v>65.69</v>
      </c>
      <c r="I920" t="s">
        <v>15</v>
      </c>
      <c r="J920" t="s">
        <v>242</v>
      </c>
      <c r="K920">
        <v>4</v>
      </c>
      <c r="L920" t="s">
        <v>17</v>
      </c>
      <c r="M920">
        <v>71</v>
      </c>
      <c r="N920" s="21">
        <f t="shared" si="28"/>
        <v>65.69</v>
      </c>
      <c r="O920" s="21">
        <f t="shared" si="29"/>
        <v>19.706999999999997</v>
      </c>
    </row>
    <row r="921" spans="1:15" x14ac:dyDescent="0.3">
      <c r="A921">
        <v>39828</v>
      </c>
      <c r="B921" s="1">
        <v>45700</v>
      </c>
      <c r="C921">
        <v>953</v>
      </c>
      <c r="D921">
        <v>40</v>
      </c>
      <c r="E921" t="s">
        <v>24</v>
      </c>
      <c r="F921" t="s">
        <v>63</v>
      </c>
      <c r="G921">
        <v>3</v>
      </c>
      <c r="H921" s="12">
        <v>58.91</v>
      </c>
      <c r="I921" t="s">
        <v>15</v>
      </c>
      <c r="J921" t="s">
        <v>684</v>
      </c>
      <c r="K921">
        <v>5</v>
      </c>
      <c r="L921" t="s">
        <v>17</v>
      </c>
      <c r="M921">
        <v>75</v>
      </c>
      <c r="N921" s="21">
        <f t="shared" si="28"/>
        <v>176.73</v>
      </c>
      <c r="O921" s="21">
        <f t="shared" si="29"/>
        <v>53.018999999999998</v>
      </c>
    </row>
    <row r="922" spans="1:15" x14ac:dyDescent="0.3">
      <c r="A922">
        <v>38645</v>
      </c>
      <c r="B922" s="1">
        <v>45700</v>
      </c>
      <c r="C922">
        <v>851</v>
      </c>
      <c r="D922">
        <v>20</v>
      </c>
      <c r="E922" t="s">
        <v>28</v>
      </c>
      <c r="F922" t="s">
        <v>51</v>
      </c>
      <c r="G922">
        <v>2</v>
      </c>
      <c r="H922" s="12">
        <v>325.23</v>
      </c>
      <c r="I922" t="s">
        <v>26</v>
      </c>
      <c r="J922" t="s">
        <v>699</v>
      </c>
      <c r="K922">
        <v>5</v>
      </c>
      <c r="L922" t="s">
        <v>21</v>
      </c>
      <c r="M922">
        <v>27</v>
      </c>
      <c r="N922" s="21">
        <f t="shared" si="28"/>
        <v>650.46</v>
      </c>
      <c r="O922" s="21">
        <f t="shared" si="29"/>
        <v>195.13800000000001</v>
      </c>
    </row>
    <row r="923" spans="1:15" x14ac:dyDescent="0.3">
      <c r="A923">
        <v>51408</v>
      </c>
      <c r="B923" s="1">
        <v>45702</v>
      </c>
      <c r="C923">
        <v>511</v>
      </c>
      <c r="D923">
        <v>40</v>
      </c>
      <c r="E923" t="s">
        <v>24</v>
      </c>
      <c r="F923" t="s">
        <v>25</v>
      </c>
      <c r="G923">
        <v>2</v>
      </c>
      <c r="H923" s="12">
        <v>212.48</v>
      </c>
      <c r="I923" t="s">
        <v>35</v>
      </c>
      <c r="J923" t="s">
        <v>788</v>
      </c>
      <c r="K923">
        <v>4</v>
      </c>
      <c r="L923" t="s">
        <v>21</v>
      </c>
      <c r="M923">
        <v>59</v>
      </c>
      <c r="N923" s="21">
        <f t="shared" si="28"/>
        <v>424.96</v>
      </c>
      <c r="O923" s="21">
        <f t="shared" si="29"/>
        <v>127.48799999999999</v>
      </c>
    </row>
    <row r="924" spans="1:15" x14ac:dyDescent="0.3">
      <c r="A924">
        <v>96221</v>
      </c>
      <c r="B924" s="1">
        <v>45702</v>
      </c>
      <c r="C924">
        <v>136</v>
      </c>
      <c r="D924">
        <v>50</v>
      </c>
      <c r="E924" t="s">
        <v>18</v>
      </c>
      <c r="F924" t="s">
        <v>19</v>
      </c>
      <c r="G924">
        <v>1</v>
      </c>
      <c r="H924" s="12">
        <v>88.76</v>
      </c>
      <c r="I924" t="s">
        <v>35</v>
      </c>
      <c r="J924" t="s">
        <v>791</v>
      </c>
      <c r="L924" t="s">
        <v>21</v>
      </c>
      <c r="M924">
        <v>31</v>
      </c>
      <c r="N924" s="21">
        <f t="shared" si="28"/>
        <v>88.76</v>
      </c>
      <c r="O924" s="21">
        <f t="shared" si="29"/>
        <v>26.628</v>
      </c>
    </row>
    <row r="925" spans="1:15" x14ac:dyDescent="0.3">
      <c r="A925">
        <v>67596</v>
      </c>
      <c r="B925" s="1">
        <v>45703</v>
      </c>
      <c r="C925">
        <v>348</v>
      </c>
      <c r="D925">
        <v>50</v>
      </c>
      <c r="E925" t="s">
        <v>18</v>
      </c>
      <c r="F925" t="s">
        <v>84</v>
      </c>
      <c r="G925">
        <v>2</v>
      </c>
      <c r="H925" s="12">
        <v>276.39</v>
      </c>
      <c r="I925" t="s">
        <v>26</v>
      </c>
      <c r="J925" t="s">
        <v>482</v>
      </c>
      <c r="K925">
        <v>5</v>
      </c>
      <c r="L925" t="s">
        <v>17</v>
      </c>
      <c r="M925">
        <v>41</v>
      </c>
      <c r="N925" s="21">
        <f t="shared" si="28"/>
        <v>552.78</v>
      </c>
      <c r="O925" s="21">
        <f t="shared" si="29"/>
        <v>165.83399999999997</v>
      </c>
    </row>
    <row r="926" spans="1:15" x14ac:dyDescent="0.3">
      <c r="A926">
        <v>99677</v>
      </c>
      <c r="B926" s="1">
        <v>45703</v>
      </c>
      <c r="C926">
        <v>622</v>
      </c>
      <c r="D926">
        <v>10</v>
      </c>
      <c r="E926" t="s">
        <v>13</v>
      </c>
      <c r="F926" t="s">
        <v>111</v>
      </c>
      <c r="G926">
        <v>4</v>
      </c>
      <c r="H926" s="12">
        <v>325.73</v>
      </c>
      <c r="I926" t="s">
        <v>26</v>
      </c>
      <c r="J926" t="s">
        <v>683</v>
      </c>
      <c r="K926">
        <v>5</v>
      </c>
      <c r="L926" t="s">
        <v>21</v>
      </c>
      <c r="M926">
        <v>70</v>
      </c>
      <c r="N926" s="21">
        <f t="shared" si="28"/>
        <v>1302.92</v>
      </c>
      <c r="O926" s="21">
        <f t="shared" si="29"/>
        <v>390.87600000000003</v>
      </c>
    </row>
    <row r="927" spans="1:15" x14ac:dyDescent="0.3">
      <c r="A927">
        <v>14376</v>
      </c>
      <c r="B927" s="1">
        <v>45703</v>
      </c>
      <c r="C927">
        <v>840</v>
      </c>
      <c r="D927">
        <v>40</v>
      </c>
      <c r="E927" t="s">
        <v>24</v>
      </c>
      <c r="F927" t="s">
        <v>25</v>
      </c>
      <c r="G927">
        <v>5</v>
      </c>
      <c r="H927" s="12">
        <v>20.46</v>
      </c>
      <c r="I927" t="s">
        <v>26</v>
      </c>
      <c r="J927" t="s">
        <v>867</v>
      </c>
      <c r="K927">
        <v>3</v>
      </c>
      <c r="L927" t="s">
        <v>21</v>
      </c>
      <c r="M927">
        <v>34</v>
      </c>
      <c r="N927" s="21">
        <f t="shared" si="28"/>
        <v>102.30000000000001</v>
      </c>
      <c r="O927" s="21">
        <f t="shared" si="29"/>
        <v>30.69</v>
      </c>
    </row>
    <row r="928" spans="1:15" x14ac:dyDescent="0.3">
      <c r="A928">
        <v>51391</v>
      </c>
      <c r="B928" s="1">
        <v>45703</v>
      </c>
      <c r="C928">
        <v>418</v>
      </c>
      <c r="D928">
        <v>30</v>
      </c>
      <c r="E928" t="s">
        <v>37</v>
      </c>
      <c r="F928" t="s">
        <v>58</v>
      </c>
      <c r="G928">
        <v>5</v>
      </c>
      <c r="H928" s="12">
        <v>246.68</v>
      </c>
      <c r="I928" t="s">
        <v>35</v>
      </c>
      <c r="J928" t="s">
        <v>910</v>
      </c>
      <c r="K928">
        <v>5</v>
      </c>
      <c r="L928" t="s">
        <v>17</v>
      </c>
      <c r="M928">
        <v>31</v>
      </c>
      <c r="N928" s="21">
        <f t="shared" si="28"/>
        <v>1233.4000000000001</v>
      </c>
      <c r="O928" s="21">
        <f t="shared" si="29"/>
        <v>370.02000000000004</v>
      </c>
    </row>
    <row r="929" spans="1:15" x14ac:dyDescent="0.3">
      <c r="A929">
        <v>31593</v>
      </c>
      <c r="B929" s="1">
        <v>45704</v>
      </c>
      <c r="C929">
        <v>343</v>
      </c>
      <c r="D929">
        <v>50</v>
      </c>
      <c r="E929" t="s">
        <v>18</v>
      </c>
      <c r="F929" t="s">
        <v>22</v>
      </c>
      <c r="G929">
        <v>1</v>
      </c>
      <c r="H929" s="12">
        <v>415.49</v>
      </c>
      <c r="I929" t="s">
        <v>35</v>
      </c>
      <c r="J929" t="s">
        <v>780</v>
      </c>
      <c r="K929">
        <v>5</v>
      </c>
      <c r="L929" t="s">
        <v>17</v>
      </c>
      <c r="M929">
        <v>44</v>
      </c>
      <c r="N929" s="21">
        <f t="shared" si="28"/>
        <v>415.49</v>
      </c>
      <c r="O929" s="21">
        <f t="shared" si="29"/>
        <v>124.64699999999999</v>
      </c>
    </row>
    <row r="930" spans="1:15" x14ac:dyDescent="0.3">
      <c r="A930">
        <v>17937</v>
      </c>
      <c r="B930" s="1">
        <v>45705</v>
      </c>
      <c r="C930">
        <v>787</v>
      </c>
      <c r="D930">
        <v>10</v>
      </c>
      <c r="E930" t="s">
        <v>13</v>
      </c>
      <c r="F930" t="s">
        <v>14</v>
      </c>
      <c r="G930">
        <v>4</v>
      </c>
      <c r="H930" s="12">
        <v>260.64</v>
      </c>
      <c r="I930" t="s">
        <v>35</v>
      </c>
      <c r="J930" t="s">
        <v>648</v>
      </c>
      <c r="K930">
        <v>5</v>
      </c>
      <c r="L930" t="s">
        <v>17</v>
      </c>
      <c r="M930">
        <v>53</v>
      </c>
      <c r="N930" s="21">
        <f t="shared" si="28"/>
        <v>1042.56</v>
      </c>
      <c r="O930" s="21">
        <f t="shared" si="29"/>
        <v>312.76799999999997</v>
      </c>
    </row>
    <row r="931" spans="1:15" x14ac:dyDescent="0.3">
      <c r="A931">
        <v>77318</v>
      </c>
      <c r="B931" s="1">
        <v>45706</v>
      </c>
      <c r="C931">
        <v>305</v>
      </c>
      <c r="D931">
        <v>40</v>
      </c>
      <c r="E931" t="s">
        <v>24</v>
      </c>
      <c r="F931" t="s">
        <v>63</v>
      </c>
      <c r="G931">
        <v>2</v>
      </c>
      <c r="H931" s="12">
        <v>203.94</v>
      </c>
      <c r="I931" t="s">
        <v>26</v>
      </c>
      <c r="J931" t="s">
        <v>631</v>
      </c>
      <c r="K931">
        <v>5</v>
      </c>
      <c r="L931" t="s">
        <v>21</v>
      </c>
      <c r="M931">
        <v>23</v>
      </c>
      <c r="N931" s="21">
        <f t="shared" si="28"/>
        <v>407.88</v>
      </c>
      <c r="O931" s="21">
        <f t="shared" si="29"/>
        <v>122.36399999999999</v>
      </c>
    </row>
    <row r="932" spans="1:15" x14ac:dyDescent="0.3">
      <c r="A932">
        <v>31600</v>
      </c>
      <c r="B932" s="1">
        <v>45707</v>
      </c>
      <c r="C932">
        <v>775</v>
      </c>
      <c r="D932">
        <v>50</v>
      </c>
      <c r="E932" t="s">
        <v>18</v>
      </c>
      <c r="F932" t="s">
        <v>87</v>
      </c>
      <c r="G932">
        <v>2</v>
      </c>
      <c r="H932" s="12">
        <v>367.94</v>
      </c>
      <c r="I932" t="s">
        <v>15</v>
      </c>
      <c r="J932" t="s">
        <v>711</v>
      </c>
      <c r="L932" t="s">
        <v>17</v>
      </c>
      <c r="M932">
        <v>32</v>
      </c>
      <c r="N932" s="21">
        <f t="shared" si="28"/>
        <v>735.88</v>
      </c>
      <c r="O932" s="21">
        <f t="shared" si="29"/>
        <v>220.76399999999998</v>
      </c>
    </row>
    <row r="933" spans="1:15" x14ac:dyDescent="0.3">
      <c r="A933">
        <v>30282</v>
      </c>
      <c r="B933" s="1">
        <v>45707</v>
      </c>
      <c r="C933">
        <v>411</v>
      </c>
      <c r="D933">
        <v>10</v>
      </c>
      <c r="E933" t="s">
        <v>13</v>
      </c>
      <c r="F933" t="s">
        <v>47</v>
      </c>
      <c r="G933">
        <v>3</v>
      </c>
      <c r="H933" s="12">
        <v>91.79</v>
      </c>
      <c r="I933" t="s">
        <v>15</v>
      </c>
      <c r="J933" t="s">
        <v>833</v>
      </c>
      <c r="M933">
        <v>68</v>
      </c>
      <c r="N933" s="21">
        <f t="shared" si="28"/>
        <v>275.37</v>
      </c>
      <c r="O933" s="21">
        <f t="shared" si="29"/>
        <v>82.611000000000004</v>
      </c>
    </row>
    <row r="934" spans="1:15" x14ac:dyDescent="0.3">
      <c r="A934">
        <v>65011</v>
      </c>
      <c r="B934" s="1">
        <v>45708</v>
      </c>
      <c r="C934">
        <v>938</v>
      </c>
      <c r="D934">
        <v>30</v>
      </c>
      <c r="E934" t="s">
        <v>37</v>
      </c>
      <c r="F934" t="s">
        <v>58</v>
      </c>
      <c r="G934">
        <v>4</v>
      </c>
      <c r="H934" s="12">
        <v>383.36</v>
      </c>
      <c r="I934" t="s">
        <v>35</v>
      </c>
      <c r="J934" t="s">
        <v>59</v>
      </c>
      <c r="K934">
        <v>5</v>
      </c>
      <c r="L934" t="s">
        <v>17</v>
      </c>
      <c r="M934">
        <v>42</v>
      </c>
      <c r="N934" s="21">
        <f t="shared" si="28"/>
        <v>1533.44</v>
      </c>
      <c r="O934" s="21">
        <f t="shared" si="29"/>
        <v>460.03199999999998</v>
      </c>
    </row>
    <row r="935" spans="1:15" x14ac:dyDescent="0.3">
      <c r="A935">
        <v>97353</v>
      </c>
      <c r="B935" s="1">
        <v>45708</v>
      </c>
      <c r="C935">
        <v>626</v>
      </c>
      <c r="D935">
        <v>40</v>
      </c>
      <c r="E935" t="s">
        <v>24</v>
      </c>
      <c r="F935" t="s">
        <v>65</v>
      </c>
      <c r="G935">
        <v>2</v>
      </c>
      <c r="H935" s="12">
        <v>117.09</v>
      </c>
      <c r="I935" t="s">
        <v>26</v>
      </c>
      <c r="J935" t="s">
        <v>510</v>
      </c>
      <c r="L935" t="s">
        <v>17</v>
      </c>
      <c r="M935">
        <v>31</v>
      </c>
      <c r="N935" s="21">
        <f t="shared" si="28"/>
        <v>234.18</v>
      </c>
      <c r="O935" s="21">
        <f t="shared" si="29"/>
        <v>70.254000000000005</v>
      </c>
    </row>
    <row r="936" spans="1:15" x14ac:dyDescent="0.3">
      <c r="A936">
        <v>14029</v>
      </c>
      <c r="B936" s="1">
        <v>45708</v>
      </c>
      <c r="C936">
        <v>436</v>
      </c>
      <c r="D936">
        <v>50</v>
      </c>
      <c r="E936" t="s">
        <v>18</v>
      </c>
      <c r="F936" t="s">
        <v>34</v>
      </c>
      <c r="G936">
        <v>4</v>
      </c>
      <c r="H936" s="12">
        <v>113.64</v>
      </c>
      <c r="I936" t="s">
        <v>15</v>
      </c>
      <c r="J936" t="s">
        <v>768</v>
      </c>
      <c r="L936" t="s">
        <v>17</v>
      </c>
      <c r="M936">
        <v>57</v>
      </c>
      <c r="N936" s="21">
        <f t="shared" si="28"/>
        <v>454.56</v>
      </c>
      <c r="O936" s="21">
        <f t="shared" si="29"/>
        <v>136.36799999999999</v>
      </c>
    </row>
    <row r="937" spans="1:15" x14ac:dyDescent="0.3">
      <c r="A937">
        <v>66492</v>
      </c>
      <c r="B937" s="1">
        <v>45709</v>
      </c>
      <c r="C937">
        <v>112</v>
      </c>
      <c r="D937">
        <v>10</v>
      </c>
      <c r="E937" t="s">
        <v>13</v>
      </c>
      <c r="F937" t="s">
        <v>42</v>
      </c>
      <c r="G937">
        <v>4</v>
      </c>
      <c r="H937" s="12">
        <v>375.13</v>
      </c>
      <c r="I937" t="s">
        <v>26</v>
      </c>
      <c r="J937" t="s">
        <v>219</v>
      </c>
      <c r="K937">
        <v>5</v>
      </c>
      <c r="L937" t="s">
        <v>21</v>
      </c>
      <c r="M937">
        <v>30</v>
      </c>
      <c r="N937" s="21">
        <f t="shared" si="28"/>
        <v>1500.52</v>
      </c>
      <c r="O937" s="21">
        <f t="shared" si="29"/>
        <v>450.15600000000001</v>
      </c>
    </row>
    <row r="938" spans="1:15" x14ac:dyDescent="0.3">
      <c r="A938">
        <v>52213</v>
      </c>
      <c r="B938" s="1">
        <v>45709</v>
      </c>
      <c r="C938">
        <v>648</v>
      </c>
      <c r="D938">
        <v>30</v>
      </c>
      <c r="E938" t="s">
        <v>37</v>
      </c>
      <c r="F938" t="s">
        <v>40</v>
      </c>
      <c r="G938">
        <v>1</v>
      </c>
      <c r="H938" s="12">
        <v>202.55</v>
      </c>
      <c r="I938" t="s">
        <v>35</v>
      </c>
      <c r="J938" t="s">
        <v>369</v>
      </c>
      <c r="K938">
        <v>5</v>
      </c>
      <c r="L938" t="s">
        <v>21</v>
      </c>
      <c r="M938">
        <v>57</v>
      </c>
      <c r="N938" s="21">
        <f t="shared" si="28"/>
        <v>202.55</v>
      </c>
      <c r="O938" s="21">
        <f t="shared" si="29"/>
        <v>60.765000000000001</v>
      </c>
    </row>
    <row r="939" spans="1:15" x14ac:dyDescent="0.3">
      <c r="A939">
        <v>11911</v>
      </c>
      <c r="B939" s="1">
        <v>45709</v>
      </c>
      <c r="C939">
        <v>572</v>
      </c>
      <c r="D939">
        <v>30</v>
      </c>
      <c r="E939" t="s">
        <v>37</v>
      </c>
      <c r="F939" t="s">
        <v>68</v>
      </c>
      <c r="G939">
        <v>3</v>
      </c>
      <c r="H939" s="12">
        <v>395.04</v>
      </c>
      <c r="I939" t="s">
        <v>26</v>
      </c>
      <c r="J939" t="s">
        <v>427</v>
      </c>
      <c r="K939">
        <v>5</v>
      </c>
      <c r="L939" t="s">
        <v>21</v>
      </c>
      <c r="M939">
        <v>44</v>
      </c>
      <c r="N939" s="21">
        <f t="shared" si="28"/>
        <v>1185.1200000000001</v>
      </c>
      <c r="O939" s="21">
        <f t="shared" si="29"/>
        <v>355.536</v>
      </c>
    </row>
    <row r="940" spans="1:15" x14ac:dyDescent="0.3">
      <c r="A940">
        <v>41613</v>
      </c>
      <c r="B940" s="1">
        <v>45709</v>
      </c>
      <c r="C940">
        <v>159</v>
      </c>
      <c r="D940">
        <v>30</v>
      </c>
      <c r="E940" t="s">
        <v>37</v>
      </c>
      <c r="F940" t="s">
        <v>68</v>
      </c>
      <c r="G940">
        <v>5</v>
      </c>
      <c r="H940" s="12">
        <v>487.53</v>
      </c>
      <c r="I940" t="s">
        <v>15</v>
      </c>
      <c r="J940" t="s">
        <v>564</v>
      </c>
      <c r="K940">
        <v>4</v>
      </c>
      <c r="L940" t="s">
        <v>17</v>
      </c>
      <c r="M940">
        <v>19</v>
      </c>
      <c r="N940" s="21">
        <f t="shared" si="28"/>
        <v>2437.6499999999996</v>
      </c>
      <c r="O940" s="21">
        <f t="shared" si="29"/>
        <v>731.29499999999985</v>
      </c>
    </row>
    <row r="941" spans="1:15" x14ac:dyDescent="0.3">
      <c r="A941">
        <v>62189</v>
      </c>
      <c r="B941" s="1">
        <v>45709</v>
      </c>
      <c r="C941">
        <v>650</v>
      </c>
      <c r="D941">
        <v>10</v>
      </c>
      <c r="E941" t="s">
        <v>13</v>
      </c>
      <c r="F941" t="s">
        <v>14</v>
      </c>
      <c r="G941">
        <v>3</v>
      </c>
      <c r="H941" s="12">
        <v>87.23</v>
      </c>
      <c r="I941" t="s">
        <v>35</v>
      </c>
      <c r="J941" t="s">
        <v>570</v>
      </c>
      <c r="K941">
        <v>3</v>
      </c>
      <c r="L941" t="s">
        <v>17</v>
      </c>
      <c r="M941">
        <v>54</v>
      </c>
      <c r="N941" s="21">
        <f t="shared" si="28"/>
        <v>261.69</v>
      </c>
      <c r="O941" s="21">
        <f t="shared" si="29"/>
        <v>78.506999999999991</v>
      </c>
    </row>
    <row r="942" spans="1:15" x14ac:dyDescent="0.3">
      <c r="A942">
        <v>36683</v>
      </c>
      <c r="B942" s="1">
        <v>45709</v>
      </c>
      <c r="C942">
        <v>125</v>
      </c>
      <c r="D942">
        <v>10</v>
      </c>
      <c r="E942" t="s">
        <v>13</v>
      </c>
      <c r="F942" t="s">
        <v>111</v>
      </c>
      <c r="G942">
        <v>2</v>
      </c>
      <c r="H942" s="12">
        <v>95.77</v>
      </c>
      <c r="I942" t="s">
        <v>35</v>
      </c>
      <c r="J942" t="s">
        <v>801</v>
      </c>
      <c r="L942" t="s">
        <v>21</v>
      </c>
      <c r="M942">
        <v>68</v>
      </c>
      <c r="N942" s="21">
        <f t="shared" si="28"/>
        <v>191.54</v>
      </c>
      <c r="O942" s="21">
        <f t="shared" si="29"/>
        <v>57.461999999999996</v>
      </c>
    </row>
    <row r="943" spans="1:15" x14ac:dyDescent="0.3">
      <c r="A943">
        <v>46965</v>
      </c>
      <c r="B943" s="1">
        <v>45709</v>
      </c>
      <c r="C943">
        <v>329</v>
      </c>
      <c r="D943">
        <v>30</v>
      </c>
      <c r="E943" t="s">
        <v>37</v>
      </c>
      <c r="F943" t="s">
        <v>68</v>
      </c>
      <c r="G943">
        <v>3</v>
      </c>
      <c r="H943" s="12">
        <v>343.98</v>
      </c>
      <c r="I943" t="s">
        <v>35</v>
      </c>
      <c r="J943" t="s">
        <v>804</v>
      </c>
      <c r="K943">
        <v>5</v>
      </c>
      <c r="L943" t="s">
        <v>17</v>
      </c>
      <c r="M943">
        <v>47</v>
      </c>
      <c r="N943" s="21">
        <f t="shared" si="28"/>
        <v>1031.94</v>
      </c>
      <c r="O943" s="21">
        <f t="shared" si="29"/>
        <v>309.58199999999999</v>
      </c>
    </row>
    <row r="944" spans="1:15" x14ac:dyDescent="0.3">
      <c r="A944">
        <v>86183</v>
      </c>
      <c r="B944" s="1">
        <v>45709</v>
      </c>
      <c r="C944">
        <v>263</v>
      </c>
      <c r="D944">
        <v>50</v>
      </c>
      <c r="E944" t="s">
        <v>18</v>
      </c>
      <c r="F944" t="s">
        <v>34</v>
      </c>
      <c r="G944">
        <v>3</v>
      </c>
      <c r="H944" s="12">
        <v>204.96</v>
      </c>
      <c r="I944" t="s">
        <v>35</v>
      </c>
      <c r="J944" t="s">
        <v>812</v>
      </c>
      <c r="L944" t="s">
        <v>17</v>
      </c>
      <c r="M944">
        <v>72</v>
      </c>
      <c r="N944" s="21">
        <f t="shared" si="28"/>
        <v>614.88</v>
      </c>
      <c r="O944" s="21">
        <f t="shared" si="29"/>
        <v>184.464</v>
      </c>
    </row>
    <row r="945" spans="1:15" x14ac:dyDescent="0.3">
      <c r="A945">
        <v>66861</v>
      </c>
      <c r="B945" s="1">
        <v>45711</v>
      </c>
      <c r="C945">
        <v>360</v>
      </c>
      <c r="D945">
        <v>20</v>
      </c>
      <c r="E945" t="s">
        <v>28</v>
      </c>
      <c r="F945" t="s">
        <v>79</v>
      </c>
      <c r="G945">
        <v>3</v>
      </c>
      <c r="H945" s="12">
        <v>146.66999999999999</v>
      </c>
      <c r="I945" t="s">
        <v>26</v>
      </c>
      <c r="J945" t="s">
        <v>156</v>
      </c>
      <c r="K945">
        <v>1</v>
      </c>
      <c r="L945" t="s">
        <v>17</v>
      </c>
      <c r="M945">
        <v>20</v>
      </c>
      <c r="N945" s="21">
        <f t="shared" si="28"/>
        <v>440.01</v>
      </c>
      <c r="O945" s="21">
        <f t="shared" si="29"/>
        <v>132.00299999999999</v>
      </c>
    </row>
    <row r="946" spans="1:15" x14ac:dyDescent="0.3">
      <c r="A946">
        <v>35117</v>
      </c>
      <c r="B946" s="1">
        <v>45712</v>
      </c>
      <c r="C946">
        <v>391</v>
      </c>
      <c r="D946">
        <v>40</v>
      </c>
      <c r="E946" t="s">
        <v>24</v>
      </c>
      <c r="F946" t="s">
        <v>25</v>
      </c>
      <c r="G946">
        <v>5</v>
      </c>
      <c r="H946" s="12">
        <v>224.84</v>
      </c>
      <c r="I946" t="s">
        <v>26</v>
      </c>
      <c r="J946" t="s">
        <v>479</v>
      </c>
      <c r="K946">
        <v>5</v>
      </c>
      <c r="L946" t="s">
        <v>21</v>
      </c>
      <c r="M946">
        <v>60</v>
      </c>
      <c r="N946" s="21">
        <f t="shared" si="28"/>
        <v>1124.2</v>
      </c>
      <c r="O946" s="21">
        <f t="shared" si="29"/>
        <v>337.26</v>
      </c>
    </row>
    <row r="947" spans="1:15" x14ac:dyDescent="0.3">
      <c r="A947">
        <v>97274</v>
      </c>
      <c r="B947" s="1">
        <v>45712</v>
      </c>
      <c r="C947">
        <v>560</v>
      </c>
      <c r="D947">
        <v>10</v>
      </c>
      <c r="E947" t="s">
        <v>13</v>
      </c>
      <c r="F947" t="s">
        <v>14</v>
      </c>
      <c r="G947">
        <v>3</v>
      </c>
      <c r="H947" s="12">
        <v>78.61</v>
      </c>
      <c r="I947" t="s">
        <v>15</v>
      </c>
      <c r="J947" t="s">
        <v>533</v>
      </c>
      <c r="K947">
        <v>4</v>
      </c>
      <c r="L947" t="s">
        <v>21</v>
      </c>
      <c r="M947">
        <v>55</v>
      </c>
      <c r="N947" s="21">
        <f t="shared" si="28"/>
        <v>235.82999999999998</v>
      </c>
      <c r="O947" s="21">
        <f t="shared" si="29"/>
        <v>70.748999999999995</v>
      </c>
    </row>
    <row r="948" spans="1:15" x14ac:dyDescent="0.3">
      <c r="A948">
        <v>91509</v>
      </c>
      <c r="B948" s="1">
        <v>45712</v>
      </c>
      <c r="C948">
        <v>113</v>
      </c>
      <c r="D948">
        <v>50</v>
      </c>
      <c r="E948" t="s">
        <v>18</v>
      </c>
      <c r="F948" t="s">
        <v>84</v>
      </c>
      <c r="G948">
        <v>3</v>
      </c>
      <c r="H948" s="12">
        <v>459.41</v>
      </c>
      <c r="I948" t="s">
        <v>15</v>
      </c>
      <c r="J948" t="s">
        <v>626</v>
      </c>
      <c r="K948">
        <v>5</v>
      </c>
      <c r="L948" t="s">
        <v>17</v>
      </c>
      <c r="M948">
        <v>43</v>
      </c>
      <c r="N948" s="21">
        <f t="shared" si="28"/>
        <v>1378.23</v>
      </c>
      <c r="O948" s="21">
        <f t="shared" si="29"/>
        <v>413.46899999999999</v>
      </c>
    </row>
    <row r="949" spans="1:15" x14ac:dyDescent="0.3">
      <c r="A949">
        <v>40188</v>
      </c>
      <c r="B949" s="1">
        <v>45712</v>
      </c>
      <c r="C949">
        <v>533</v>
      </c>
      <c r="D949">
        <v>10</v>
      </c>
      <c r="E949" t="s">
        <v>13</v>
      </c>
      <c r="F949" t="s">
        <v>42</v>
      </c>
      <c r="G949">
        <v>1</v>
      </c>
      <c r="H949" s="12">
        <v>475.07</v>
      </c>
      <c r="I949" t="s">
        <v>15</v>
      </c>
      <c r="J949" t="s">
        <v>919</v>
      </c>
      <c r="L949" t="s">
        <v>17</v>
      </c>
      <c r="M949">
        <v>75</v>
      </c>
      <c r="N949" s="21">
        <f t="shared" si="28"/>
        <v>475.07</v>
      </c>
      <c r="O949" s="21">
        <f t="shared" si="29"/>
        <v>142.52099999999999</v>
      </c>
    </row>
    <row r="950" spans="1:15" x14ac:dyDescent="0.3">
      <c r="A950">
        <v>44704</v>
      </c>
      <c r="B950" s="1">
        <v>45713</v>
      </c>
      <c r="C950">
        <v>911</v>
      </c>
      <c r="D950">
        <v>30</v>
      </c>
      <c r="E950" t="s">
        <v>37</v>
      </c>
      <c r="F950" t="s">
        <v>58</v>
      </c>
      <c r="G950">
        <v>4</v>
      </c>
      <c r="H950" s="12">
        <v>37.520000000000003</v>
      </c>
      <c r="I950" t="s">
        <v>35</v>
      </c>
      <c r="J950" t="s">
        <v>281</v>
      </c>
      <c r="L950" t="s">
        <v>17</v>
      </c>
      <c r="M950">
        <v>62</v>
      </c>
      <c r="N950" s="21">
        <f t="shared" si="28"/>
        <v>150.08000000000001</v>
      </c>
      <c r="O950" s="21">
        <f t="shared" si="29"/>
        <v>45.024000000000001</v>
      </c>
    </row>
    <row r="951" spans="1:15" x14ac:dyDescent="0.3">
      <c r="A951">
        <v>93539</v>
      </c>
      <c r="B951" s="1">
        <v>45713</v>
      </c>
      <c r="C951">
        <v>907</v>
      </c>
      <c r="D951">
        <v>10</v>
      </c>
      <c r="E951" t="s">
        <v>13</v>
      </c>
      <c r="F951" t="s">
        <v>32</v>
      </c>
      <c r="G951">
        <v>2</v>
      </c>
      <c r="H951" s="12">
        <v>77.37</v>
      </c>
      <c r="I951" t="s">
        <v>35</v>
      </c>
      <c r="J951" t="s">
        <v>445</v>
      </c>
      <c r="K951">
        <v>1</v>
      </c>
      <c r="L951" t="s">
        <v>17</v>
      </c>
      <c r="M951">
        <v>43</v>
      </c>
      <c r="N951" s="21">
        <f t="shared" si="28"/>
        <v>154.74</v>
      </c>
      <c r="O951" s="21">
        <f t="shared" si="29"/>
        <v>46.422000000000004</v>
      </c>
    </row>
    <row r="952" spans="1:15" x14ac:dyDescent="0.3">
      <c r="A952">
        <v>61358</v>
      </c>
      <c r="B952" s="1">
        <v>45714</v>
      </c>
      <c r="C952">
        <v>439</v>
      </c>
      <c r="D952">
        <v>20</v>
      </c>
      <c r="E952" t="s">
        <v>28</v>
      </c>
      <c r="F952" t="s">
        <v>79</v>
      </c>
      <c r="G952">
        <v>5</v>
      </c>
      <c r="H952" s="12">
        <v>476.53</v>
      </c>
      <c r="I952" t="s">
        <v>26</v>
      </c>
      <c r="J952" t="s">
        <v>573</v>
      </c>
      <c r="K952">
        <v>4</v>
      </c>
      <c r="L952" t="s">
        <v>17</v>
      </c>
      <c r="M952">
        <v>51</v>
      </c>
      <c r="N952" s="21">
        <f t="shared" si="28"/>
        <v>2382.6499999999996</v>
      </c>
      <c r="O952" s="21">
        <f t="shared" si="29"/>
        <v>714.79499999999985</v>
      </c>
    </row>
    <row r="953" spans="1:15" x14ac:dyDescent="0.3">
      <c r="A953">
        <v>39659</v>
      </c>
      <c r="B953" s="1">
        <v>45714</v>
      </c>
      <c r="C953">
        <v>881</v>
      </c>
      <c r="D953">
        <v>20</v>
      </c>
      <c r="E953" t="s">
        <v>28</v>
      </c>
      <c r="F953" t="s">
        <v>51</v>
      </c>
      <c r="G953">
        <v>2</v>
      </c>
      <c r="H953" s="12">
        <v>311.83999999999997</v>
      </c>
      <c r="I953" t="s">
        <v>35</v>
      </c>
      <c r="J953" t="s">
        <v>902</v>
      </c>
      <c r="K953">
        <v>4</v>
      </c>
      <c r="L953" t="s">
        <v>21</v>
      </c>
      <c r="M953">
        <v>75</v>
      </c>
      <c r="N953" s="21">
        <f t="shared" si="28"/>
        <v>623.67999999999995</v>
      </c>
      <c r="O953" s="21">
        <f t="shared" si="29"/>
        <v>187.10399999999998</v>
      </c>
    </row>
    <row r="954" spans="1:15" x14ac:dyDescent="0.3">
      <c r="A954">
        <v>43043</v>
      </c>
      <c r="B954" s="1">
        <v>45715</v>
      </c>
      <c r="C954">
        <v>203</v>
      </c>
      <c r="D954">
        <v>10</v>
      </c>
      <c r="E954" t="s">
        <v>13</v>
      </c>
      <c r="F954" t="s">
        <v>111</v>
      </c>
      <c r="G954">
        <v>5</v>
      </c>
      <c r="H954" s="12">
        <v>185.65</v>
      </c>
      <c r="I954" t="s">
        <v>26</v>
      </c>
      <c r="J954" t="s">
        <v>211</v>
      </c>
      <c r="L954" t="s">
        <v>17</v>
      </c>
      <c r="M954">
        <v>24</v>
      </c>
      <c r="N954" s="21">
        <f t="shared" si="28"/>
        <v>928.25</v>
      </c>
      <c r="O954" s="21">
        <f t="shared" si="29"/>
        <v>278.47499999999997</v>
      </c>
    </row>
    <row r="955" spans="1:15" x14ac:dyDescent="0.3">
      <c r="A955">
        <v>80882</v>
      </c>
      <c r="B955" s="1">
        <v>45715</v>
      </c>
      <c r="C955">
        <v>511</v>
      </c>
      <c r="D955">
        <v>10</v>
      </c>
      <c r="E955" t="s">
        <v>13</v>
      </c>
      <c r="F955" t="s">
        <v>14</v>
      </c>
      <c r="G955">
        <v>3</v>
      </c>
      <c r="H955" s="12">
        <v>375.59</v>
      </c>
      <c r="I955" t="s">
        <v>15</v>
      </c>
      <c r="J955" t="s">
        <v>261</v>
      </c>
      <c r="K955">
        <v>3</v>
      </c>
      <c r="L955" t="s">
        <v>17</v>
      </c>
      <c r="M955">
        <v>32</v>
      </c>
      <c r="N955" s="21">
        <f t="shared" si="28"/>
        <v>1126.77</v>
      </c>
      <c r="O955" s="21">
        <f t="shared" si="29"/>
        <v>338.03100000000001</v>
      </c>
    </row>
    <row r="956" spans="1:15" x14ac:dyDescent="0.3">
      <c r="A956">
        <v>76603</v>
      </c>
      <c r="B956" s="1">
        <v>45715</v>
      </c>
      <c r="C956">
        <v>511</v>
      </c>
      <c r="D956">
        <v>10</v>
      </c>
      <c r="E956" t="s">
        <v>13</v>
      </c>
      <c r="F956" t="s">
        <v>42</v>
      </c>
      <c r="G956">
        <v>2</v>
      </c>
      <c r="H956" s="12">
        <v>289.89999999999998</v>
      </c>
      <c r="I956" t="s">
        <v>35</v>
      </c>
      <c r="J956" t="s">
        <v>622</v>
      </c>
      <c r="K956">
        <v>5</v>
      </c>
      <c r="L956" t="s">
        <v>17</v>
      </c>
      <c r="M956">
        <v>36</v>
      </c>
      <c r="N956" s="21">
        <f t="shared" si="28"/>
        <v>579.79999999999995</v>
      </c>
      <c r="O956" s="21">
        <f t="shared" si="29"/>
        <v>173.93999999999997</v>
      </c>
    </row>
    <row r="957" spans="1:15" x14ac:dyDescent="0.3">
      <c r="A957">
        <v>99850</v>
      </c>
      <c r="B957" s="1">
        <v>45715</v>
      </c>
      <c r="C957">
        <v>453</v>
      </c>
      <c r="D957">
        <v>40</v>
      </c>
      <c r="E957" t="s">
        <v>24</v>
      </c>
      <c r="F957" t="s">
        <v>63</v>
      </c>
      <c r="G957">
        <v>3</v>
      </c>
      <c r="H957" s="12">
        <v>392.26</v>
      </c>
      <c r="I957" t="s">
        <v>26</v>
      </c>
      <c r="J957" t="s">
        <v>894</v>
      </c>
      <c r="K957">
        <v>3</v>
      </c>
      <c r="L957" t="s">
        <v>17</v>
      </c>
      <c r="M957">
        <v>50</v>
      </c>
      <c r="N957" s="21">
        <f t="shared" si="28"/>
        <v>1176.78</v>
      </c>
      <c r="O957" s="21">
        <f t="shared" si="29"/>
        <v>353.03399999999999</v>
      </c>
    </row>
    <row r="958" spans="1:15" x14ac:dyDescent="0.3">
      <c r="A958">
        <v>20393</v>
      </c>
      <c r="B958" s="1">
        <v>45716</v>
      </c>
      <c r="C958">
        <v>133</v>
      </c>
      <c r="D958">
        <v>40</v>
      </c>
      <c r="E958" t="s">
        <v>24</v>
      </c>
      <c r="F958" t="s">
        <v>44</v>
      </c>
      <c r="G958">
        <v>5</v>
      </c>
      <c r="H958" s="12">
        <v>468.55</v>
      </c>
      <c r="I958" t="s">
        <v>15</v>
      </c>
      <c r="J958" t="s">
        <v>400</v>
      </c>
      <c r="K958">
        <v>2</v>
      </c>
      <c r="L958" t="s">
        <v>21</v>
      </c>
      <c r="M958">
        <v>68</v>
      </c>
      <c r="N958" s="21">
        <f t="shared" si="28"/>
        <v>2342.75</v>
      </c>
      <c r="O958" s="21">
        <f t="shared" si="29"/>
        <v>702.82499999999993</v>
      </c>
    </row>
    <row r="959" spans="1:15" x14ac:dyDescent="0.3">
      <c r="A959">
        <v>35152</v>
      </c>
      <c r="B959" s="1">
        <v>45717</v>
      </c>
      <c r="C959">
        <v>106</v>
      </c>
      <c r="D959">
        <v>20</v>
      </c>
      <c r="E959" t="s">
        <v>28</v>
      </c>
      <c r="F959" t="s">
        <v>72</v>
      </c>
      <c r="G959">
        <v>1</v>
      </c>
      <c r="H959" s="12">
        <v>87.9</v>
      </c>
      <c r="I959" t="s">
        <v>26</v>
      </c>
      <c r="J959" t="s">
        <v>525</v>
      </c>
      <c r="L959" t="s">
        <v>21</v>
      </c>
      <c r="M959">
        <v>64</v>
      </c>
      <c r="N959" s="21">
        <f t="shared" si="28"/>
        <v>87.9</v>
      </c>
      <c r="O959" s="21">
        <f t="shared" si="29"/>
        <v>26.37</v>
      </c>
    </row>
    <row r="960" spans="1:15" x14ac:dyDescent="0.3">
      <c r="A960">
        <v>89618</v>
      </c>
      <c r="B960" s="1">
        <v>45717</v>
      </c>
      <c r="C960">
        <v>567</v>
      </c>
      <c r="D960">
        <v>20</v>
      </c>
      <c r="E960" t="s">
        <v>28</v>
      </c>
      <c r="F960" t="s">
        <v>79</v>
      </c>
      <c r="G960">
        <v>1</v>
      </c>
      <c r="H960" s="12">
        <v>98.87</v>
      </c>
      <c r="I960" t="s">
        <v>35</v>
      </c>
      <c r="J960" t="s">
        <v>748</v>
      </c>
      <c r="K960">
        <v>5</v>
      </c>
      <c r="L960" t="s">
        <v>17</v>
      </c>
      <c r="M960">
        <v>42</v>
      </c>
      <c r="N960" s="21">
        <f t="shared" si="28"/>
        <v>98.87</v>
      </c>
      <c r="O960" s="21">
        <f t="shared" si="29"/>
        <v>29.661000000000001</v>
      </c>
    </row>
    <row r="961" spans="1:15" x14ac:dyDescent="0.3">
      <c r="A961">
        <v>55905</v>
      </c>
      <c r="B961" s="1">
        <v>45718</v>
      </c>
      <c r="C961">
        <v>550</v>
      </c>
      <c r="D961">
        <v>30</v>
      </c>
      <c r="E961" t="s">
        <v>37</v>
      </c>
      <c r="F961" t="s">
        <v>68</v>
      </c>
      <c r="G961">
        <v>1</v>
      </c>
      <c r="H961" s="12">
        <v>99.84</v>
      </c>
      <c r="I961" t="s">
        <v>35</v>
      </c>
      <c r="J961" t="s">
        <v>993</v>
      </c>
      <c r="K961">
        <v>3</v>
      </c>
      <c r="L961" t="s">
        <v>17</v>
      </c>
      <c r="M961">
        <v>73</v>
      </c>
      <c r="N961" s="21">
        <f t="shared" si="28"/>
        <v>99.84</v>
      </c>
      <c r="O961" s="21">
        <f t="shared" si="29"/>
        <v>29.951999999999998</v>
      </c>
    </row>
    <row r="962" spans="1:15" x14ac:dyDescent="0.3">
      <c r="A962">
        <v>51106</v>
      </c>
      <c r="B962" s="1">
        <v>45719</v>
      </c>
      <c r="C962">
        <v>222</v>
      </c>
      <c r="D962">
        <v>50</v>
      </c>
      <c r="E962" t="s">
        <v>18</v>
      </c>
      <c r="F962" t="s">
        <v>22</v>
      </c>
      <c r="G962">
        <v>2</v>
      </c>
      <c r="H962" s="12">
        <v>148.66999999999999</v>
      </c>
      <c r="I962" t="s">
        <v>15</v>
      </c>
      <c r="J962" t="s">
        <v>166</v>
      </c>
      <c r="K962">
        <v>5</v>
      </c>
      <c r="L962" t="s">
        <v>21</v>
      </c>
      <c r="M962">
        <v>38</v>
      </c>
      <c r="N962" s="21">
        <f t="shared" si="28"/>
        <v>297.33999999999997</v>
      </c>
      <c r="O962" s="21">
        <f t="shared" si="29"/>
        <v>89.201999999999984</v>
      </c>
    </row>
    <row r="963" spans="1:15" x14ac:dyDescent="0.3">
      <c r="A963">
        <v>23687</v>
      </c>
      <c r="B963" s="1">
        <v>45719</v>
      </c>
      <c r="C963">
        <v>371</v>
      </c>
      <c r="D963">
        <v>10</v>
      </c>
      <c r="E963" t="s">
        <v>13</v>
      </c>
      <c r="F963" t="s">
        <v>111</v>
      </c>
      <c r="G963">
        <v>2</v>
      </c>
      <c r="H963" s="12">
        <v>308.07</v>
      </c>
      <c r="I963" t="s">
        <v>15</v>
      </c>
      <c r="J963" t="s">
        <v>246</v>
      </c>
      <c r="L963" t="s">
        <v>17</v>
      </c>
      <c r="M963">
        <v>68</v>
      </c>
      <c r="N963" s="21">
        <f t="shared" ref="N963:N1001" si="30">H963*G963</f>
        <v>616.14</v>
      </c>
      <c r="O963" s="21">
        <f t="shared" ref="O963:O1001" si="31">N963*0.3</f>
        <v>184.84199999999998</v>
      </c>
    </row>
    <row r="964" spans="1:15" x14ac:dyDescent="0.3">
      <c r="A964">
        <v>75278</v>
      </c>
      <c r="B964" s="1">
        <v>45719</v>
      </c>
      <c r="C964">
        <v>538</v>
      </c>
      <c r="D964">
        <v>40</v>
      </c>
      <c r="E964" t="s">
        <v>24</v>
      </c>
      <c r="F964" t="s">
        <v>65</v>
      </c>
      <c r="G964">
        <v>3</v>
      </c>
      <c r="H964" s="12">
        <v>266.14999999999998</v>
      </c>
      <c r="I964" t="s">
        <v>15</v>
      </c>
      <c r="J964" t="s">
        <v>287</v>
      </c>
      <c r="K964">
        <v>3</v>
      </c>
      <c r="M964">
        <v>59</v>
      </c>
      <c r="N964" s="21">
        <f t="shared" si="30"/>
        <v>798.44999999999993</v>
      </c>
      <c r="O964" s="21">
        <f t="shared" si="31"/>
        <v>239.53499999999997</v>
      </c>
    </row>
    <row r="965" spans="1:15" x14ac:dyDescent="0.3">
      <c r="A965">
        <v>26160</v>
      </c>
      <c r="B965" s="1">
        <v>45720</v>
      </c>
      <c r="C965">
        <v>374</v>
      </c>
      <c r="D965">
        <v>20</v>
      </c>
      <c r="E965" t="s">
        <v>28</v>
      </c>
      <c r="F965" t="s">
        <v>29</v>
      </c>
      <c r="G965">
        <v>2</v>
      </c>
      <c r="H965" s="12">
        <v>452.2</v>
      </c>
      <c r="I965" t="s">
        <v>15</v>
      </c>
      <c r="J965" t="s">
        <v>82</v>
      </c>
      <c r="K965">
        <v>3</v>
      </c>
      <c r="M965">
        <v>25</v>
      </c>
      <c r="N965" s="21">
        <f t="shared" si="30"/>
        <v>904.4</v>
      </c>
      <c r="O965" s="21">
        <f t="shared" si="31"/>
        <v>271.32</v>
      </c>
    </row>
    <row r="966" spans="1:15" x14ac:dyDescent="0.3">
      <c r="A966">
        <v>20019</v>
      </c>
      <c r="B966" s="1">
        <v>45720</v>
      </c>
      <c r="C966">
        <v>886</v>
      </c>
      <c r="D966">
        <v>40</v>
      </c>
      <c r="E966" t="s">
        <v>24</v>
      </c>
      <c r="F966" t="s">
        <v>63</v>
      </c>
      <c r="G966">
        <v>4</v>
      </c>
      <c r="H966" s="12">
        <v>300.02999999999997</v>
      </c>
      <c r="I966" t="s">
        <v>15</v>
      </c>
      <c r="J966" t="s">
        <v>565</v>
      </c>
      <c r="K966">
        <v>4</v>
      </c>
      <c r="M966">
        <v>34</v>
      </c>
      <c r="N966" s="21">
        <f t="shared" si="30"/>
        <v>1200.1199999999999</v>
      </c>
      <c r="O966" s="21">
        <f t="shared" si="31"/>
        <v>360.03599999999994</v>
      </c>
    </row>
    <row r="967" spans="1:15" x14ac:dyDescent="0.3">
      <c r="A967">
        <v>24734</v>
      </c>
      <c r="B967" s="1">
        <v>45721</v>
      </c>
      <c r="C967">
        <v>674</v>
      </c>
      <c r="D967">
        <v>50</v>
      </c>
      <c r="E967" t="s">
        <v>18</v>
      </c>
      <c r="F967" t="s">
        <v>87</v>
      </c>
      <c r="G967">
        <v>2</v>
      </c>
      <c r="H967" s="12">
        <v>95.99</v>
      </c>
      <c r="I967" t="s">
        <v>35</v>
      </c>
      <c r="J967" t="s">
        <v>398</v>
      </c>
      <c r="K967">
        <v>5</v>
      </c>
      <c r="L967" t="s">
        <v>17</v>
      </c>
      <c r="M967">
        <v>39</v>
      </c>
      <c r="N967" s="21">
        <f t="shared" si="30"/>
        <v>191.98</v>
      </c>
      <c r="O967" s="21">
        <f t="shared" si="31"/>
        <v>57.593999999999994</v>
      </c>
    </row>
    <row r="968" spans="1:15" x14ac:dyDescent="0.3">
      <c r="A968">
        <v>62120</v>
      </c>
      <c r="B968" s="1">
        <v>45721</v>
      </c>
      <c r="C968">
        <v>501</v>
      </c>
      <c r="D968">
        <v>50</v>
      </c>
      <c r="E968" t="s">
        <v>18</v>
      </c>
      <c r="F968" t="s">
        <v>87</v>
      </c>
      <c r="G968">
        <v>3</v>
      </c>
      <c r="H968" s="12">
        <v>456.38</v>
      </c>
      <c r="I968" t="s">
        <v>26</v>
      </c>
      <c r="J968" t="s">
        <v>740</v>
      </c>
      <c r="K968">
        <v>3</v>
      </c>
      <c r="L968" t="s">
        <v>17</v>
      </c>
      <c r="M968">
        <v>50</v>
      </c>
      <c r="N968" s="21">
        <f t="shared" si="30"/>
        <v>1369.1399999999999</v>
      </c>
      <c r="O968" s="21">
        <f t="shared" si="31"/>
        <v>410.74199999999996</v>
      </c>
    </row>
    <row r="969" spans="1:15" x14ac:dyDescent="0.3">
      <c r="A969">
        <v>11655</v>
      </c>
      <c r="B969" s="1">
        <v>45721</v>
      </c>
      <c r="C969">
        <v>961</v>
      </c>
      <c r="D969">
        <v>10</v>
      </c>
      <c r="E969" t="s">
        <v>13</v>
      </c>
      <c r="F969" t="s">
        <v>47</v>
      </c>
      <c r="G969">
        <v>4</v>
      </c>
      <c r="H969" s="12">
        <v>365.54</v>
      </c>
      <c r="I969" t="s">
        <v>26</v>
      </c>
      <c r="J969" t="s">
        <v>750</v>
      </c>
      <c r="K969">
        <v>5</v>
      </c>
      <c r="L969" t="s">
        <v>21</v>
      </c>
      <c r="M969">
        <v>61</v>
      </c>
      <c r="N969" s="21">
        <f t="shared" si="30"/>
        <v>1462.16</v>
      </c>
      <c r="O969" s="21">
        <f t="shared" si="31"/>
        <v>438.64800000000002</v>
      </c>
    </row>
    <row r="970" spans="1:15" x14ac:dyDescent="0.3">
      <c r="A970">
        <v>97350</v>
      </c>
      <c r="B970" s="1">
        <v>45722</v>
      </c>
      <c r="C970">
        <v>770</v>
      </c>
      <c r="D970">
        <v>40</v>
      </c>
      <c r="E970" t="s">
        <v>24</v>
      </c>
      <c r="F970" t="s">
        <v>25</v>
      </c>
      <c r="G970">
        <v>4</v>
      </c>
      <c r="H970" s="12">
        <v>143.74</v>
      </c>
      <c r="I970" t="s">
        <v>26</v>
      </c>
      <c r="J970" t="s">
        <v>139</v>
      </c>
      <c r="L970" t="s">
        <v>21</v>
      </c>
      <c r="M970">
        <v>70</v>
      </c>
      <c r="N970" s="21">
        <f t="shared" si="30"/>
        <v>574.96</v>
      </c>
      <c r="O970" s="21">
        <f t="shared" si="31"/>
        <v>172.488</v>
      </c>
    </row>
    <row r="971" spans="1:15" x14ac:dyDescent="0.3">
      <c r="A971">
        <v>18555</v>
      </c>
      <c r="B971" s="1">
        <v>45722</v>
      </c>
      <c r="C971">
        <v>287</v>
      </c>
      <c r="D971">
        <v>50</v>
      </c>
      <c r="E971" t="s">
        <v>18</v>
      </c>
      <c r="F971" t="s">
        <v>22</v>
      </c>
      <c r="G971">
        <v>2</v>
      </c>
      <c r="H971" s="12">
        <v>332.47</v>
      </c>
      <c r="I971" t="s">
        <v>15</v>
      </c>
      <c r="J971" t="s">
        <v>456</v>
      </c>
      <c r="K971">
        <v>5</v>
      </c>
      <c r="L971" t="s">
        <v>21</v>
      </c>
      <c r="M971">
        <v>68</v>
      </c>
      <c r="N971" s="21">
        <f t="shared" si="30"/>
        <v>664.94</v>
      </c>
      <c r="O971" s="21">
        <f t="shared" si="31"/>
        <v>199.482</v>
      </c>
    </row>
    <row r="972" spans="1:15" x14ac:dyDescent="0.3">
      <c r="A972">
        <v>53993</v>
      </c>
      <c r="B972" s="1">
        <v>45722</v>
      </c>
      <c r="C972">
        <v>268</v>
      </c>
      <c r="D972">
        <v>20</v>
      </c>
      <c r="E972" t="s">
        <v>28</v>
      </c>
      <c r="F972" t="s">
        <v>79</v>
      </c>
      <c r="G972">
        <v>3</v>
      </c>
      <c r="H972" s="12">
        <v>280.89999999999998</v>
      </c>
      <c r="I972" t="s">
        <v>35</v>
      </c>
      <c r="J972" t="s">
        <v>553</v>
      </c>
      <c r="K972">
        <v>5</v>
      </c>
      <c r="L972" t="s">
        <v>21</v>
      </c>
      <c r="M972">
        <v>47</v>
      </c>
      <c r="N972" s="21">
        <f t="shared" si="30"/>
        <v>842.69999999999993</v>
      </c>
      <c r="O972" s="21">
        <f t="shared" si="31"/>
        <v>252.80999999999997</v>
      </c>
    </row>
    <row r="973" spans="1:15" x14ac:dyDescent="0.3">
      <c r="A973">
        <v>37762</v>
      </c>
      <c r="B973" s="1">
        <v>45723</v>
      </c>
      <c r="C973">
        <v>442</v>
      </c>
      <c r="D973">
        <v>10</v>
      </c>
      <c r="E973" t="s">
        <v>13</v>
      </c>
      <c r="F973" t="s">
        <v>32</v>
      </c>
      <c r="G973">
        <v>1</v>
      </c>
      <c r="H973" s="12">
        <v>94.6</v>
      </c>
      <c r="I973" t="s">
        <v>35</v>
      </c>
      <c r="J973" t="s">
        <v>337</v>
      </c>
      <c r="K973">
        <v>4</v>
      </c>
      <c r="L973" t="s">
        <v>21</v>
      </c>
      <c r="M973">
        <v>32</v>
      </c>
      <c r="N973" s="21">
        <f t="shared" si="30"/>
        <v>94.6</v>
      </c>
      <c r="O973" s="21">
        <f t="shared" si="31"/>
        <v>28.38</v>
      </c>
    </row>
    <row r="974" spans="1:15" x14ac:dyDescent="0.3">
      <c r="A974">
        <v>37624</v>
      </c>
      <c r="B974" s="1">
        <v>45724</v>
      </c>
      <c r="C974">
        <v>681</v>
      </c>
      <c r="D974">
        <v>20</v>
      </c>
      <c r="E974" t="s">
        <v>28</v>
      </c>
      <c r="F974" t="s">
        <v>29</v>
      </c>
      <c r="G974">
        <v>1</v>
      </c>
      <c r="H974" s="12">
        <v>461</v>
      </c>
      <c r="I974" t="s">
        <v>15</v>
      </c>
      <c r="J974" t="s">
        <v>692</v>
      </c>
      <c r="K974">
        <v>5</v>
      </c>
      <c r="L974" t="s">
        <v>21</v>
      </c>
      <c r="M974">
        <v>20</v>
      </c>
      <c r="N974" s="21">
        <f t="shared" si="30"/>
        <v>461</v>
      </c>
      <c r="O974" s="21">
        <f t="shared" si="31"/>
        <v>138.29999999999998</v>
      </c>
    </row>
    <row r="975" spans="1:15" x14ac:dyDescent="0.3">
      <c r="A975">
        <v>38512</v>
      </c>
      <c r="B975" s="1">
        <v>45725</v>
      </c>
      <c r="C975">
        <v>976</v>
      </c>
      <c r="D975">
        <v>20</v>
      </c>
      <c r="E975" t="s">
        <v>28</v>
      </c>
      <c r="F975" t="s">
        <v>29</v>
      </c>
      <c r="G975">
        <v>5</v>
      </c>
      <c r="H975" s="12">
        <v>229.81</v>
      </c>
      <c r="I975" t="s">
        <v>15</v>
      </c>
      <c r="J975" t="s">
        <v>309</v>
      </c>
      <c r="K975">
        <v>5</v>
      </c>
      <c r="L975" t="s">
        <v>21</v>
      </c>
      <c r="M975">
        <v>34</v>
      </c>
      <c r="N975" s="21">
        <f t="shared" si="30"/>
        <v>1149.05</v>
      </c>
      <c r="O975" s="21">
        <f t="shared" si="31"/>
        <v>344.71499999999997</v>
      </c>
    </row>
    <row r="976" spans="1:15" x14ac:dyDescent="0.3">
      <c r="A976">
        <v>56081</v>
      </c>
      <c r="B976" s="1">
        <v>45725</v>
      </c>
      <c r="C976">
        <v>502</v>
      </c>
      <c r="D976">
        <v>10</v>
      </c>
      <c r="E976" t="s">
        <v>13</v>
      </c>
      <c r="F976" t="s">
        <v>42</v>
      </c>
      <c r="G976">
        <v>5</v>
      </c>
      <c r="H976" s="12">
        <v>370.24</v>
      </c>
      <c r="I976" t="s">
        <v>26</v>
      </c>
      <c r="J976" t="s">
        <v>318</v>
      </c>
      <c r="L976" t="s">
        <v>21</v>
      </c>
      <c r="M976">
        <v>38</v>
      </c>
      <c r="N976" s="21">
        <f t="shared" si="30"/>
        <v>1851.2</v>
      </c>
      <c r="O976" s="21">
        <f t="shared" si="31"/>
        <v>555.36</v>
      </c>
    </row>
    <row r="977" spans="1:15" x14ac:dyDescent="0.3">
      <c r="A977">
        <v>33770</v>
      </c>
      <c r="B977" s="1">
        <v>45726</v>
      </c>
      <c r="C977">
        <v>716</v>
      </c>
      <c r="D977">
        <v>10</v>
      </c>
      <c r="E977" t="s">
        <v>13</v>
      </c>
      <c r="F977" t="s">
        <v>32</v>
      </c>
      <c r="G977">
        <v>1</v>
      </c>
      <c r="H977" s="12">
        <v>433.99</v>
      </c>
      <c r="I977" t="s">
        <v>15</v>
      </c>
      <c r="J977" t="s">
        <v>512</v>
      </c>
      <c r="K977">
        <v>5</v>
      </c>
      <c r="L977" t="s">
        <v>21</v>
      </c>
      <c r="M977">
        <v>42</v>
      </c>
      <c r="N977" s="21">
        <f t="shared" si="30"/>
        <v>433.99</v>
      </c>
      <c r="O977" s="21">
        <f t="shared" si="31"/>
        <v>130.197</v>
      </c>
    </row>
    <row r="978" spans="1:15" x14ac:dyDescent="0.3">
      <c r="A978">
        <v>86727</v>
      </c>
      <c r="B978" s="1">
        <v>45726</v>
      </c>
      <c r="C978">
        <v>102</v>
      </c>
      <c r="D978">
        <v>50</v>
      </c>
      <c r="E978" t="s">
        <v>18</v>
      </c>
      <c r="F978" t="s">
        <v>19</v>
      </c>
      <c r="G978">
        <v>4</v>
      </c>
      <c r="H978" s="12">
        <v>380.42</v>
      </c>
      <c r="I978" t="s">
        <v>35</v>
      </c>
      <c r="J978" t="s">
        <v>741</v>
      </c>
      <c r="L978" t="s">
        <v>17</v>
      </c>
      <c r="M978">
        <v>46</v>
      </c>
      <c r="N978" s="21">
        <f t="shared" si="30"/>
        <v>1521.68</v>
      </c>
      <c r="O978" s="21">
        <f t="shared" si="31"/>
        <v>456.50400000000002</v>
      </c>
    </row>
    <row r="979" spans="1:15" x14ac:dyDescent="0.3">
      <c r="A979">
        <v>35717</v>
      </c>
      <c r="B979" s="1">
        <v>45726</v>
      </c>
      <c r="C979">
        <v>374</v>
      </c>
      <c r="D979">
        <v>40</v>
      </c>
      <c r="E979" t="s">
        <v>24</v>
      </c>
      <c r="F979" t="s">
        <v>63</v>
      </c>
      <c r="G979">
        <v>1</v>
      </c>
      <c r="H979" s="12">
        <v>239.35</v>
      </c>
      <c r="I979" t="s">
        <v>35</v>
      </c>
      <c r="J979" t="s">
        <v>879</v>
      </c>
      <c r="L979" t="s">
        <v>17</v>
      </c>
      <c r="M979">
        <v>34</v>
      </c>
      <c r="N979" s="21">
        <f t="shared" si="30"/>
        <v>239.35</v>
      </c>
      <c r="O979" s="21">
        <f t="shared" si="31"/>
        <v>71.804999999999993</v>
      </c>
    </row>
    <row r="980" spans="1:15" x14ac:dyDescent="0.3">
      <c r="A980">
        <v>39860</v>
      </c>
      <c r="B980" s="1">
        <v>45727</v>
      </c>
      <c r="C980">
        <v>967</v>
      </c>
      <c r="D980">
        <v>30</v>
      </c>
      <c r="E980" t="s">
        <v>37</v>
      </c>
      <c r="F980" t="s">
        <v>40</v>
      </c>
      <c r="G980">
        <v>1</v>
      </c>
      <c r="H980" s="12">
        <v>77.42</v>
      </c>
      <c r="I980" t="s">
        <v>26</v>
      </c>
      <c r="J980" t="s">
        <v>308</v>
      </c>
      <c r="K980">
        <v>5</v>
      </c>
      <c r="L980" t="s">
        <v>17</v>
      </c>
      <c r="M980">
        <v>53</v>
      </c>
      <c r="N980" s="21">
        <f t="shared" si="30"/>
        <v>77.42</v>
      </c>
      <c r="O980" s="21">
        <f t="shared" si="31"/>
        <v>23.225999999999999</v>
      </c>
    </row>
    <row r="981" spans="1:15" x14ac:dyDescent="0.3">
      <c r="A981">
        <v>85518</v>
      </c>
      <c r="B981" s="1">
        <v>45727</v>
      </c>
      <c r="C981">
        <v>519</v>
      </c>
      <c r="D981">
        <v>50</v>
      </c>
      <c r="E981" t="s">
        <v>18</v>
      </c>
      <c r="F981" t="s">
        <v>87</v>
      </c>
      <c r="G981">
        <v>1</v>
      </c>
      <c r="H981" s="12">
        <v>292.66000000000003</v>
      </c>
      <c r="I981" t="s">
        <v>35</v>
      </c>
      <c r="J981" t="s">
        <v>826</v>
      </c>
      <c r="K981">
        <v>5</v>
      </c>
      <c r="L981" t="s">
        <v>21</v>
      </c>
      <c r="M981">
        <v>75</v>
      </c>
      <c r="N981" s="21">
        <f t="shared" si="30"/>
        <v>292.66000000000003</v>
      </c>
      <c r="O981" s="21">
        <f t="shared" si="31"/>
        <v>87.798000000000002</v>
      </c>
    </row>
    <row r="982" spans="1:15" x14ac:dyDescent="0.3">
      <c r="A982">
        <v>25702</v>
      </c>
      <c r="B982" s="1">
        <v>45728</v>
      </c>
      <c r="C982">
        <v>423</v>
      </c>
      <c r="D982">
        <v>40</v>
      </c>
      <c r="E982" t="s">
        <v>24</v>
      </c>
      <c r="F982" t="s">
        <v>65</v>
      </c>
      <c r="G982">
        <v>4</v>
      </c>
      <c r="H982" s="12">
        <v>306.66000000000003</v>
      </c>
      <c r="I982" t="s">
        <v>15</v>
      </c>
      <c r="J982" t="s">
        <v>248</v>
      </c>
      <c r="K982">
        <v>5</v>
      </c>
      <c r="L982" t="s">
        <v>21</v>
      </c>
      <c r="M982">
        <v>40</v>
      </c>
      <c r="N982" s="21">
        <f t="shared" si="30"/>
        <v>1226.6400000000001</v>
      </c>
      <c r="O982" s="21">
        <f t="shared" si="31"/>
        <v>367.99200000000002</v>
      </c>
    </row>
    <row r="983" spans="1:15" x14ac:dyDescent="0.3">
      <c r="A983">
        <v>79470</v>
      </c>
      <c r="B983" s="1">
        <v>45728</v>
      </c>
      <c r="C983">
        <v>247</v>
      </c>
      <c r="D983">
        <v>40</v>
      </c>
      <c r="E983" t="s">
        <v>24</v>
      </c>
      <c r="F983" t="s">
        <v>63</v>
      </c>
      <c r="G983">
        <v>2</v>
      </c>
      <c r="H983" s="12">
        <v>190.5</v>
      </c>
      <c r="I983" t="s">
        <v>35</v>
      </c>
      <c r="J983" t="s">
        <v>371</v>
      </c>
      <c r="L983" t="s">
        <v>21</v>
      </c>
      <c r="M983">
        <v>41</v>
      </c>
      <c r="N983" s="21">
        <f t="shared" si="30"/>
        <v>381</v>
      </c>
      <c r="O983" s="21">
        <f t="shared" si="31"/>
        <v>114.3</v>
      </c>
    </row>
    <row r="984" spans="1:15" x14ac:dyDescent="0.3">
      <c r="A984">
        <v>92393</v>
      </c>
      <c r="B984" s="1">
        <v>45728</v>
      </c>
      <c r="C984">
        <v>344</v>
      </c>
      <c r="D984">
        <v>50</v>
      </c>
      <c r="E984" t="s">
        <v>18</v>
      </c>
      <c r="F984" t="s">
        <v>34</v>
      </c>
      <c r="G984">
        <v>5</v>
      </c>
      <c r="H984" s="12">
        <v>372.39</v>
      </c>
      <c r="I984" t="s">
        <v>15</v>
      </c>
      <c r="J984" t="s">
        <v>558</v>
      </c>
      <c r="K984">
        <v>4</v>
      </c>
      <c r="L984" t="s">
        <v>17</v>
      </c>
      <c r="M984">
        <v>63</v>
      </c>
      <c r="N984" s="21">
        <f t="shared" si="30"/>
        <v>1861.9499999999998</v>
      </c>
      <c r="O984" s="21">
        <f t="shared" si="31"/>
        <v>558.58499999999992</v>
      </c>
    </row>
    <row r="985" spans="1:15" x14ac:dyDescent="0.3">
      <c r="A985">
        <v>63014</v>
      </c>
      <c r="B985" s="1">
        <v>45728</v>
      </c>
      <c r="C985">
        <v>323</v>
      </c>
      <c r="D985">
        <v>20</v>
      </c>
      <c r="E985" t="s">
        <v>28</v>
      </c>
      <c r="F985" t="s">
        <v>72</v>
      </c>
      <c r="G985">
        <v>3</v>
      </c>
      <c r="H985" s="12">
        <v>62.81</v>
      </c>
      <c r="I985" t="s">
        <v>26</v>
      </c>
      <c r="J985" t="s">
        <v>141</v>
      </c>
      <c r="L985" t="s">
        <v>17</v>
      </c>
      <c r="M985">
        <v>39</v>
      </c>
      <c r="N985" s="21">
        <f t="shared" si="30"/>
        <v>188.43</v>
      </c>
      <c r="O985" s="21">
        <f t="shared" si="31"/>
        <v>56.529000000000003</v>
      </c>
    </row>
    <row r="986" spans="1:15" x14ac:dyDescent="0.3">
      <c r="A986">
        <v>85614</v>
      </c>
      <c r="B986" s="1">
        <v>45729</v>
      </c>
      <c r="C986">
        <v>189</v>
      </c>
      <c r="D986">
        <v>20</v>
      </c>
      <c r="E986" t="s">
        <v>28</v>
      </c>
      <c r="F986" t="s">
        <v>79</v>
      </c>
      <c r="G986">
        <v>5</v>
      </c>
      <c r="H986" s="12">
        <v>452.67</v>
      </c>
      <c r="I986" t="s">
        <v>35</v>
      </c>
      <c r="J986" t="s">
        <v>221</v>
      </c>
      <c r="L986" t="s">
        <v>17</v>
      </c>
      <c r="M986">
        <v>70</v>
      </c>
      <c r="N986" s="21">
        <f t="shared" si="30"/>
        <v>2263.35</v>
      </c>
      <c r="O986" s="21">
        <f t="shared" si="31"/>
        <v>679.005</v>
      </c>
    </row>
    <row r="987" spans="1:15" x14ac:dyDescent="0.3">
      <c r="A987">
        <v>82817</v>
      </c>
      <c r="B987" s="1">
        <v>45729</v>
      </c>
      <c r="C987">
        <v>486</v>
      </c>
      <c r="D987">
        <v>50</v>
      </c>
      <c r="E987" t="s">
        <v>18</v>
      </c>
      <c r="F987" t="s">
        <v>34</v>
      </c>
      <c r="G987">
        <v>4</v>
      </c>
      <c r="H987" s="12">
        <v>431.91</v>
      </c>
      <c r="I987" t="s">
        <v>35</v>
      </c>
      <c r="J987" t="s">
        <v>513</v>
      </c>
      <c r="K987">
        <v>5</v>
      </c>
      <c r="L987" t="s">
        <v>21</v>
      </c>
      <c r="M987">
        <v>29</v>
      </c>
      <c r="N987" s="21">
        <f t="shared" si="30"/>
        <v>1727.64</v>
      </c>
      <c r="O987" s="21">
        <f t="shared" si="31"/>
        <v>518.29200000000003</v>
      </c>
    </row>
    <row r="988" spans="1:15" x14ac:dyDescent="0.3">
      <c r="A988">
        <v>81959</v>
      </c>
      <c r="B988" s="1">
        <v>45729</v>
      </c>
      <c r="C988">
        <v>433</v>
      </c>
      <c r="D988">
        <v>20</v>
      </c>
      <c r="E988" t="s">
        <v>28</v>
      </c>
      <c r="F988" t="s">
        <v>77</v>
      </c>
      <c r="G988">
        <v>2</v>
      </c>
      <c r="H988" s="12">
        <v>369.7</v>
      </c>
      <c r="I988" t="s">
        <v>35</v>
      </c>
      <c r="J988" t="s">
        <v>672</v>
      </c>
      <c r="K988">
        <v>4</v>
      </c>
      <c r="L988" t="s">
        <v>21</v>
      </c>
      <c r="M988">
        <v>19</v>
      </c>
      <c r="N988" s="21">
        <f t="shared" si="30"/>
        <v>739.4</v>
      </c>
      <c r="O988" s="21">
        <f t="shared" si="31"/>
        <v>221.82</v>
      </c>
    </row>
    <row r="989" spans="1:15" x14ac:dyDescent="0.3">
      <c r="A989">
        <v>95322</v>
      </c>
      <c r="B989" s="1">
        <v>45730</v>
      </c>
      <c r="C989">
        <v>621</v>
      </c>
      <c r="D989">
        <v>50</v>
      </c>
      <c r="E989" t="s">
        <v>18</v>
      </c>
      <c r="F989" t="s">
        <v>84</v>
      </c>
      <c r="G989">
        <v>2</v>
      </c>
      <c r="H989" s="12">
        <v>34.61</v>
      </c>
      <c r="I989" t="s">
        <v>15</v>
      </c>
      <c r="J989" t="s">
        <v>128</v>
      </c>
      <c r="K989">
        <v>5</v>
      </c>
      <c r="L989" t="s">
        <v>21</v>
      </c>
      <c r="M989">
        <v>43</v>
      </c>
      <c r="N989" s="21">
        <f t="shared" si="30"/>
        <v>69.22</v>
      </c>
      <c r="O989" s="21">
        <f t="shared" si="31"/>
        <v>20.765999999999998</v>
      </c>
    </row>
    <row r="990" spans="1:15" x14ac:dyDescent="0.3">
      <c r="A990">
        <v>48813</v>
      </c>
      <c r="B990" s="1">
        <v>45730</v>
      </c>
      <c r="C990">
        <v>395</v>
      </c>
      <c r="D990">
        <v>10</v>
      </c>
      <c r="E990" t="s">
        <v>13</v>
      </c>
      <c r="F990" t="s">
        <v>111</v>
      </c>
      <c r="G990">
        <v>1</v>
      </c>
      <c r="H990" s="12">
        <v>191.02</v>
      </c>
      <c r="I990" t="s">
        <v>15</v>
      </c>
      <c r="J990" t="s">
        <v>761</v>
      </c>
      <c r="K990">
        <v>5</v>
      </c>
      <c r="L990" t="s">
        <v>17</v>
      </c>
      <c r="M990">
        <v>75</v>
      </c>
      <c r="N990" s="21">
        <f t="shared" si="30"/>
        <v>191.02</v>
      </c>
      <c r="O990" s="21">
        <f t="shared" si="31"/>
        <v>57.306000000000004</v>
      </c>
    </row>
    <row r="991" spans="1:15" x14ac:dyDescent="0.3">
      <c r="A991">
        <v>15872</v>
      </c>
      <c r="B991" s="1">
        <v>45730</v>
      </c>
      <c r="C991">
        <v>733</v>
      </c>
      <c r="D991">
        <v>10</v>
      </c>
      <c r="E991" t="s">
        <v>13</v>
      </c>
      <c r="F991" t="s">
        <v>42</v>
      </c>
      <c r="G991">
        <v>2</v>
      </c>
      <c r="H991" s="12">
        <v>185.4</v>
      </c>
      <c r="I991" t="s">
        <v>26</v>
      </c>
      <c r="J991" t="s">
        <v>883</v>
      </c>
      <c r="K991">
        <v>5</v>
      </c>
      <c r="L991" t="s">
        <v>21</v>
      </c>
      <c r="M991">
        <v>39</v>
      </c>
      <c r="N991" s="21">
        <f t="shared" si="30"/>
        <v>370.8</v>
      </c>
      <c r="O991" s="21">
        <f t="shared" si="31"/>
        <v>111.24</v>
      </c>
    </row>
    <row r="992" spans="1:15" x14ac:dyDescent="0.3">
      <c r="A992">
        <v>55698</v>
      </c>
      <c r="B992" s="1">
        <v>45732</v>
      </c>
      <c r="C992">
        <v>776</v>
      </c>
      <c r="D992">
        <v>40</v>
      </c>
      <c r="E992" t="s">
        <v>24</v>
      </c>
      <c r="F992" t="s">
        <v>49</v>
      </c>
      <c r="G992">
        <v>4</v>
      </c>
      <c r="H992" s="12">
        <v>101.01</v>
      </c>
      <c r="I992" t="s">
        <v>35</v>
      </c>
      <c r="J992" t="s">
        <v>463</v>
      </c>
      <c r="K992">
        <v>5</v>
      </c>
      <c r="L992" t="s">
        <v>21</v>
      </c>
      <c r="M992">
        <v>48</v>
      </c>
      <c r="N992" s="21">
        <f t="shared" si="30"/>
        <v>404.04</v>
      </c>
      <c r="O992" s="21">
        <f t="shared" si="31"/>
        <v>121.212</v>
      </c>
    </row>
    <row r="993" spans="1:15" x14ac:dyDescent="0.3">
      <c r="A993">
        <v>33156</v>
      </c>
      <c r="B993" s="1">
        <v>45732</v>
      </c>
      <c r="C993">
        <v>855</v>
      </c>
      <c r="D993">
        <v>10</v>
      </c>
      <c r="E993" t="s">
        <v>13</v>
      </c>
      <c r="F993" t="s">
        <v>111</v>
      </c>
      <c r="G993">
        <v>3</v>
      </c>
      <c r="H993" s="12">
        <v>301.07</v>
      </c>
      <c r="I993" t="s">
        <v>35</v>
      </c>
      <c r="J993" t="s">
        <v>609</v>
      </c>
      <c r="K993">
        <v>5</v>
      </c>
      <c r="L993" t="s">
        <v>17</v>
      </c>
      <c r="M993">
        <v>60</v>
      </c>
      <c r="N993" s="21">
        <f t="shared" si="30"/>
        <v>903.21</v>
      </c>
      <c r="O993" s="21">
        <f t="shared" si="31"/>
        <v>270.96300000000002</v>
      </c>
    </row>
    <row r="994" spans="1:15" x14ac:dyDescent="0.3">
      <c r="A994">
        <v>55421</v>
      </c>
      <c r="B994" s="1">
        <v>45732</v>
      </c>
      <c r="C994">
        <v>315</v>
      </c>
      <c r="D994">
        <v>30</v>
      </c>
      <c r="E994" t="s">
        <v>37</v>
      </c>
      <c r="F994" t="s">
        <v>40</v>
      </c>
      <c r="G994">
        <v>2</v>
      </c>
      <c r="H994" s="12">
        <v>307.12</v>
      </c>
      <c r="I994" t="s">
        <v>15</v>
      </c>
      <c r="J994" t="s">
        <v>800</v>
      </c>
      <c r="K994">
        <v>4</v>
      </c>
      <c r="L994" t="s">
        <v>21</v>
      </c>
      <c r="M994">
        <v>26</v>
      </c>
      <c r="N994" s="21">
        <f t="shared" si="30"/>
        <v>614.24</v>
      </c>
      <c r="O994" s="21">
        <f t="shared" si="31"/>
        <v>184.27199999999999</v>
      </c>
    </row>
    <row r="995" spans="1:15" x14ac:dyDescent="0.3">
      <c r="A995">
        <v>10539</v>
      </c>
      <c r="B995" s="1">
        <v>45733</v>
      </c>
      <c r="C995">
        <v>142</v>
      </c>
      <c r="D995">
        <v>40</v>
      </c>
      <c r="E995" t="s">
        <v>24</v>
      </c>
      <c r="F995" t="s">
        <v>25</v>
      </c>
      <c r="G995">
        <v>1</v>
      </c>
      <c r="H995" s="12">
        <v>34.64</v>
      </c>
      <c r="I995" t="s">
        <v>26</v>
      </c>
      <c r="J995" t="s">
        <v>142</v>
      </c>
      <c r="K995">
        <v>3</v>
      </c>
      <c r="L995" t="s">
        <v>17</v>
      </c>
      <c r="M995">
        <v>44</v>
      </c>
      <c r="N995" s="21">
        <f t="shared" si="30"/>
        <v>34.64</v>
      </c>
      <c r="O995" s="21">
        <f t="shared" si="31"/>
        <v>10.391999999999999</v>
      </c>
    </row>
    <row r="996" spans="1:15" x14ac:dyDescent="0.3">
      <c r="A996">
        <v>68238</v>
      </c>
      <c r="B996" s="1">
        <v>45733</v>
      </c>
      <c r="C996">
        <v>261</v>
      </c>
      <c r="D996">
        <v>50</v>
      </c>
      <c r="E996" t="s">
        <v>18</v>
      </c>
      <c r="F996" t="s">
        <v>19</v>
      </c>
      <c r="G996">
        <v>3</v>
      </c>
      <c r="H996" s="12">
        <v>332.25</v>
      </c>
      <c r="I996" t="s">
        <v>35</v>
      </c>
      <c r="J996" t="s">
        <v>190</v>
      </c>
      <c r="K996">
        <v>4</v>
      </c>
      <c r="L996" t="s">
        <v>21</v>
      </c>
      <c r="M996">
        <v>68</v>
      </c>
      <c r="N996" s="21">
        <f t="shared" si="30"/>
        <v>996.75</v>
      </c>
      <c r="O996" s="21">
        <f t="shared" si="31"/>
        <v>299.02499999999998</v>
      </c>
    </row>
    <row r="997" spans="1:15" x14ac:dyDescent="0.3">
      <c r="A997">
        <v>25747</v>
      </c>
      <c r="B997" s="1">
        <v>45734</v>
      </c>
      <c r="C997">
        <v>874</v>
      </c>
      <c r="D997">
        <v>30</v>
      </c>
      <c r="E997" t="s">
        <v>37</v>
      </c>
      <c r="F997" t="s">
        <v>95</v>
      </c>
      <c r="G997">
        <v>4</v>
      </c>
      <c r="H997" s="12">
        <v>60.76</v>
      </c>
      <c r="I997" t="s">
        <v>35</v>
      </c>
      <c r="J997" t="s">
        <v>255</v>
      </c>
      <c r="K997">
        <v>1</v>
      </c>
      <c r="L997" t="s">
        <v>17</v>
      </c>
      <c r="M997">
        <v>64</v>
      </c>
      <c r="N997" s="21">
        <f t="shared" si="30"/>
        <v>243.04</v>
      </c>
      <c r="O997" s="21">
        <f t="shared" si="31"/>
        <v>72.911999999999992</v>
      </c>
    </row>
    <row r="998" spans="1:15" x14ac:dyDescent="0.3">
      <c r="A998">
        <v>66977</v>
      </c>
      <c r="B998" s="1">
        <v>45734</v>
      </c>
      <c r="C998">
        <v>568</v>
      </c>
      <c r="D998">
        <v>20</v>
      </c>
      <c r="E998" t="s">
        <v>28</v>
      </c>
      <c r="F998" t="s">
        <v>72</v>
      </c>
      <c r="G998">
        <v>1</v>
      </c>
      <c r="H998" s="12">
        <v>354.32</v>
      </c>
      <c r="I998" t="s">
        <v>26</v>
      </c>
      <c r="J998" t="s">
        <v>259</v>
      </c>
      <c r="K998">
        <v>5</v>
      </c>
      <c r="L998" t="s">
        <v>21</v>
      </c>
      <c r="M998">
        <v>67</v>
      </c>
      <c r="N998" s="21">
        <f t="shared" si="30"/>
        <v>354.32</v>
      </c>
      <c r="O998" s="21">
        <f t="shared" si="31"/>
        <v>106.29599999999999</v>
      </c>
    </row>
    <row r="999" spans="1:15" x14ac:dyDescent="0.3">
      <c r="A999">
        <v>24175</v>
      </c>
      <c r="B999" s="1">
        <v>45735</v>
      </c>
      <c r="C999">
        <v>122</v>
      </c>
      <c r="D999">
        <v>40</v>
      </c>
      <c r="E999" t="s">
        <v>24</v>
      </c>
      <c r="F999" t="s">
        <v>49</v>
      </c>
      <c r="G999">
        <v>5</v>
      </c>
      <c r="H999" s="12">
        <v>470.43</v>
      </c>
      <c r="I999" t="s">
        <v>15</v>
      </c>
      <c r="J999" t="s">
        <v>813</v>
      </c>
      <c r="K999">
        <v>4</v>
      </c>
      <c r="L999" t="s">
        <v>21</v>
      </c>
      <c r="M999">
        <v>25</v>
      </c>
      <c r="N999" s="21">
        <f t="shared" si="30"/>
        <v>2352.15</v>
      </c>
      <c r="O999" s="21">
        <f t="shared" si="31"/>
        <v>705.64499999999998</v>
      </c>
    </row>
    <row r="1000" spans="1:15" x14ac:dyDescent="0.3">
      <c r="A1000">
        <v>27730</v>
      </c>
      <c r="B1000" s="1">
        <v>45735</v>
      </c>
      <c r="C1000">
        <v>385</v>
      </c>
      <c r="D1000">
        <v>30</v>
      </c>
      <c r="E1000" t="s">
        <v>37</v>
      </c>
      <c r="F1000" t="s">
        <v>40</v>
      </c>
      <c r="G1000">
        <v>1</v>
      </c>
      <c r="H1000" s="12">
        <v>366.27</v>
      </c>
      <c r="I1000" t="s">
        <v>26</v>
      </c>
      <c r="J1000" t="s">
        <v>926</v>
      </c>
      <c r="K1000">
        <v>5</v>
      </c>
      <c r="L1000" t="s">
        <v>21</v>
      </c>
      <c r="M1000">
        <v>44</v>
      </c>
      <c r="N1000" s="21">
        <f t="shared" si="30"/>
        <v>366.27</v>
      </c>
      <c r="O1000" s="21">
        <f t="shared" si="31"/>
        <v>109.88099999999999</v>
      </c>
    </row>
    <row r="1001" spans="1:15" x14ac:dyDescent="0.3">
      <c r="A1001">
        <v>75395</v>
      </c>
      <c r="B1001" s="1">
        <v>45735</v>
      </c>
      <c r="C1001">
        <v>175</v>
      </c>
      <c r="D1001">
        <v>40</v>
      </c>
      <c r="E1001" t="s">
        <v>24</v>
      </c>
      <c r="F1001" t="s">
        <v>63</v>
      </c>
      <c r="G1001">
        <v>2</v>
      </c>
      <c r="H1001" s="12">
        <v>300.16000000000003</v>
      </c>
      <c r="I1001" t="s">
        <v>26</v>
      </c>
      <c r="J1001" t="s">
        <v>999</v>
      </c>
      <c r="K1001">
        <v>3</v>
      </c>
      <c r="L1001" t="s">
        <v>21</v>
      </c>
      <c r="M1001">
        <v>64</v>
      </c>
      <c r="N1001" s="21">
        <f t="shared" si="30"/>
        <v>600.32000000000005</v>
      </c>
      <c r="O1001" s="21">
        <f t="shared" si="31"/>
        <v>180.096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406-DFF2-4353-8540-1144E67A749D}">
  <dimension ref="A1:H1002"/>
  <sheetViews>
    <sheetView workbookViewId="0">
      <selection activeCell="I6" sqref="I6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44140625" bestFit="1" customWidth="1"/>
    <col min="6" max="6" width="10.33203125" bestFit="1" customWidth="1"/>
    <col min="7" max="7" width="13.109375" bestFit="1" customWidth="1"/>
    <col min="8" max="8" width="12.44140625" bestFit="1" customWidth="1"/>
  </cols>
  <sheetData>
    <row r="1" spans="1:8" ht="21" x14ac:dyDescent="0.4">
      <c r="A1" s="25" t="s">
        <v>1103</v>
      </c>
      <c r="B1" s="25"/>
      <c r="C1" s="25"/>
      <c r="F1" s="25" t="s">
        <v>1104</v>
      </c>
      <c r="G1" s="25"/>
      <c r="H1" s="25"/>
    </row>
    <row r="2" spans="1:8" x14ac:dyDescent="0.3">
      <c r="A2" s="2" t="s">
        <v>1</v>
      </c>
      <c r="B2" s="2" t="s">
        <v>4</v>
      </c>
      <c r="C2" s="2" t="s">
        <v>1078</v>
      </c>
      <c r="F2" s="2" t="s">
        <v>1</v>
      </c>
      <c r="G2" s="2" t="s">
        <v>5</v>
      </c>
      <c r="H2" s="2" t="s">
        <v>1078</v>
      </c>
    </row>
    <row r="3" spans="1:8" x14ac:dyDescent="0.3">
      <c r="A3" s="1">
        <v>45709</v>
      </c>
      <c r="B3" t="s">
        <v>37</v>
      </c>
      <c r="C3" s="12">
        <v>2437.6499999999996</v>
      </c>
      <c r="F3" s="1">
        <v>45709</v>
      </c>
      <c r="G3" t="s">
        <v>68</v>
      </c>
      <c r="H3" s="12">
        <v>2437.6499999999996</v>
      </c>
    </row>
    <row r="4" spans="1:8" x14ac:dyDescent="0.3">
      <c r="A4" s="1">
        <v>45564</v>
      </c>
      <c r="B4" t="s">
        <v>13</v>
      </c>
      <c r="C4" s="12">
        <v>2434.5</v>
      </c>
      <c r="F4" s="1">
        <v>45564</v>
      </c>
      <c r="G4" t="s">
        <v>47</v>
      </c>
      <c r="H4" s="12">
        <v>2434.5</v>
      </c>
    </row>
    <row r="5" spans="1:8" x14ac:dyDescent="0.3">
      <c r="A5" s="1">
        <v>45714</v>
      </c>
      <c r="B5" t="s">
        <v>28</v>
      </c>
      <c r="C5" s="12">
        <v>2382.6499999999996</v>
      </c>
      <c r="F5" s="1">
        <v>45714</v>
      </c>
      <c r="G5" t="s">
        <v>79</v>
      </c>
      <c r="H5" s="12">
        <v>2382.6499999999996</v>
      </c>
    </row>
    <row r="6" spans="1:8" x14ac:dyDescent="0.3">
      <c r="A6" s="1">
        <v>45530</v>
      </c>
      <c r="B6" t="s">
        <v>18</v>
      </c>
      <c r="C6" s="12">
        <v>2379.4499999999998</v>
      </c>
      <c r="F6" s="1">
        <v>45530</v>
      </c>
      <c r="G6" t="s">
        <v>22</v>
      </c>
      <c r="H6" s="12">
        <v>2379.4499999999998</v>
      </c>
    </row>
    <row r="7" spans="1:8" x14ac:dyDescent="0.3">
      <c r="A7" s="1">
        <v>45625</v>
      </c>
      <c r="B7" t="s">
        <v>37</v>
      </c>
      <c r="C7" s="12">
        <v>2378.1</v>
      </c>
      <c r="F7" s="1">
        <v>45625</v>
      </c>
      <c r="G7" t="s">
        <v>68</v>
      </c>
      <c r="H7" s="12">
        <v>2378.1</v>
      </c>
    </row>
    <row r="8" spans="1:8" x14ac:dyDescent="0.3">
      <c r="A8" s="1">
        <v>45562</v>
      </c>
      <c r="B8" t="s">
        <v>13</v>
      </c>
      <c r="C8" s="12">
        <v>2376.5500000000002</v>
      </c>
      <c r="F8" s="1">
        <v>45562</v>
      </c>
      <c r="G8" t="s">
        <v>14</v>
      </c>
      <c r="H8" s="12">
        <v>2376.5500000000002</v>
      </c>
    </row>
    <row r="9" spans="1:8" x14ac:dyDescent="0.3">
      <c r="A9" s="1">
        <v>45735</v>
      </c>
      <c r="B9" t="s">
        <v>24</v>
      </c>
      <c r="C9" s="12">
        <v>2352.15</v>
      </c>
      <c r="F9" s="1">
        <v>45735</v>
      </c>
      <c r="G9" t="s">
        <v>49</v>
      </c>
      <c r="H9" s="12">
        <v>2352.15</v>
      </c>
    </row>
    <row r="10" spans="1:8" x14ac:dyDescent="0.3">
      <c r="A10" s="1">
        <v>45522</v>
      </c>
      <c r="B10" t="s">
        <v>28</v>
      </c>
      <c r="C10" s="12">
        <v>2351</v>
      </c>
      <c r="F10" s="1">
        <v>45522</v>
      </c>
      <c r="G10" t="s">
        <v>29</v>
      </c>
      <c r="H10" s="12">
        <v>2351</v>
      </c>
    </row>
    <row r="11" spans="1:8" x14ac:dyDescent="0.3">
      <c r="A11" s="1">
        <v>45716</v>
      </c>
      <c r="B11" t="s">
        <v>24</v>
      </c>
      <c r="C11" s="12">
        <v>2342.75</v>
      </c>
      <c r="F11" s="1">
        <v>45716</v>
      </c>
      <c r="G11" t="s">
        <v>44</v>
      </c>
      <c r="H11" s="12">
        <v>2342.75</v>
      </c>
    </row>
    <row r="12" spans="1:8" x14ac:dyDescent="0.3">
      <c r="A12" s="1">
        <v>45543</v>
      </c>
      <c r="B12" t="s">
        <v>13</v>
      </c>
      <c r="C12" s="12">
        <v>2331.9</v>
      </c>
      <c r="F12" s="1">
        <v>45543</v>
      </c>
      <c r="G12" t="s">
        <v>42</v>
      </c>
      <c r="H12" s="12">
        <v>2331.9</v>
      </c>
    </row>
    <row r="13" spans="1:8" x14ac:dyDescent="0.3">
      <c r="A13" s="1">
        <v>45563</v>
      </c>
      <c r="B13" t="s">
        <v>24</v>
      </c>
      <c r="C13" s="12">
        <v>2286.0499999999997</v>
      </c>
      <c r="F13" s="1">
        <v>45563</v>
      </c>
      <c r="G13" t="s">
        <v>44</v>
      </c>
      <c r="H13" s="12">
        <v>2286.0499999999997</v>
      </c>
    </row>
    <row r="14" spans="1:8" x14ac:dyDescent="0.3">
      <c r="A14" s="1">
        <v>45572</v>
      </c>
      <c r="B14" t="s">
        <v>37</v>
      </c>
      <c r="C14" s="12">
        <v>2282.75</v>
      </c>
      <c r="F14" s="1">
        <v>45572</v>
      </c>
      <c r="G14" t="s">
        <v>38</v>
      </c>
      <c r="H14" s="12">
        <v>2282.75</v>
      </c>
    </row>
    <row r="15" spans="1:8" x14ac:dyDescent="0.3">
      <c r="A15" s="1">
        <v>45593</v>
      </c>
      <c r="B15" t="s">
        <v>13</v>
      </c>
      <c r="C15" s="12">
        <v>2277.15</v>
      </c>
      <c r="F15" s="1">
        <v>45593</v>
      </c>
      <c r="G15" t="s">
        <v>32</v>
      </c>
      <c r="H15" s="12">
        <v>2277.15</v>
      </c>
    </row>
    <row r="16" spans="1:8" x14ac:dyDescent="0.3">
      <c r="A16" s="1">
        <v>45729</v>
      </c>
      <c r="B16" t="s">
        <v>28</v>
      </c>
      <c r="C16" s="12">
        <v>2263.35</v>
      </c>
      <c r="F16" s="1">
        <v>45729</v>
      </c>
      <c r="G16" t="s">
        <v>79</v>
      </c>
      <c r="H16" s="12">
        <v>2263.35</v>
      </c>
    </row>
    <row r="17" spans="1:8" x14ac:dyDescent="0.3">
      <c r="A17" s="1">
        <v>45634</v>
      </c>
      <c r="B17" t="s">
        <v>18</v>
      </c>
      <c r="C17" s="12">
        <v>2244.6</v>
      </c>
      <c r="F17" s="1">
        <v>45634</v>
      </c>
      <c r="G17" t="s">
        <v>84</v>
      </c>
      <c r="H17" s="12">
        <v>2244.6</v>
      </c>
    </row>
    <row r="18" spans="1:8" x14ac:dyDescent="0.3">
      <c r="A18" s="1">
        <v>45533</v>
      </c>
      <c r="B18" t="s">
        <v>28</v>
      </c>
      <c r="C18" s="12">
        <v>2211.5</v>
      </c>
      <c r="F18" s="1">
        <v>45533</v>
      </c>
      <c r="G18" t="s">
        <v>29</v>
      </c>
      <c r="H18" s="12">
        <v>2211.5</v>
      </c>
    </row>
    <row r="19" spans="1:8" x14ac:dyDescent="0.3">
      <c r="A19" s="1">
        <v>45547</v>
      </c>
      <c r="B19" t="s">
        <v>24</v>
      </c>
      <c r="C19" s="12">
        <v>2138.65</v>
      </c>
      <c r="F19" s="1">
        <v>45547</v>
      </c>
      <c r="G19" t="s">
        <v>25</v>
      </c>
      <c r="H19" s="12">
        <v>2138.65</v>
      </c>
    </row>
    <row r="20" spans="1:8" x14ac:dyDescent="0.3">
      <c r="A20" s="1">
        <v>45556</v>
      </c>
      <c r="B20" t="s">
        <v>24</v>
      </c>
      <c r="C20" s="12">
        <v>2131.85</v>
      </c>
      <c r="F20" s="1">
        <v>45556</v>
      </c>
      <c r="G20" t="s">
        <v>65</v>
      </c>
      <c r="H20" s="12">
        <v>2131.85</v>
      </c>
    </row>
    <row r="21" spans="1:8" x14ac:dyDescent="0.3">
      <c r="A21" s="1">
        <v>45518</v>
      </c>
      <c r="B21" t="s">
        <v>13</v>
      </c>
      <c r="C21" s="12">
        <v>2125.5</v>
      </c>
      <c r="F21" s="1">
        <v>45518</v>
      </c>
      <c r="G21" t="s">
        <v>32</v>
      </c>
      <c r="H21" s="12">
        <v>2125.5</v>
      </c>
    </row>
    <row r="22" spans="1:8" x14ac:dyDescent="0.3">
      <c r="A22" s="1">
        <v>45410</v>
      </c>
      <c r="B22" t="s">
        <v>24</v>
      </c>
      <c r="C22" s="12">
        <v>2111.9499999999998</v>
      </c>
      <c r="F22" s="1">
        <v>45410</v>
      </c>
      <c r="G22" t="s">
        <v>44</v>
      </c>
      <c r="H22" s="12">
        <v>2111.9499999999998</v>
      </c>
    </row>
    <row r="23" spans="1:8" x14ac:dyDescent="0.3">
      <c r="A23" s="1">
        <v>45421</v>
      </c>
      <c r="B23" t="s">
        <v>18</v>
      </c>
      <c r="C23" s="12">
        <v>2099.9</v>
      </c>
      <c r="F23" s="1">
        <v>45421</v>
      </c>
      <c r="G23" t="s">
        <v>87</v>
      </c>
      <c r="H23" s="12">
        <v>2099.9</v>
      </c>
    </row>
    <row r="24" spans="1:8" x14ac:dyDescent="0.3">
      <c r="A24" s="1">
        <v>45562</v>
      </c>
      <c r="B24" t="s">
        <v>28</v>
      </c>
      <c r="C24" s="12">
        <v>2093.5499999999997</v>
      </c>
      <c r="F24" s="1">
        <v>45562</v>
      </c>
      <c r="G24" t="s">
        <v>77</v>
      </c>
      <c r="H24" s="12">
        <v>2093.5499999999997</v>
      </c>
    </row>
    <row r="25" spans="1:8" x14ac:dyDescent="0.3">
      <c r="A25" s="1">
        <v>45457</v>
      </c>
      <c r="B25" t="s">
        <v>24</v>
      </c>
      <c r="C25" s="12">
        <v>2080.6</v>
      </c>
      <c r="F25" s="1">
        <v>45457</v>
      </c>
      <c r="G25" t="s">
        <v>63</v>
      </c>
      <c r="H25" s="12">
        <v>2080.6</v>
      </c>
    </row>
    <row r="26" spans="1:8" x14ac:dyDescent="0.3">
      <c r="A26" s="1">
        <v>45477</v>
      </c>
      <c r="B26" t="s">
        <v>24</v>
      </c>
      <c r="C26" s="12">
        <v>2063.5</v>
      </c>
      <c r="F26" s="1">
        <v>45477</v>
      </c>
      <c r="G26" t="s">
        <v>25</v>
      </c>
      <c r="H26" s="12">
        <v>2063.5</v>
      </c>
    </row>
    <row r="27" spans="1:8" x14ac:dyDescent="0.3">
      <c r="A27" s="1">
        <v>45644</v>
      </c>
      <c r="B27" t="s">
        <v>13</v>
      </c>
      <c r="C27" s="12">
        <v>2053</v>
      </c>
      <c r="F27" s="1">
        <v>45644</v>
      </c>
      <c r="G27" t="s">
        <v>32</v>
      </c>
      <c r="H27" s="12">
        <v>2053</v>
      </c>
    </row>
    <row r="28" spans="1:8" x14ac:dyDescent="0.3">
      <c r="A28" s="1">
        <v>45608</v>
      </c>
      <c r="B28" t="s">
        <v>37</v>
      </c>
      <c r="C28" s="12">
        <v>2052.75</v>
      </c>
      <c r="F28" s="1">
        <v>45608</v>
      </c>
      <c r="G28" t="s">
        <v>95</v>
      </c>
      <c r="H28" s="12">
        <v>2052.75</v>
      </c>
    </row>
    <row r="29" spans="1:8" x14ac:dyDescent="0.3">
      <c r="A29" s="1">
        <v>45684</v>
      </c>
      <c r="B29" t="s">
        <v>13</v>
      </c>
      <c r="C29" s="12">
        <v>2051.9</v>
      </c>
      <c r="F29" s="1">
        <v>45684</v>
      </c>
      <c r="G29" t="s">
        <v>111</v>
      </c>
      <c r="H29" s="12">
        <v>2051.9</v>
      </c>
    </row>
    <row r="30" spans="1:8" x14ac:dyDescent="0.3">
      <c r="A30" s="1">
        <v>45518</v>
      </c>
      <c r="B30" t="s">
        <v>24</v>
      </c>
      <c r="C30" s="12">
        <v>2046.75</v>
      </c>
      <c r="F30" s="1">
        <v>45518</v>
      </c>
      <c r="G30" t="s">
        <v>65</v>
      </c>
      <c r="H30" s="12">
        <v>2046.75</v>
      </c>
    </row>
    <row r="31" spans="1:8" x14ac:dyDescent="0.3">
      <c r="A31" s="1">
        <v>45653</v>
      </c>
      <c r="B31" t="s">
        <v>18</v>
      </c>
      <c r="C31" s="12">
        <v>2044.75</v>
      </c>
      <c r="F31" s="1">
        <v>45653</v>
      </c>
      <c r="G31" t="s">
        <v>87</v>
      </c>
      <c r="H31" s="12">
        <v>2044.75</v>
      </c>
    </row>
    <row r="32" spans="1:8" x14ac:dyDescent="0.3">
      <c r="A32" s="1">
        <v>45449</v>
      </c>
      <c r="B32" t="s">
        <v>18</v>
      </c>
      <c r="C32" s="12">
        <v>2031.3</v>
      </c>
      <c r="F32" s="1">
        <v>45449</v>
      </c>
      <c r="G32" t="s">
        <v>84</v>
      </c>
      <c r="H32" s="12">
        <v>2031.3</v>
      </c>
    </row>
    <row r="33" spans="1:8" x14ac:dyDescent="0.3">
      <c r="A33" s="1">
        <v>45699</v>
      </c>
      <c r="B33" t="s">
        <v>18</v>
      </c>
      <c r="C33" s="12">
        <v>2028.85</v>
      </c>
      <c r="F33" s="1">
        <v>45699</v>
      </c>
      <c r="G33" t="s">
        <v>34</v>
      </c>
      <c r="H33" s="12">
        <v>2028.85</v>
      </c>
    </row>
    <row r="34" spans="1:8" x14ac:dyDescent="0.3">
      <c r="A34" s="1">
        <v>45523</v>
      </c>
      <c r="B34" t="s">
        <v>28</v>
      </c>
      <c r="C34" s="12">
        <v>1994.64</v>
      </c>
      <c r="F34" s="1">
        <v>45523</v>
      </c>
      <c r="G34" t="s">
        <v>51</v>
      </c>
      <c r="H34" s="12">
        <v>1994.64</v>
      </c>
    </row>
    <row r="35" spans="1:8" x14ac:dyDescent="0.3">
      <c r="A35" s="1">
        <v>45628</v>
      </c>
      <c r="B35" t="s">
        <v>24</v>
      </c>
      <c r="C35" s="12">
        <v>1988.15</v>
      </c>
      <c r="F35" s="1">
        <v>45628</v>
      </c>
      <c r="G35" t="s">
        <v>44</v>
      </c>
      <c r="H35" s="12">
        <v>1988.15</v>
      </c>
    </row>
    <row r="36" spans="1:8" x14ac:dyDescent="0.3">
      <c r="A36" s="1">
        <v>45373</v>
      </c>
      <c r="B36" t="s">
        <v>18</v>
      </c>
      <c r="C36" s="12">
        <v>1978.8999999999999</v>
      </c>
      <c r="F36" s="1">
        <v>45373</v>
      </c>
      <c r="G36" t="s">
        <v>22</v>
      </c>
      <c r="H36" s="12">
        <v>1978.8999999999999</v>
      </c>
    </row>
    <row r="37" spans="1:8" x14ac:dyDescent="0.3">
      <c r="A37" s="1">
        <v>45507</v>
      </c>
      <c r="B37" t="s">
        <v>37</v>
      </c>
      <c r="C37" s="12">
        <v>1978.64</v>
      </c>
      <c r="F37" s="1">
        <v>45507</v>
      </c>
      <c r="G37" t="s">
        <v>68</v>
      </c>
      <c r="H37" s="12">
        <v>1978.64</v>
      </c>
    </row>
    <row r="38" spans="1:8" x14ac:dyDescent="0.3">
      <c r="A38" s="1">
        <v>45609</v>
      </c>
      <c r="B38" t="s">
        <v>37</v>
      </c>
      <c r="C38" s="12">
        <v>1978.1999999999998</v>
      </c>
      <c r="F38" s="1">
        <v>45609</v>
      </c>
      <c r="G38" t="s">
        <v>95</v>
      </c>
      <c r="H38" s="12">
        <v>1978.1999999999998</v>
      </c>
    </row>
    <row r="39" spans="1:8" x14ac:dyDescent="0.3">
      <c r="A39" s="1">
        <v>45664</v>
      </c>
      <c r="B39" t="s">
        <v>24</v>
      </c>
      <c r="C39" s="12">
        <v>1977.28</v>
      </c>
      <c r="F39" s="1">
        <v>45664</v>
      </c>
      <c r="G39" t="s">
        <v>49</v>
      </c>
      <c r="H39" s="12">
        <v>1977.28</v>
      </c>
    </row>
    <row r="40" spans="1:8" x14ac:dyDescent="0.3">
      <c r="A40" s="1">
        <v>45433</v>
      </c>
      <c r="B40" t="s">
        <v>28</v>
      </c>
      <c r="C40" s="12">
        <v>1953.96</v>
      </c>
      <c r="F40" s="1">
        <v>45433</v>
      </c>
      <c r="G40" t="s">
        <v>29</v>
      </c>
      <c r="H40" s="12">
        <v>1953.96</v>
      </c>
    </row>
    <row r="41" spans="1:8" x14ac:dyDescent="0.3">
      <c r="A41" s="1">
        <v>45630</v>
      </c>
      <c r="B41" t="s">
        <v>18</v>
      </c>
      <c r="C41" s="12">
        <v>1948.84</v>
      </c>
      <c r="F41" s="1">
        <v>45630</v>
      </c>
      <c r="G41" t="s">
        <v>87</v>
      </c>
      <c r="H41" s="12">
        <v>1948.84</v>
      </c>
    </row>
    <row r="42" spans="1:8" x14ac:dyDescent="0.3">
      <c r="A42" s="1">
        <v>45380</v>
      </c>
      <c r="B42" t="s">
        <v>13</v>
      </c>
      <c r="C42" s="12">
        <v>1947.36</v>
      </c>
      <c r="F42" s="1">
        <v>45380</v>
      </c>
      <c r="G42" t="s">
        <v>14</v>
      </c>
      <c r="H42" s="12">
        <v>1947.36</v>
      </c>
    </row>
    <row r="43" spans="1:8" x14ac:dyDescent="0.3">
      <c r="A43" s="1">
        <v>45517</v>
      </c>
      <c r="B43" t="s">
        <v>18</v>
      </c>
      <c r="C43" s="12">
        <v>1939.24</v>
      </c>
      <c r="F43" s="1">
        <v>45517</v>
      </c>
      <c r="G43" t="s">
        <v>19</v>
      </c>
      <c r="H43" s="12">
        <v>1939.24</v>
      </c>
    </row>
    <row r="44" spans="1:8" x14ac:dyDescent="0.3">
      <c r="A44" s="1">
        <v>45564</v>
      </c>
      <c r="B44" t="s">
        <v>37</v>
      </c>
      <c r="C44" s="12">
        <v>1916.48</v>
      </c>
      <c r="F44" s="1">
        <v>45564</v>
      </c>
      <c r="G44" t="s">
        <v>95</v>
      </c>
      <c r="H44" s="12">
        <v>1916.48</v>
      </c>
    </row>
    <row r="45" spans="1:8" x14ac:dyDescent="0.3">
      <c r="A45" s="1">
        <v>45660</v>
      </c>
      <c r="B45" t="s">
        <v>37</v>
      </c>
      <c r="C45" s="12">
        <v>1915.76</v>
      </c>
      <c r="F45" s="1">
        <v>45660</v>
      </c>
      <c r="G45" t="s">
        <v>95</v>
      </c>
      <c r="H45" s="12">
        <v>1915.76</v>
      </c>
    </row>
    <row r="46" spans="1:8" x14ac:dyDescent="0.3">
      <c r="A46" s="1">
        <v>45607</v>
      </c>
      <c r="B46" t="s">
        <v>37</v>
      </c>
      <c r="C46" s="12">
        <v>1912.68</v>
      </c>
      <c r="F46" s="1">
        <v>45607</v>
      </c>
      <c r="G46" t="s">
        <v>68</v>
      </c>
      <c r="H46" s="12">
        <v>1912.68</v>
      </c>
    </row>
    <row r="47" spans="1:8" x14ac:dyDescent="0.3">
      <c r="A47" s="1">
        <v>45379</v>
      </c>
      <c r="B47" t="s">
        <v>28</v>
      </c>
      <c r="C47" s="12">
        <v>1910.72</v>
      </c>
      <c r="F47" s="1">
        <v>45379</v>
      </c>
      <c r="G47" t="s">
        <v>29</v>
      </c>
      <c r="H47" s="12">
        <v>1910.72</v>
      </c>
    </row>
    <row r="48" spans="1:8" x14ac:dyDescent="0.3">
      <c r="A48" s="1">
        <v>45442</v>
      </c>
      <c r="B48" t="s">
        <v>28</v>
      </c>
      <c r="C48" s="12">
        <v>1906.55</v>
      </c>
      <c r="F48" s="1">
        <v>45442</v>
      </c>
      <c r="G48" t="s">
        <v>77</v>
      </c>
      <c r="H48" s="12">
        <v>1906.55</v>
      </c>
    </row>
    <row r="49" spans="1:8" x14ac:dyDescent="0.3">
      <c r="A49" s="1">
        <v>45459</v>
      </c>
      <c r="B49" t="s">
        <v>13</v>
      </c>
      <c r="C49" s="12">
        <v>1904.52</v>
      </c>
      <c r="F49" s="1">
        <v>45459</v>
      </c>
      <c r="G49" t="s">
        <v>47</v>
      </c>
      <c r="H49" s="12">
        <v>1904.52</v>
      </c>
    </row>
    <row r="50" spans="1:8" x14ac:dyDescent="0.3">
      <c r="A50" s="1">
        <v>45575</v>
      </c>
      <c r="B50" t="s">
        <v>37</v>
      </c>
      <c r="C50" s="12">
        <v>1904.28</v>
      </c>
      <c r="F50" s="1">
        <v>45575</v>
      </c>
      <c r="G50" t="s">
        <v>40</v>
      </c>
      <c r="H50" s="12">
        <v>1904.28</v>
      </c>
    </row>
    <row r="51" spans="1:8" x14ac:dyDescent="0.3">
      <c r="A51" s="1">
        <v>45684</v>
      </c>
      <c r="B51" t="s">
        <v>28</v>
      </c>
      <c r="C51" s="12">
        <v>1897.08</v>
      </c>
      <c r="F51" s="1">
        <v>45684</v>
      </c>
      <c r="G51" t="s">
        <v>72</v>
      </c>
      <c r="H51" s="12">
        <v>1897.08</v>
      </c>
    </row>
    <row r="52" spans="1:8" x14ac:dyDescent="0.3">
      <c r="A52" s="1">
        <v>45485</v>
      </c>
      <c r="B52" t="s">
        <v>24</v>
      </c>
      <c r="C52" s="12">
        <v>1897</v>
      </c>
      <c r="F52" s="1">
        <v>45485</v>
      </c>
      <c r="G52" t="s">
        <v>25</v>
      </c>
      <c r="H52" s="12">
        <v>1897</v>
      </c>
    </row>
    <row r="53" spans="1:8" x14ac:dyDescent="0.3">
      <c r="A53" s="1">
        <v>45378</v>
      </c>
      <c r="B53" t="s">
        <v>37</v>
      </c>
      <c r="C53" s="12">
        <v>1896.16</v>
      </c>
      <c r="F53" s="1">
        <v>45378</v>
      </c>
      <c r="G53" t="s">
        <v>95</v>
      </c>
      <c r="H53" s="12">
        <v>1896.16</v>
      </c>
    </row>
    <row r="54" spans="1:8" x14ac:dyDescent="0.3">
      <c r="A54" s="1">
        <v>45453</v>
      </c>
      <c r="B54" t="s">
        <v>13</v>
      </c>
      <c r="C54" s="12">
        <v>1876.35</v>
      </c>
      <c r="F54" s="1">
        <v>45453</v>
      </c>
      <c r="G54" t="s">
        <v>42</v>
      </c>
      <c r="H54" s="12">
        <v>1876.35</v>
      </c>
    </row>
    <row r="55" spans="1:8" x14ac:dyDescent="0.3">
      <c r="A55" s="1">
        <v>45583</v>
      </c>
      <c r="B55" t="s">
        <v>24</v>
      </c>
      <c r="C55" s="12">
        <v>1871.9499999999998</v>
      </c>
      <c r="F55" s="1">
        <v>45583</v>
      </c>
      <c r="G55" t="s">
        <v>25</v>
      </c>
      <c r="H55" s="12">
        <v>1871.9499999999998</v>
      </c>
    </row>
    <row r="56" spans="1:8" x14ac:dyDescent="0.3">
      <c r="A56" s="1">
        <v>45397</v>
      </c>
      <c r="B56" t="s">
        <v>13</v>
      </c>
      <c r="C56" s="12">
        <v>1861.9499999999998</v>
      </c>
      <c r="F56" s="1">
        <v>45397</v>
      </c>
      <c r="G56" t="s">
        <v>14</v>
      </c>
      <c r="H56" s="12">
        <v>1861.9499999999998</v>
      </c>
    </row>
    <row r="57" spans="1:8" x14ac:dyDescent="0.3">
      <c r="A57" s="1">
        <v>45728</v>
      </c>
      <c r="B57" t="s">
        <v>18</v>
      </c>
      <c r="C57" s="12">
        <v>1861.9499999999998</v>
      </c>
      <c r="F57" s="1">
        <v>45728</v>
      </c>
      <c r="G57" t="s">
        <v>34</v>
      </c>
      <c r="H57" s="12">
        <v>1861.9499999999998</v>
      </c>
    </row>
    <row r="58" spans="1:8" x14ac:dyDescent="0.3">
      <c r="A58" s="1">
        <v>45383</v>
      </c>
      <c r="B58" t="s">
        <v>18</v>
      </c>
      <c r="C58" s="12">
        <v>1859.1999999999998</v>
      </c>
      <c r="F58" s="1">
        <v>45383</v>
      </c>
      <c r="G58" t="s">
        <v>22</v>
      </c>
      <c r="H58" s="12">
        <v>1859.1999999999998</v>
      </c>
    </row>
    <row r="59" spans="1:8" x14ac:dyDescent="0.3">
      <c r="A59" s="1">
        <v>45535</v>
      </c>
      <c r="B59" t="s">
        <v>18</v>
      </c>
      <c r="C59" s="12">
        <v>1857.12</v>
      </c>
      <c r="F59" s="1">
        <v>45535</v>
      </c>
      <c r="G59" t="s">
        <v>34</v>
      </c>
      <c r="H59" s="12">
        <v>1857.12</v>
      </c>
    </row>
    <row r="60" spans="1:8" x14ac:dyDescent="0.3">
      <c r="A60" s="1">
        <v>45610</v>
      </c>
      <c r="B60" t="s">
        <v>28</v>
      </c>
      <c r="C60" s="12">
        <v>1852.28</v>
      </c>
      <c r="F60" s="1">
        <v>45610</v>
      </c>
      <c r="G60" t="s">
        <v>79</v>
      </c>
      <c r="H60" s="12">
        <v>1852.28</v>
      </c>
    </row>
    <row r="61" spans="1:8" x14ac:dyDescent="0.3">
      <c r="A61" s="1">
        <v>45516</v>
      </c>
      <c r="B61" t="s">
        <v>13</v>
      </c>
      <c r="C61" s="12">
        <v>1851.28</v>
      </c>
      <c r="F61" s="1">
        <v>45516</v>
      </c>
      <c r="G61" t="s">
        <v>47</v>
      </c>
      <c r="H61" s="12">
        <v>1851.28</v>
      </c>
    </row>
    <row r="62" spans="1:8" x14ac:dyDescent="0.3">
      <c r="A62" s="1">
        <v>45725</v>
      </c>
      <c r="B62" t="s">
        <v>13</v>
      </c>
      <c r="C62" s="12">
        <v>1851.2</v>
      </c>
      <c r="F62" s="1">
        <v>45725</v>
      </c>
      <c r="G62" t="s">
        <v>42</v>
      </c>
      <c r="H62" s="12">
        <v>1851.2</v>
      </c>
    </row>
    <row r="63" spans="1:8" x14ac:dyDescent="0.3">
      <c r="A63" s="1">
        <v>45566</v>
      </c>
      <c r="B63" t="s">
        <v>13</v>
      </c>
      <c r="C63" s="12">
        <v>1841.52</v>
      </c>
      <c r="F63" s="1">
        <v>45566</v>
      </c>
      <c r="G63" t="s">
        <v>42</v>
      </c>
      <c r="H63" s="12">
        <v>1841.52</v>
      </c>
    </row>
    <row r="64" spans="1:8" x14ac:dyDescent="0.3">
      <c r="A64" s="1">
        <v>45649</v>
      </c>
      <c r="B64" t="s">
        <v>28</v>
      </c>
      <c r="C64" s="12">
        <v>1838.25</v>
      </c>
      <c r="F64" s="1">
        <v>45649</v>
      </c>
      <c r="G64" t="s">
        <v>79</v>
      </c>
      <c r="H64" s="12">
        <v>1838.25</v>
      </c>
    </row>
    <row r="65" spans="1:8" x14ac:dyDescent="0.3">
      <c r="A65" s="1">
        <v>45638</v>
      </c>
      <c r="B65" t="s">
        <v>13</v>
      </c>
      <c r="C65" s="12">
        <v>1832.32</v>
      </c>
      <c r="F65" s="1">
        <v>45638</v>
      </c>
      <c r="G65" t="s">
        <v>32</v>
      </c>
      <c r="H65" s="12">
        <v>1832.32</v>
      </c>
    </row>
    <row r="66" spans="1:8" x14ac:dyDescent="0.3">
      <c r="A66" s="1">
        <v>45443</v>
      </c>
      <c r="B66" t="s">
        <v>18</v>
      </c>
      <c r="C66" s="12">
        <v>1830.8500000000001</v>
      </c>
      <c r="F66" s="1">
        <v>45443</v>
      </c>
      <c r="G66" t="s">
        <v>84</v>
      </c>
      <c r="H66" s="12">
        <v>1830.8500000000001</v>
      </c>
    </row>
    <row r="67" spans="1:8" x14ac:dyDescent="0.3">
      <c r="A67" s="1">
        <v>45646</v>
      </c>
      <c r="B67" t="s">
        <v>13</v>
      </c>
      <c r="C67" s="12">
        <v>1830.16</v>
      </c>
      <c r="F67" s="1">
        <v>45646</v>
      </c>
      <c r="G67" t="s">
        <v>47</v>
      </c>
      <c r="H67" s="12">
        <v>1830.16</v>
      </c>
    </row>
    <row r="68" spans="1:8" x14ac:dyDescent="0.3">
      <c r="A68" s="1">
        <v>45600</v>
      </c>
      <c r="B68" t="s">
        <v>18</v>
      </c>
      <c r="C68" s="12">
        <v>1829.05</v>
      </c>
      <c r="F68" s="1">
        <v>45600</v>
      </c>
      <c r="G68" t="s">
        <v>34</v>
      </c>
      <c r="H68" s="12">
        <v>1829.05</v>
      </c>
    </row>
    <row r="69" spans="1:8" x14ac:dyDescent="0.3">
      <c r="A69" s="1">
        <v>45467</v>
      </c>
      <c r="B69" t="s">
        <v>13</v>
      </c>
      <c r="C69" s="12">
        <v>1826.6499999999999</v>
      </c>
      <c r="F69" s="1">
        <v>45467</v>
      </c>
      <c r="G69" t="s">
        <v>14</v>
      </c>
      <c r="H69" s="12">
        <v>1826.6499999999999</v>
      </c>
    </row>
    <row r="70" spans="1:8" x14ac:dyDescent="0.3">
      <c r="A70" s="1">
        <v>45625</v>
      </c>
      <c r="B70" t="s">
        <v>28</v>
      </c>
      <c r="C70" s="12">
        <v>1824.5500000000002</v>
      </c>
      <c r="F70" s="1">
        <v>45625</v>
      </c>
      <c r="G70" t="s">
        <v>51</v>
      </c>
      <c r="H70" s="12">
        <v>1824.5500000000002</v>
      </c>
    </row>
    <row r="71" spans="1:8" x14ac:dyDescent="0.3">
      <c r="A71" s="1">
        <v>45442</v>
      </c>
      <c r="B71" t="s">
        <v>24</v>
      </c>
      <c r="C71" s="12">
        <v>1810.5500000000002</v>
      </c>
      <c r="F71" s="1">
        <v>45442</v>
      </c>
      <c r="G71" t="s">
        <v>44</v>
      </c>
      <c r="H71" s="12">
        <v>1810.5500000000002</v>
      </c>
    </row>
    <row r="72" spans="1:8" x14ac:dyDescent="0.3">
      <c r="A72" s="1">
        <v>45423</v>
      </c>
      <c r="B72" t="s">
        <v>24</v>
      </c>
      <c r="C72" s="12">
        <v>1798.2</v>
      </c>
      <c r="F72" s="1">
        <v>45423</v>
      </c>
      <c r="G72" t="s">
        <v>44</v>
      </c>
      <c r="H72" s="12">
        <v>1798.2</v>
      </c>
    </row>
    <row r="73" spans="1:8" x14ac:dyDescent="0.3">
      <c r="A73" s="1">
        <v>45372</v>
      </c>
      <c r="B73" t="s">
        <v>37</v>
      </c>
      <c r="C73" s="12">
        <v>1780.44</v>
      </c>
      <c r="F73" s="1">
        <v>45372</v>
      </c>
      <c r="G73" t="s">
        <v>68</v>
      </c>
      <c r="H73" s="12">
        <v>1780.44</v>
      </c>
    </row>
    <row r="74" spans="1:8" x14ac:dyDescent="0.3">
      <c r="A74" s="1">
        <v>45685</v>
      </c>
      <c r="B74" t="s">
        <v>37</v>
      </c>
      <c r="C74" s="12">
        <v>1778.25</v>
      </c>
      <c r="F74" s="1">
        <v>45685</v>
      </c>
      <c r="G74" t="s">
        <v>58</v>
      </c>
      <c r="H74" s="12">
        <v>1778.25</v>
      </c>
    </row>
    <row r="75" spans="1:8" x14ac:dyDescent="0.3">
      <c r="A75" s="1">
        <v>45434</v>
      </c>
      <c r="B75" t="s">
        <v>37</v>
      </c>
      <c r="C75" s="12">
        <v>1777</v>
      </c>
      <c r="F75" s="1">
        <v>45434</v>
      </c>
      <c r="G75" t="s">
        <v>95</v>
      </c>
      <c r="H75" s="12">
        <v>1777</v>
      </c>
    </row>
    <row r="76" spans="1:8" x14ac:dyDescent="0.3">
      <c r="A76" s="1">
        <v>45614</v>
      </c>
      <c r="B76" t="s">
        <v>24</v>
      </c>
      <c r="C76" s="12">
        <v>1773.72</v>
      </c>
      <c r="F76" s="1">
        <v>45614</v>
      </c>
      <c r="G76" t="s">
        <v>25</v>
      </c>
      <c r="H76" s="12">
        <v>1773.72</v>
      </c>
    </row>
    <row r="77" spans="1:8" x14ac:dyDescent="0.3">
      <c r="A77" s="1">
        <v>45602</v>
      </c>
      <c r="B77" t="s">
        <v>13</v>
      </c>
      <c r="C77" s="12">
        <v>1773.1999999999998</v>
      </c>
      <c r="F77" s="1">
        <v>45602</v>
      </c>
      <c r="G77" t="s">
        <v>14</v>
      </c>
      <c r="H77" s="12">
        <v>1773.1999999999998</v>
      </c>
    </row>
    <row r="78" spans="1:8" x14ac:dyDescent="0.3">
      <c r="A78" s="1">
        <v>45379</v>
      </c>
      <c r="B78" t="s">
        <v>24</v>
      </c>
      <c r="C78" s="12">
        <v>1765.95</v>
      </c>
      <c r="F78" s="1">
        <v>45379</v>
      </c>
      <c r="G78" t="s">
        <v>44</v>
      </c>
      <c r="H78" s="12">
        <v>1765.95</v>
      </c>
    </row>
    <row r="79" spans="1:8" x14ac:dyDescent="0.3">
      <c r="A79" s="1">
        <v>45645</v>
      </c>
      <c r="B79" t="s">
        <v>28</v>
      </c>
      <c r="C79" s="12">
        <v>1754.64</v>
      </c>
      <c r="F79" s="1">
        <v>45645</v>
      </c>
      <c r="G79" t="s">
        <v>72</v>
      </c>
      <c r="H79" s="12">
        <v>1754.64</v>
      </c>
    </row>
    <row r="80" spans="1:8" x14ac:dyDescent="0.3">
      <c r="A80" s="1">
        <v>45642</v>
      </c>
      <c r="B80" t="s">
        <v>18</v>
      </c>
      <c r="C80" s="12">
        <v>1735.08</v>
      </c>
      <c r="F80" s="1">
        <v>45642</v>
      </c>
      <c r="G80" t="s">
        <v>22</v>
      </c>
      <c r="H80" s="12">
        <v>1735.08</v>
      </c>
    </row>
    <row r="81" spans="1:8" x14ac:dyDescent="0.3">
      <c r="A81" s="1">
        <v>45513</v>
      </c>
      <c r="B81" t="s">
        <v>24</v>
      </c>
      <c r="C81" s="12">
        <v>1730.95</v>
      </c>
      <c r="F81" s="1">
        <v>45513</v>
      </c>
      <c r="G81" t="s">
        <v>49</v>
      </c>
      <c r="H81" s="12">
        <v>1730.95</v>
      </c>
    </row>
    <row r="82" spans="1:8" x14ac:dyDescent="0.3">
      <c r="A82" s="1">
        <v>45729</v>
      </c>
      <c r="B82" t="s">
        <v>18</v>
      </c>
      <c r="C82" s="12">
        <v>1727.64</v>
      </c>
      <c r="F82" s="1">
        <v>45729</v>
      </c>
      <c r="G82" t="s">
        <v>34</v>
      </c>
      <c r="H82" s="12">
        <v>1727.64</v>
      </c>
    </row>
    <row r="83" spans="1:8" x14ac:dyDescent="0.3">
      <c r="A83" s="1">
        <v>45696</v>
      </c>
      <c r="B83" t="s">
        <v>13</v>
      </c>
      <c r="C83" s="12">
        <v>1726.92</v>
      </c>
      <c r="F83" s="1">
        <v>45696</v>
      </c>
      <c r="G83" t="s">
        <v>42</v>
      </c>
      <c r="H83" s="12">
        <v>1726.92</v>
      </c>
    </row>
    <row r="84" spans="1:8" x14ac:dyDescent="0.3">
      <c r="A84" s="1">
        <v>45503</v>
      </c>
      <c r="B84" t="s">
        <v>24</v>
      </c>
      <c r="C84" s="12">
        <v>1725.92</v>
      </c>
      <c r="F84" s="1">
        <v>45503</v>
      </c>
      <c r="G84" t="s">
        <v>44</v>
      </c>
      <c r="H84" s="12">
        <v>1725.92</v>
      </c>
    </row>
    <row r="85" spans="1:8" x14ac:dyDescent="0.3">
      <c r="A85" s="1">
        <v>45641</v>
      </c>
      <c r="B85" t="s">
        <v>13</v>
      </c>
      <c r="C85" s="12">
        <v>1710.6</v>
      </c>
      <c r="F85" s="1">
        <v>45641</v>
      </c>
      <c r="G85" t="s">
        <v>111</v>
      </c>
      <c r="H85" s="12">
        <v>1710.6</v>
      </c>
    </row>
    <row r="86" spans="1:8" x14ac:dyDescent="0.3">
      <c r="A86" s="1">
        <v>45429</v>
      </c>
      <c r="B86" t="s">
        <v>13</v>
      </c>
      <c r="C86" s="12">
        <v>1701.6</v>
      </c>
      <c r="F86" s="1">
        <v>45429</v>
      </c>
      <c r="G86" t="s">
        <v>42</v>
      </c>
      <c r="H86" s="12">
        <v>1701.6</v>
      </c>
    </row>
    <row r="87" spans="1:8" x14ac:dyDescent="0.3">
      <c r="A87" s="1">
        <v>45607</v>
      </c>
      <c r="B87" t="s">
        <v>13</v>
      </c>
      <c r="C87" s="12">
        <v>1701.55</v>
      </c>
      <c r="F87" s="1">
        <v>45607</v>
      </c>
      <c r="G87" t="s">
        <v>14</v>
      </c>
      <c r="H87" s="12">
        <v>1701.55</v>
      </c>
    </row>
    <row r="88" spans="1:8" x14ac:dyDescent="0.3">
      <c r="A88" s="1">
        <v>45476</v>
      </c>
      <c r="B88" t="s">
        <v>13</v>
      </c>
      <c r="C88" s="12">
        <v>1693.8</v>
      </c>
      <c r="F88" s="1">
        <v>45476</v>
      </c>
      <c r="G88" t="s">
        <v>32</v>
      </c>
      <c r="H88" s="12">
        <v>1693.8</v>
      </c>
    </row>
    <row r="89" spans="1:8" x14ac:dyDescent="0.3">
      <c r="A89" s="1">
        <v>45613</v>
      </c>
      <c r="B89" t="s">
        <v>18</v>
      </c>
      <c r="C89" s="12">
        <v>1689.92</v>
      </c>
      <c r="F89" s="1">
        <v>45613</v>
      </c>
      <c r="G89" t="s">
        <v>19</v>
      </c>
      <c r="H89" s="12">
        <v>1689.92</v>
      </c>
    </row>
    <row r="90" spans="1:8" x14ac:dyDescent="0.3">
      <c r="A90" s="1">
        <v>45509</v>
      </c>
      <c r="B90" t="s">
        <v>28</v>
      </c>
      <c r="C90" s="12">
        <v>1689</v>
      </c>
      <c r="F90" s="1">
        <v>45509</v>
      </c>
      <c r="G90" t="s">
        <v>72</v>
      </c>
      <c r="H90" s="12">
        <v>1689</v>
      </c>
    </row>
    <row r="91" spans="1:8" x14ac:dyDescent="0.3">
      <c r="A91" s="1">
        <v>45445</v>
      </c>
      <c r="B91" t="s">
        <v>13</v>
      </c>
      <c r="C91" s="12">
        <v>1678.0500000000002</v>
      </c>
      <c r="F91" s="1">
        <v>45445</v>
      </c>
      <c r="G91" t="s">
        <v>111</v>
      </c>
      <c r="H91" s="12">
        <v>1678.0500000000002</v>
      </c>
    </row>
    <row r="92" spans="1:8" x14ac:dyDescent="0.3">
      <c r="A92" s="1">
        <v>45499</v>
      </c>
      <c r="B92" t="s">
        <v>13</v>
      </c>
      <c r="C92" s="12">
        <v>1675.52</v>
      </c>
      <c r="F92" s="1">
        <v>45499</v>
      </c>
      <c r="G92" t="s">
        <v>14</v>
      </c>
      <c r="H92" s="12">
        <v>1675.52</v>
      </c>
    </row>
    <row r="93" spans="1:8" x14ac:dyDescent="0.3">
      <c r="A93" s="1">
        <v>45693</v>
      </c>
      <c r="B93" t="s">
        <v>37</v>
      </c>
      <c r="C93" s="12">
        <v>1667.56</v>
      </c>
      <c r="F93" s="1">
        <v>45693</v>
      </c>
      <c r="G93" t="s">
        <v>40</v>
      </c>
      <c r="H93" s="12">
        <v>1667.56</v>
      </c>
    </row>
    <row r="94" spans="1:8" x14ac:dyDescent="0.3">
      <c r="A94" s="1">
        <v>45552</v>
      </c>
      <c r="B94" t="s">
        <v>13</v>
      </c>
      <c r="C94" s="12">
        <v>1664.3000000000002</v>
      </c>
      <c r="F94" s="1">
        <v>45552</v>
      </c>
      <c r="G94" t="s">
        <v>42</v>
      </c>
      <c r="H94" s="12">
        <v>1664.3000000000002</v>
      </c>
    </row>
    <row r="95" spans="1:8" x14ac:dyDescent="0.3">
      <c r="A95" s="1">
        <v>45379</v>
      </c>
      <c r="B95" t="s">
        <v>24</v>
      </c>
      <c r="C95" s="12">
        <v>1641.12</v>
      </c>
      <c r="F95" s="1">
        <v>45379</v>
      </c>
      <c r="G95" t="s">
        <v>25</v>
      </c>
      <c r="H95" s="12">
        <v>1641.12</v>
      </c>
    </row>
    <row r="96" spans="1:8" x14ac:dyDescent="0.3">
      <c r="A96" s="1">
        <v>45660</v>
      </c>
      <c r="B96" t="s">
        <v>24</v>
      </c>
      <c r="C96" s="12">
        <v>1640.24</v>
      </c>
      <c r="F96" s="1">
        <v>45660</v>
      </c>
      <c r="G96" t="s">
        <v>44</v>
      </c>
      <c r="H96" s="12">
        <v>1640.24</v>
      </c>
    </row>
    <row r="97" spans="1:8" x14ac:dyDescent="0.3">
      <c r="A97" s="1">
        <v>45604</v>
      </c>
      <c r="B97" t="s">
        <v>24</v>
      </c>
      <c r="C97" s="12">
        <v>1639.65</v>
      </c>
      <c r="F97" s="1">
        <v>45604</v>
      </c>
      <c r="G97" t="s">
        <v>49</v>
      </c>
      <c r="H97" s="12">
        <v>1639.65</v>
      </c>
    </row>
    <row r="98" spans="1:8" x14ac:dyDescent="0.3">
      <c r="A98" s="1">
        <v>45549</v>
      </c>
      <c r="B98" t="s">
        <v>37</v>
      </c>
      <c r="C98" s="12">
        <v>1638.32</v>
      </c>
      <c r="F98" s="1">
        <v>45549</v>
      </c>
      <c r="G98" t="s">
        <v>68</v>
      </c>
      <c r="H98" s="12">
        <v>1638.32</v>
      </c>
    </row>
    <row r="99" spans="1:8" x14ac:dyDescent="0.3">
      <c r="A99" s="1">
        <v>45674</v>
      </c>
      <c r="B99" t="s">
        <v>37</v>
      </c>
      <c r="C99" s="12">
        <v>1627.96</v>
      </c>
      <c r="F99" s="1">
        <v>45674</v>
      </c>
      <c r="G99" t="s">
        <v>38</v>
      </c>
      <c r="H99" s="12">
        <v>1627.96</v>
      </c>
    </row>
    <row r="100" spans="1:8" x14ac:dyDescent="0.3">
      <c r="A100" s="1">
        <v>45427</v>
      </c>
      <c r="B100" t="s">
        <v>28</v>
      </c>
      <c r="C100" s="12">
        <v>1619.5</v>
      </c>
      <c r="F100" s="1">
        <v>45427</v>
      </c>
      <c r="G100" t="s">
        <v>79</v>
      </c>
      <c r="H100" s="12">
        <v>1619.5</v>
      </c>
    </row>
    <row r="101" spans="1:8" x14ac:dyDescent="0.3">
      <c r="A101" s="1">
        <v>45651</v>
      </c>
      <c r="B101" t="s">
        <v>37</v>
      </c>
      <c r="C101" s="12">
        <v>1609.7</v>
      </c>
      <c r="F101" s="1">
        <v>45651</v>
      </c>
      <c r="G101" t="s">
        <v>40</v>
      </c>
      <c r="H101" s="12">
        <v>1609.7</v>
      </c>
    </row>
    <row r="102" spans="1:8" x14ac:dyDescent="0.3">
      <c r="A102" s="1">
        <v>45677</v>
      </c>
      <c r="B102" t="s">
        <v>18</v>
      </c>
      <c r="C102" s="12">
        <v>1605.2</v>
      </c>
      <c r="F102" s="1">
        <v>45677</v>
      </c>
      <c r="G102" t="s">
        <v>84</v>
      </c>
      <c r="H102" s="12">
        <v>1605.2</v>
      </c>
    </row>
    <row r="103" spans="1:8" x14ac:dyDescent="0.3">
      <c r="A103" s="1">
        <v>45383</v>
      </c>
      <c r="B103" t="s">
        <v>28</v>
      </c>
      <c r="C103" s="12">
        <v>1603.76</v>
      </c>
      <c r="F103" s="1">
        <v>45383</v>
      </c>
      <c r="G103" t="s">
        <v>72</v>
      </c>
      <c r="H103" s="12">
        <v>1603.76</v>
      </c>
    </row>
    <row r="104" spans="1:8" x14ac:dyDescent="0.3">
      <c r="A104" s="1">
        <v>45449</v>
      </c>
      <c r="B104" t="s">
        <v>18</v>
      </c>
      <c r="C104" s="12">
        <v>1589.84</v>
      </c>
      <c r="F104" s="1">
        <v>45449</v>
      </c>
      <c r="G104" t="s">
        <v>22</v>
      </c>
      <c r="H104" s="12">
        <v>1589.84</v>
      </c>
    </row>
    <row r="105" spans="1:8" x14ac:dyDescent="0.3">
      <c r="A105" s="1">
        <v>45529</v>
      </c>
      <c r="B105" t="s">
        <v>13</v>
      </c>
      <c r="C105" s="12">
        <v>1553.8999999999999</v>
      </c>
      <c r="F105" s="1">
        <v>45529</v>
      </c>
      <c r="G105" t="s">
        <v>32</v>
      </c>
      <c r="H105" s="12">
        <v>1553.8999999999999</v>
      </c>
    </row>
    <row r="106" spans="1:8" x14ac:dyDescent="0.3">
      <c r="A106" s="1">
        <v>45636</v>
      </c>
      <c r="B106" t="s">
        <v>37</v>
      </c>
      <c r="C106" s="12">
        <v>1552</v>
      </c>
      <c r="F106" s="1">
        <v>45636</v>
      </c>
      <c r="G106" t="s">
        <v>38</v>
      </c>
      <c r="H106" s="12">
        <v>1552</v>
      </c>
    </row>
    <row r="107" spans="1:8" x14ac:dyDescent="0.3">
      <c r="A107" s="1">
        <v>45370</v>
      </c>
      <c r="B107" t="s">
        <v>37</v>
      </c>
      <c r="C107" s="12">
        <v>1548.1999999999998</v>
      </c>
      <c r="F107" s="1">
        <v>45370</v>
      </c>
      <c r="G107" t="s">
        <v>68</v>
      </c>
      <c r="H107" s="12">
        <v>1548.1999999999998</v>
      </c>
    </row>
    <row r="108" spans="1:8" x14ac:dyDescent="0.3">
      <c r="A108" s="1">
        <v>45476</v>
      </c>
      <c r="B108" t="s">
        <v>18</v>
      </c>
      <c r="C108" s="12">
        <v>1547.7</v>
      </c>
      <c r="F108" s="1">
        <v>45476</v>
      </c>
      <c r="G108" t="s">
        <v>84</v>
      </c>
      <c r="H108" s="12">
        <v>1547.7</v>
      </c>
    </row>
    <row r="109" spans="1:8" x14ac:dyDescent="0.3">
      <c r="A109" s="1">
        <v>45444</v>
      </c>
      <c r="B109" t="s">
        <v>37</v>
      </c>
      <c r="C109" s="12">
        <v>1542.1000000000001</v>
      </c>
      <c r="F109" s="1">
        <v>45444</v>
      </c>
      <c r="G109" t="s">
        <v>38</v>
      </c>
      <c r="H109" s="12">
        <v>1542.1000000000001</v>
      </c>
    </row>
    <row r="110" spans="1:8" x14ac:dyDescent="0.3">
      <c r="A110" s="1">
        <v>45643</v>
      </c>
      <c r="B110" t="s">
        <v>37</v>
      </c>
      <c r="C110" s="12">
        <v>1535.2</v>
      </c>
      <c r="F110" s="1">
        <v>45643</v>
      </c>
      <c r="G110" t="s">
        <v>68</v>
      </c>
      <c r="H110" s="12">
        <v>1535.2</v>
      </c>
    </row>
    <row r="111" spans="1:8" x14ac:dyDescent="0.3">
      <c r="A111" s="1">
        <v>45708</v>
      </c>
      <c r="B111" t="s">
        <v>37</v>
      </c>
      <c r="C111" s="12">
        <v>1533.44</v>
      </c>
      <c r="F111" s="1">
        <v>45708</v>
      </c>
      <c r="G111" t="s">
        <v>58</v>
      </c>
      <c r="H111" s="12">
        <v>1533.44</v>
      </c>
    </row>
    <row r="112" spans="1:8" x14ac:dyDescent="0.3">
      <c r="A112" s="1">
        <v>45455</v>
      </c>
      <c r="B112" t="s">
        <v>37</v>
      </c>
      <c r="C112" s="12">
        <v>1532.2</v>
      </c>
      <c r="F112" s="1">
        <v>45455</v>
      </c>
      <c r="G112" t="s">
        <v>68</v>
      </c>
      <c r="H112" s="12">
        <v>1532.2</v>
      </c>
    </row>
    <row r="113" spans="1:8" x14ac:dyDescent="0.3">
      <c r="A113" s="1">
        <v>45518</v>
      </c>
      <c r="B113" t="s">
        <v>37</v>
      </c>
      <c r="C113" s="12">
        <v>1526.3999999999999</v>
      </c>
      <c r="F113" s="1">
        <v>45518</v>
      </c>
      <c r="G113" t="s">
        <v>68</v>
      </c>
      <c r="H113" s="12">
        <v>1526.3999999999999</v>
      </c>
    </row>
    <row r="114" spans="1:8" x14ac:dyDescent="0.3">
      <c r="A114" s="1">
        <v>45657</v>
      </c>
      <c r="B114" t="s">
        <v>28</v>
      </c>
      <c r="C114" s="12">
        <v>1522.12</v>
      </c>
      <c r="F114" s="1">
        <v>45657</v>
      </c>
      <c r="G114" t="s">
        <v>79</v>
      </c>
      <c r="H114" s="12">
        <v>1522.12</v>
      </c>
    </row>
    <row r="115" spans="1:8" x14ac:dyDescent="0.3">
      <c r="A115" s="1">
        <v>45726</v>
      </c>
      <c r="B115" t="s">
        <v>18</v>
      </c>
      <c r="C115" s="12">
        <v>1521.68</v>
      </c>
      <c r="F115" s="1">
        <v>45726</v>
      </c>
      <c r="G115" t="s">
        <v>19</v>
      </c>
      <c r="H115" s="12">
        <v>1521.68</v>
      </c>
    </row>
    <row r="116" spans="1:8" x14ac:dyDescent="0.3">
      <c r="A116" s="1">
        <v>45521</v>
      </c>
      <c r="B116" t="s">
        <v>37</v>
      </c>
      <c r="C116" s="12">
        <v>1517.04</v>
      </c>
      <c r="F116" s="1">
        <v>45521</v>
      </c>
      <c r="G116" t="s">
        <v>40</v>
      </c>
      <c r="H116" s="12">
        <v>1517.04</v>
      </c>
    </row>
    <row r="117" spans="1:8" x14ac:dyDescent="0.3">
      <c r="A117" s="1">
        <v>45521</v>
      </c>
      <c r="B117" t="s">
        <v>18</v>
      </c>
      <c r="C117" s="12">
        <v>1508.3000000000002</v>
      </c>
      <c r="F117" s="1">
        <v>45521</v>
      </c>
      <c r="G117" t="s">
        <v>19</v>
      </c>
      <c r="H117" s="12">
        <v>1508.3000000000002</v>
      </c>
    </row>
    <row r="118" spans="1:8" x14ac:dyDescent="0.3">
      <c r="A118" s="1">
        <v>45408</v>
      </c>
      <c r="B118" t="s">
        <v>24</v>
      </c>
      <c r="C118" s="12">
        <v>1503.92</v>
      </c>
      <c r="F118" s="1">
        <v>45408</v>
      </c>
      <c r="G118" t="s">
        <v>63</v>
      </c>
      <c r="H118" s="12">
        <v>1503.92</v>
      </c>
    </row>
    <row r="119" spans="1:8" x14ac:dyDescent="0.3">
      <c r="A119" s="1">
        <v>45671</v>
      </c>
      <c r="B119" t="s">
        <v>28</v>
      </c>
      <c r="C119" s="12">
        <v>1503.64</v>
      </c>
      <c r="F119" s="1">
        <v>45671</v>
      </c>
      <c r="G119" t="s">
        <v>77</v>
      </c>
      <c r="H119" s="12">
        <v>1503.64</v>
      </c>
    </row>
    <row r="120" spans="1:8" x14ac:dyDescent="0.3">
      <c r="A120" s="1">
        <v>45709</v>
      </c>
      <c r="B120" t="s">
        <v>13</v>
      </c>
      <c r="C120" s="12">
        <v>1500.52</v>
      </c>
      <c r="F120" s="1">
        <v>45709</v>
      </c>
      <c r="G120" t="s">
        <v>42</v>
      </c>
      <c r="H120" s="12">
        <v>1500.52</v>
      </c>
    </row>
    <row r="121" spans="1:8" x14ac:dyDescent="0.3">
      <c r="A121" s="1">
        <v>45444</v>
      </c>
      <c r="B121" t="s">
        <v>18</v>
      </c>
      <c r="C121" s="12">
        <v>1496.6999999999998</v>
      </c>
      <c r="F121" s="1">
        <v>45444</v>
      </c>
      <c r="G121" t="s">
        <v>19</v>
      </c>
      <c r="H121" s="12">
        <v>1496.6999999999998</v>
      </c>
    </row>
    <row r="122" spans="1:8" x14ac:dyDescent="0.3">
      <c r="A122" s="1">
        <v>45456</v>
      </c>
      <c r="B122" t="s">
        <v>28</v>
      </c>
      <c r="C122" s="12">
        <v>1495.32</v>
      </c>
      <c r="F122" s="1">
        <v>45456</v>
      </c>
      <c r="G122" t="s">
        <v>79</v>
      </c>
      <c r="H122" s="12">
        <v>1495.32</v>
      </c>
    </row>
    <row r="123" spans="1:8" x14ac:dyDescent="0.3">
      <c r="A123" s="1">
        <v>45547</v>
      </c>
      <c r="B123" t="s">
        <v>18</v>
      </c>
      <c r="C123" s="12">
        <v>1495.0500000000002</v>
      </c>
      <c r="F123" s="1">
        <v>45547</v>
      </c>
      <c r="G123" t="s">
        <v>84</v>
      </c>
      <c r="H123" s="12">
        <v>1495.0500000000002</v>
      </c>
    </row>
    <row r="124" spans="1:8" x14ac:dyDescent="0.3">
      <c r="A124" s="1">
        <v>45416</v>
      </c>
      <c r="B124" t="s">
        <v>24</v>
      </c>
      <c r="C124" s="12">
        <v>1485.72</v>
      </c>
      <c r="F124" s="1">
        <v>45416</v>
      </c>
      <c r="G124" t="s">
        <v>44</v>
      </c>
      <c r="H124" s="12">
        <v>1485.72</v>
      </c>
    </row>
    <row r="125" spans="1:8" x14ac:dyDescent="0.3">
      <c r="A125" s="1">
        <v>45470</v>
      </c>
      <c r="B125" t="s">
        <v>24</v>
      </c>
      <c r="C125" s="12">
        <v>1484.6100000000001</v>
      </c>
      <c r="F125" s="1">
        <v>45470</v>
      </c>
      <c r="G125" t="s">
        <v>44</v>
      </c>
      <c r="H125" s="12">
        <v>1484.6100000000001</v>
      </c>
    </row>
    <row r="126" spans="1:8" x14ac:dyDescent="0.3">
      <c r="A126" s="1">
        <v>45590</v>
      </c>
      <c r="B126" t="s">
        <v>13</v>
      </c>
      <c r="C126" s="12">
        <v>1477.0500000000002</v>
      </c>
      <c r="F126" s="1">
        <v>45590</v>
      </c>
      <c r="G126" t="s">
        <v>111</v>
      </c>
      <c r="H126" s="12">
        <v>1477.0500000000002</v>
      </c>
    </row>
    <row r="127" spans="1:8" x14ac:dyDescent="0.3">
      <c r="A127" s="1">
        <v>45547</v>
      </c>
      <c r="B127" t="s">
        <v>18</v>
      </c>
      <c r="C127" s="12">
        <v>1464.8</v>
      </c>
      <c r="F127" s="1">
        <v>45547</v>
      </c>
      <c r="G127" t="s">
        <v>34</v>
      </c>
      <c r="H127" s="12">
        <v>1464.8</v>
      </c>
    </row>
    <row r="128" spans="1:8" x14ac:dyDescent="0.3">
      <c r="A128" s="1">
        <v>45721</v>
      </c>
      <c r="B128" t="s">
        <v>13</v>
      </c>
      <c r="C128" s="12">
        <v>1462.16</v>
      </c>
      <c r="F128" s="1">
        <v>45721</v>
      </c>
      <c r="G128" t="s">
        <v>47</v>
      </c>
      <c r="H128" s="12">
        <v>1462.16</v>
      </c>
    </row>
    <row r="129" spans="1:8" x14ac:dyDescent="0.3">
      <c r="A129" s="1">
        <v>45572</v>
      </c>
      <c r="B129" t="s">
        <v>13</v>
      </c>
      <c r="C129" s="12">
        <v>1460.4499999999998</v>
      </c>
      <c r="F129" s="1">
        <v>45572</v>
      </c>
      <c r="G129" t="s">
        <v>47</v>
      </c>
      <c r="H129" s="12">
        <v>1460.4499999999998</v>
      </c>
    </row>
    <row r="130" spans="1:8" x14ac:dyDescent="0.3">
      <c r="A130" s="1">
        <v>45521</v>
      </c>
      <c r="B130" t="s">
        <v>28</v>
      </c>
      <c r="C130" s="12">
        <v>1460.16</v>
      </c>
      <c r="F130" s="1">
        <v>45521</v>
      </c>
      <c r="G130" t="s">
        <v>77</v>
      </c>
      <c r="H130" s="12">
        <v>1460.16</v>
      </c>
    </row>
    <row r="131" spans="1:8" x14ac:dyDescent="0.3">
      <c r="A131" s="1">
        <v>45469</v>
      </c>
      <c r="B131" t="s">
        <v>28</v>
      </c>
      <c r="C131" s="12">
        <v>1456.5</v>
      </c>
      <c r="F131" s="1">
        <v>45469</v>
      </c>
      <c r="G131" t="s">
        <v>72</v>
      </c>
      <c r="H131" s="12">
        <v>1456.5</v>
      </c>
    </row>
    <row r="132" spans="1:8" x14ac:dyDescent="0.3">
      <c r="A132" s="1">
        <v>45684</v>
      </c>
      <c r="B132" t="s">
        <v>24</v>
      </c>
      <c r="C132" s="12">
        <v>1456.1000000000001</v>
      </c>
      <c r="F132" s="1">
        <v>45684</v>
      </c>
      <c r="G132" t="s">
        <v>63</v>
      </c>
      <c r="H132" s="12">
        <v>1456.1000000000001</v>
      </c>
    </row>
    <row r="133" spans="1:8" x14ac:dyDescent="0.3">
      <c r="A133" s="1">
        <v>45513</v>
      </c>
      <c r="B133" t="s">
        <v>28</v>
      </c>
      <c r="C133" s="12">
        <v>1446.84</v>
      </c>
      <c r="F133" s="1">
        <v>45513</v>
      </c>
      <c r="G133" t="s">
        <v>29</v>
      </c>
      <c r="H133" s="12">
        <v>1446.84</v>
      </c>
    </row>
    <row r="134" spans="1:8" x14ac:dyDescent="0.3">
      <c r="A134" s="1">
        <v>45371</v>
      </c>
      <c r="B134" t="s">
        <v>13</v>
      </c>
      <c r="C134" s="12">
        <v>1445.85</v>
      </c>
      <c r="F134" s="1">
        <v>45371</v>
      </c>
      <c r="G134" t="s">
        <v>42</v>
      </c>
      <c r="H134" s="12">
        <v>1445.85</v>
      </c>
    </row>
    <row r="135" spans="1:8" x14ac:dyDescent="0.3">
      <c r="A135" s="1">
        <v>45650</v>
      </c>
      <c r="B135" t="s">
        <v>37</v>
      </c>
      <c r="C135" s="12">
        <v>1441.9499999999998</v>
      </c>
      <c r="F135" s="1">
        <v>45650</v>
      </c>
      <c r="G135" t="s">
        <v>40</v>
      </c>
      <c r="H135" s="12">
        <v>1441.9499999999998</v>
      </c>
    </row>
    <row r="136" spans="1:8" x14ac:dyDescent="0.3">
      <c r="A136" s="1">
        <v>45656</v>
      </c>
      <c r="B136" t="s">
        <v>28</v>
      </c>
      <c r="C136" s="12">
        <v>1437.5</v>
      </c>
      <c r="F136" s="1">
        <v>45656</v>
      </c>
      <c r="G136" t="s">
        <v>77</v>
      </c>
      <c r="H136" s="12">
        <v>1437.5</v>
      </c>
    </row>
    <row r="137" spans="1:8" x14ac:dyDescent="0.3">
      <c r="A137" s="1">
        <v>45430</v>
      </c>
      <c r="B137" t="s">
        <v>18</v>
      </c>
      <c r="C137" s="12">
        <v>1435.8</v>
      </c>
      <c r="F137" s="1">
        <v>45430</v>
      </c>
      <c r="G137" t="s">
        <v>22</v>
      </c>
      <c r="H137" s="12">
        <v>1435.8</v>
      </c>
    </row>
    <row r="138" spans="1:8" x14ac:dyDescent="0.3">
      <c r="A138" s="1">
        <v>45522</v>
      </c>
      <c r="B138" t="s">
        <v>18</v>
      </c>
      <c r="C138" s="12">
        <v>1432.5</v>
      </c>
      <c r="F138" s="1">
        <v>45522</v>
      </c>
      <c r="G138" t="s">
        <v>19</v>
      </c>
      <c r="H138" s="12">
        <v>1432.5</v>
      </c>
    </row>
    <row r="139" spans="1:8" x14ac:dyDescent="0.3">
      <c r="A139" s="1">
        <v>45637</v>
      </c>
      <c r="B139" t="s">
        <v>37</v>
      </c>
      <c r="C139" s="12">
        <v>1431.51</v>
      </c>
      <c r="F139" s="1">
        <v>45637</v>
      </c>
      <c r="G139" t="s">
        <v>38</v>
      </c>
      <c r="H139" s="12">
        <v>1431.51</v>
      </c>
    </row>
    <row r="140" spans="1:8" x14ac:dyDescent="0.3">
      <c r="A140" s="1">
        <v>45697</v>
      </c>
      <c r="B140" t="s">
        <v>28</v>
      </c>
      <c r="C140" s="12">
        <v>1427.01</v>
      </c>
      <c r="F140" s="1">
        <v>45697</v>
      </c>
      <c r="G140" t="s">
        <v>29</v>
      </c>
      <c r="H140" s="12">
        <v>1427.01</v>
      </c>
    </row>
    <row r="141" spans="1:8" x14ac:dyDescent="0.3">
      <c r="A141" s="1">
        <v>45504</v>
      </c>
      <c r="B141" t="s">
        <v>28</v>
      </c>
      <c r="C141" s="12">
        <v>1426.59</v>
      </c>
      <c r="F141" s="1">
        <v>45504</v>
      </c>
      <c r="G141" t="s">
        <v>72</v>
      </c>
      <c r="H141" s="12">
        <v>1426.59</v>
      </c>
    </row>
    <row r="142" spans="1:8" x14ac:dyDescent="0.3">
      <c r="A142" s="1">
        <v>45437</v>
      </c>
      <c r="B142" t="s">
        <v>13</v>
      </c>
      <c r="C142" s="12">
        <v>1425</v>
      </c>
      <c r="F142" s="1">
        <v>45437</v>
      </c>
      <c r="G142" t="s">
        <v>32</v>
      </c>
      <c r="H142" s="12">
        <v>1425</v>
      </c>
    </row>
    <row r="143" spans="1:8" x14ac:dyDescent="0.3">
      <c r="A143" s="1">
        <v>45392</v>
      </c>
      <c r="B143" t="s">
        <v>18</v>
      </c>
      <c r="C143" s="12">
        <v>1422.96</v>
      </c>
      <c r="F143" s="1">
        <v>45392</v>
      </c>
      <c r="G143" t="s">
        <v>19</v>
      </c>
      <c r="H143" s="12">
        <v>1422.96</v>
      </c>
    </row>
    <row r="144" spans="1:8" x14ac:dyDescent="0.3">
      <c r="A144" s="1">
        <v>45636</v>
      </c>
      <c r="B144" t="s">
        <v>37</v>
      </c>
      <c r="C144" s="12">
        <v>1422.51</v>
      </c>
      <c r="F144" s="1">
        <v>45636</v>
      </c>
      <c r="G144" t="s">
        <v>58</v>
      </c>
      <c r="H144" s="12">
        <v>1422.51</v>
      </c>
    </row>
    <row r="145" spans="1:8" x14ac:dyDescent="0.3">
      <c r="A145" s="1">
        <v>45516</v>
      </c>
      <c r="B145" t="s">
        <v>37</v>
      </c>
      <c r="C145" s="12">
        <v>1419.32</v>
      </c>
      <c r="F145" s="1">
        <v>45516</v>
      </c>
      <c r="G145" t="s">
        <v>38</v>
      </c>
      <c r="H145" s="12">
        <v>1419.32</v>
      </c>
    </row>
    <row r="146" spans="1:8" x14ac:dyDescent="0.3">
      <c r="A146" s="1">
        <v>45503</v>
      </c>
      <c r="B146" t="s">
        <v>18</v>
      </c>
      <c r="C146" s="12">
        <v>1418.76</v>
      </c>
      <c r="F146" s="1">
        <v>45503</v>
      </c>
      <c r="G146" t="s">
        <v>19</v>
      </c>
      <c r="H146" s="12">
        <v>1418.76</v>
      </c>
    </row>
    <row r="147" spans="1:8" x14ac:dyDescent="0.3">
      <c r="A147" s="1">
        <v>45498</v>
      </c>
      <c r="B147" t="s">
        <v>24</v>
      </c>
      <c r="C147" s="12">
        <v>1413.96</v>
      </c>
      <c r="F147" s="1">
        <v>45498</v>
      </c>
      <c r="G147" t="s">
        <v>49</v>
      </c>
      <c r="H147" s="12">
        <v>1413.96</v>
      </c>
    </row>
    <row r="148" spans="1:8" x14ac:dyDescent="0.3">
      <c r="A148" s="1">
        <v>45695</v>
      </c>
      <c r="B148" t="s">
        <v>28</v>
      </c>
      <c r="C148" s="12">
        <v>1406.48</v>
      </c>
      <c r="F148" s="1">
        <v>45695</v>
      </c>
      <c r="G148" t="s">
        <v>79</v>
      </c>
      <c r="H148" s="12">
        <v>1406.48</v>
      </c>
    </row>
    <row r="149" spans="1:8" x14ac:dyDescent="0.3">
      <c r="A149" s="1">
        <v>45568</v>
      </c>
      <c r="B149" t="s">
        <v>37</v>
      </c>
      <c r="C149" s="12">
        <v>1402.53</v>
      </c>
      <c r="F149" s="1">
        <v>45568</v>
      </c>
      <c r="G149" t="s">
        <v>58</v>
      </c>
      <c r="H149" s="12">
        <v>1402.53</v>
      </c>
    </row>
    <row r="150" spans="1:8" x14ac:dyDescent="0.3">
      <c r="A150" s="1">
        <v>45561</v>
      </c>
      <c r="B150" t="s">
        <v>24</v>
      </c>
      <c r="C150" s="12">
        <v>1400.75</v>
      </c>
      <c r="F150" s="1">
        <v>45561</v>
      </c>
      <c r="G150" t="s">
        <v>65</v>
      </c>
      <c r="H150" s="12">
        <v>1400.75</v>
      </c>
    </row>
    <row r="151" spans="1:8" x14ac:dyDescent="0.3">
      <c r="A151" s="1">
        <v>45531</v>
      </c>
      <c r="B151" t="s">
        <v>18</v>
      </c>
      <c r="C151" s="12">
        <v>1400.2</v>
      </c>
      <c r="F151" s="1">
        <v>45531</v>
      </c>
      <c r="G151" t="s">
        <v>34</v>
      </c>
      <c r="H151" s="12">
        <v>1400.2</v>
      </c>
    </row>
    <row r="152" spans="1:8" x14ac:dyDescent="0.3">
      <c r="A152" s="1">
        <v>45388</v>
      </c>
      <c r="B152" t="s">
        <v>28</v>
      </c>
      <c r="C152" s="12">
        <v>1395.6</v>
      </c>
      <c r="F152" s="1">
        <v>45388</v>
      </c>
      <c r="G152" t="s">
        <v>72</v>
      </c>
      <c r="H152" s="12">
        <v>1395.6</v>
      </c>
    </row>
    <row r="153" spans="1:8" x14ac:dyDescent="0.3">
      <c r="A153" s="1">
        <v>45681</v>
      </c>
      <c r="B153" t="s">
        <v>37</v>
      </c>
      <c r="C153" s="12">
        <v>1386.16</v>
      </c>
      <c r="F153" s="1">
        <v>45681</v>
      </c>
      <c r="G153" t="s">
        <v>40</v>
      </c>
      <c r="H153" s="12">
        <v>1386.16</v>
      </c>
    </row>
    <row r="154" spans="1:8" x14ac:dyDescent="0.3">
      <c r="A154" s="1">
        <v>45595</v>
      </c>
      <c r="B154" t="s">
        <v>18</v>
      </c>
      <c r="C154" s="12">
        <v>1385.76</v>
      </c>
      <c r="F154" s="1">
        <v>45595</v>
      </c>
      <c r="G154" t="s">
        <v>34</v>
      </c>
      <c r="H154" s="12">
        <v>1385.76</v>
      </c>
    </row>
    <row r="155" spans="1:8" x14ac:dyDescent="0.3">
      <c r="A155" s="1">
        <v>45498</v>
      </c>
      <c r="B155" t="s">
        <v>13</v>
      </c>
      <c r="C155" s="12">
        <v>1385.73</v>
      </c>
      <c r="F155" s="1">
        <v>45498</v>
      </c>
      <c r="G155" t="s">
        <v>47</v>
      </c>
      <c r="H155" s="12">
        <v>1385.73</v>
      </c>
    </row>
    <row r="156" spans="1:8" x14ac:dyDescent="0.3">
      <c r="A156" s="1">
        <v>45519</v>
      </c>
      <c r="B156" t="s">
        <v>24</v>
      </c>
      <c r="C156" s="12">
        <v>1379.4</v>
      </c>
      <c r="F156" s="1">
        <v>45519</v>
      </c>
      <c r="G156" t="s">
        <v>44</v>
      </c>
      <c r="H156" s="12">
        <v>1379.4</v>
      </c>
    </row>
    <row r="157" spans="1:8" x14ac:dyDescent="0.3">
      <c r="A157" s="1">
        <v>45712</v>
      </c>
      <c r="B157" t="s">
        <v>18</v>
      </c>
      <c r="C157" s="12">
        <v>1378.23</v>
      </c>
      <c r="F157" s="1">
        <v>45712</v>
      </c>
      <c r="G157" t="s">
        <v>84</v>
      </c>
      <c r="H157" s="12">
        <v>1378.23</v>
      </c>
    </row>
    <row r="158" spans="1:8" x14ac:dyDescent="0.3">
      <c r="A158" s="1">
        <v>45629</v>
      </c>
      <c r="B158" t="s">
        <v>13</v>
      </c>
      <c r="C158" s="12">
        <v>1372.32</v>
      </c>
      <c r="F158" s="1">
        <v>45629</v>
      </c>
      <c r="G158" t="s">
        <v>47</v>
      </c>
      <c r="H158" s="12">
        <v>1372.32</v>
      </c>
    </row>
    <row r="159" spans="1:8" x14ac:dyDescent="0.3">
      <c r="A159" s="1">
        <v>45534</v>
      </c>
      <c r="B159" t="s">
        <v>24</v>
      </c>
      <c r="C159" s="12">
        <v>1369.8899999999999</v>
      </c>
      <c r="F159" s="1">
        <v>45534</v>
      </c>
      <c r="G159" t="s">
        <v>25</v>
      </c>
      <c r="H159" s="12">
        <v>1369.8899999999999</v>
      </c>
    </row>
    <row r="160" spans="1:8" x14ac:dyDescent="0.3">
      <c r="A160" s="1">
        <v>45721</v>
      </c>
      <c r="B160" t="s">
        <v>18</v>
      </c>
      <c r="C160" s="12">
        <v>1369.1399999999999</v>
      </c>
      <c r="F160" s="1">
        <v>45721</v>
      </c>
      <c r="G160" t="s">
        <v>87</v>
      </c>
      <c r="H160" s="12">
        <v>1369.1399999999999</v>
      </c>
    </row>
    <row r="161" spans="1:8" x14ac:dyDescent="0.3">
      <c r="A161" s="1">
        <v>45450</v>
      </c>
      <c r="B161" t="s">
        <v>13</v>
      </c>
      <c r="C161" s="12">
        <v>1363.75</v>
      </c>
      <c r="F161" s="1">
        <v>45450</v>
      </c>
      <c r="G161" t="s">
        <v>32</v>
      </c>
      <c r="H161" s="12">
        <v>1363.75</v>
      </c>
    </row>
    <row r="162" spans="1:8" x14ac:dyDescent="0.3">
      <c r="A162" s="1">
        <v>45607</v>
      </c>
      <c r="B162" t="s">
        <v>18</v>
      </c>
      <c r="C162" s="12">
        <v>1363.4</v>
      </c>
      <c r="F162" s="1">
        <v>45607</v>
      </c>
      <c r="G162" t="s">
        <v>19</v>
      </c>
      <c r="H162" s="12">
        <v>1363.4</v>
      </c>
    </row>
    <row r="163" spans="1:8" x14ac:dyDescent="0.3">
      <c r="A163" s="1">
        <v>45573</v>
      </c>
      <c r="B163" t="s">
        <v>18</v>
      </c>
      <c r="C163" s="12">
        <v>1362.6</v>
      </c>
      <c r="F163" s="1">
        <v>45573</v>
      </c>
      <c r="G163" t="s">
        <v>84</v>
      </c>
      <c r="H163" s="12">
        <v>1362.6</v>
      </c>
    </row>
    <row r="164" spans="1:8" x14ac:dyDescent="0.3">
      <c r="A164" s="1">
        <v>45496</v>
      </c>
      <c r="B164" t="s">
        <v>18</v>
      </c>
      <c r="C164" s="12">
        <v>1361.1000000000001</v>
      </c>
      <c r="F164" s="1">
        <v>45496</v>
      </c>
      <c r="G164" t="s">
        <v>87</v>
      </c>
      <c r="H164" s="12">
        <v>1361.1000000000001</v>
      </c>
    </row>
    <row r="165" spans="1:8" x14ac:dyDescent="0.3">
      <c r="A165" s="1">
        <v>45485</v>
      </c>
      <c r="B165" t="s">
        <v>24</v>
      </c>
      <c r="C165" s="12">
        <v>1359.6</v>
      </c>
      <c r="F165" s="1">
        <v>45485</v>
      </c>
      <c r="G165" t="s">
        <v>25</v>
      </c>
      <c r="H165" s="12">
        <v>1359.6</v>
      </c>
    </row>
    <row r="166" spans="1:8" x14ac:dyDescent="0.3">
      <c r="A166" s="1">
        <v>45580</v>
      </c>
      <c r="B166" t="s">
        <v>18</v>
      </c>
      <c r="C166" s="12">
        <v>1358.6999999999998</v>
      </c>
      <c r="F166" s="1">
        <v>45580</v>
      </c>
      <c r="G166" t="s">
        <v>19</v>
      </c>
      <c r="H166" s="12">
        <v>1358.6999999999998</v>
      </c>
    </row>
    <row r="167" spans="1:8" x14ac:dyDescent="0.3">
      <c r="A167" s="1">
        <v>45497</v>
      </c>
      <c r="B167" t="s">
        <v>13</v>
      </c>
      <c r="C167" s="12">
        <v>1355.52</v>
      </c>
      <c r="F167" s="1">
        <v>45497</v>
      </c>
      <c r="G167" t="s">
        <v>14</v>
      </c>
      <c r="H167" s="12">
        <v>1355.52</v>
      </c>
    </row>
    <row r="168" spans="1:8" x14ac:dyDescent="0.3">
      <c r="A168" s="1">
        <v>45591</v>
      </c>
      <c r="B168" t="s">
        <v>28</v>
      </c>
      <c r="C168" s="12">
        <v>1348.44</v>
      </c>
      <c r="F168" s="1">
        <v>45591</v>
      </c>
      <c r="G168" t="s">
        <v>29</v>
      </c>
      <c r="H168" s="12">
        <v>1348.44</v>
      </c>
    </row>
    <row r="169" spans="1:8" x14ac:dyDescent="0.3">
      <c r="A169" s="1">
        <v>45640</v>
      </c>
      <c r="B169" t="s">
        <v>13</v>
      </c>
      <c r="C169" s="12">
        <v>1347.1000000000001</v>
      </c>
      <c r="F169" s="1">
        <v>45640</v>
      </c>
      <c r="G169" t="s">
        <v>32</v>
      </c>
      <c r="H169" s="12">
        <v>1347.1000000000001</v>
      </c>
    </row>
    <row r="170" spans="1:8" x14ac:dyDescent="0.3">
      <c r="A170" s="1">
        <v>45591</v>
      </c>
      <c r="B170" t="s">
        <v>13</v>
      </c>
      <c r="C170" s="12">
        <v>1347.0500000000002</v>
      </c>
      <c r="F170" s="1">
        <v>45591</v>
      </c>
      <c r="G170" t="s">
        <v>14</v>
      </c>
      <c r="H170" s="12">
        <v>1347.0500000000002</v>
      </c>
    </row>
    <row r="171" spans="1:8" x14ac:dyDescent="0.3">
      <c r="A171" s="1">
        <v>45429</v>
      </c>
      <c r="B171" t="s">
        <v>24</v>
      </c>
      <c r="C171" s="12">
        <v>1347</v>
      </c>
      <c r="F171" s="1">
        <v>45429</v>
      </c>
      <c r="G171" t="s">
        <v>44</v>
      </c>
      <c r="H171" s="12">
        <v>1347</v>
      </c>
    </row>
    <row r="172" spans="1:8" x14ac:dyDescent="0.3">
      <c r="A172" s="1">
        <v>45506</v>
      </c>
      <c r="B172" t="s">
        <v>24</v>
      </c>
      <c r="C172" s="12">
        <v>1339.04</v>
      </c>
      <c r="F172" s="1">
        <v>45506</v>
      </c>
      <c r="G172" t="s">
        <v>63</v>
      </c>
      <c r="H172" s="12">
        <v>1339.04</v>
      </c>
    </row>
    <row r="173" spans="1:8" x14ac:dyDescent="0.3">
      <c r="A173" s="1">
        <v>45683</v>
      </c>
      <c r="B173" t="s">
        <v>28</v>
      </c>
      <c r="C173" s="12">
        <v>1338.72</v>
      </c>
      <c r="F173" s="1">
        <v>45683</v>
      </c>
      <c r="G173" t="s">
        <v>77</v>
      </c>
      <c r="H173" s="12">
        <v>1338.72</v>
      </c>
    </row>
    <row r="174" spans="1:8" x14ac:dyDescent="0.3">
      <c r="A174" s="1">
        <v>45546</v>
      </c>
      <c r="B174" t="s">
        <v>18</v>
      </c>
      <c r="C174" s="12">
        <v>1337.48</v>
      </c>
      <c r="F174" s="1">
        <v>45546</v>
      </c>
      <c r="G174" t="s">
        <v>19</v>
      </c>
      <c r="H174" s="12">
        <v>1337.48</v>
      </c>
    </row>
    <row r="175" spans="1:8" x14ac:dyDescent="0.3">
      <c r="A175" s="1">
        <v>45563</v>
      </c>
      <c r="B175" t="s">
        <v>13</v>
      </c>
      <c r="C175" s="12">
        <v>1337.46</v>
      </c>
      <c r="F175" s="1">
        <v>45563</v>
      </c>
      <c r="G175" t="s">
        <v>32</v>
      </c>
      <c r="H175" s="12">
        <v>1337.46</v>
      </c>
    </row>
    <row r="176" spans="1:8" x14ac:dyDescent="0.3">
      <c r="A176" s="1">
        <v>45450</v>
      </c>
      <c r="B176" t="s">
        <v>28</v>
      </c>
      <c r="C176" s="12">
        <v>1335.68</v>
      </c>
      <c r="F176" s="1">
        <v>45450</v>
      </c>
      <c r="G176" t="s">
        <v>79</v>
      </c>
      <c r="H176" s="12">
        <v>1335.68</v>
      </c>
    </row>
    <row r="177" spans="1:8" x14ac:dyDescent="0.3">
      <c r="A177" s="1">
        <v>45623</v>
      </c>
      <c r="B177" t="s">
        <v>28</v>
      </c>
      <c r="C177" s="12">
        <v>1332.92</v>
      </c>
      <c r="F177" s="1">
        <v>45623</v>
      </c>
      <c r="G177" t="s">
        <v>51</v>
      </c>
      <c r="H177" s="12">
        <v>1332.92</v>
      </c>
    </row>
    <row r="178" spans="1:8" x14ac:dyDescent="0.3">
      <c r="A178" s="1">
        <v>45513</v>
      </c>
      <c r="B178" t="s">
        <v>18</v>
      </c>
      <c r="C178" s="12">
        <v>1330.8000000000002</v>
      </c>
      <c r="F178" s="1">
        <v>45513</v>
      </c>
      <c r="G178" t="s">
        <v>22</v>
      </c>
      <c r="H178" s="12">
        <v>1330.8000000000002</v>
      </c>
    </row>
    <row r="179" spans="1:8" x14ac:dyDescent="0.3">
      <c r="A179" s="1">
        <v>45528</v>
      </c>
      <c r="B179" t="s">
        <v>13</v>
      </c>
      <c r="C179" s="12">
        <v>1330.2</v>
      </c>
      <c r="F179" s="1">
        <v>45528</v>
      </c>
      <c r="G179" t="s">
        <v>42</v>
      </c>
      <c r="H179" s="12">
        <v>1330.2</v>
      </c>
    </row>
    <row r="180" spans="1:8" x14ac:dyDescent="0.3">
      <c r="A180" s="1">
        <v>45415</v>
      </c>
      <c r="B180" t="s">
        <v>13</v>
      </c>
      <c r="C180" s="12">
        <v>1319.35</v>
      </c>
      <c r="F180" s="1">
        <v>45415</v>
      </c>
      <c r="G180" t="s">
        <v>14</v>
      </c>
      <c r="H180" s="12">
        <v>1319.35</v>
      </c>
    </row>
    <row r="181" spans="1:8" x14ac:dyDescent="0.3">
      <c r="A181" s="1">
        <v>45695</v>
      </c>
      <c r="B181" t="s">
        <v>13</v>
      </c>
      <c r="C181" s="12">
        <v>1318.53</v>
      </c>
      <c r="F181" s="1">
        <v>45695</v>
      </c>
      <c r="G181" t="s">
        <v>32</v>
      </c>
      <c r="H181" s="12">
        <v>1318.53</v>
      </c>
    </row>
    <row r="182" spans="1:8" x14ac:dyDescent="0.3">
      <c r="A182" s="1">
        <v>45409</v>
      </c>
      <c r="B182" t="s">
        <v>28</v>
      </c>
      <c r="C182" s="12">
        <v>1307.1600000000001</v>
      </c>
      <c r="F182" s="1">
        <v>45409</v>
      </c>
      <c r="G182" t="s">
        <v>77</v>
      </c>
      <c r="H182" s="12">
        <v>1307.1600000000001</v>
      </c>
    </row>
    <row r="183" spans="1:8" x14ac:dyDescent="0.3">
      <c r="A183" s="1">
        <v>45686</v>
      </c>
      <c r="B183" t="s">
        <v>37</v>
      </c>
      <c r="C183" s="12">
        <v>1306.1100000000001</v>
      </c>
      <c r="F183" s="1">
        <v>45686</v>
      </c>
      <c r="G183" t="s">
        <v>68</v>
      </c>
      <c r="H183" s="12">
        <v>1306.1100000000001</v>
      </c>
    </row>
    <row r="184" spans="1:8" x14ac:dyDescent="0.3">
      <c r="A184" s="1">
        <v>45703</v>
      </c>
      <c r="B184" t="s">
        <v>13</v>
      </c>
      <c r="C184" s="12">
        <v>1302.92</v>
      </c>
      <c r="F184" s="1">
        <v>45703</v>
      </c>
      <c r="G184" t="s">
        <v>111</v>
      </c>
      <c r="H184" s="12">
        <v>1302.92</v>
      </c>
    </row>
    <row r="185" spans="1:8" x14ac:dyDescent="0.3">
      <c r="A185" s="1">
        <v>45664</v>
      </c>
      <c r="B185" t="s">
        <v>37</v>
      </c>
      <c r="C185" s="12">
        <v>1295.56</v>
      </c>
      <c r="F185" s="1">
        <v>45664</v>
      </c>
      <c r="G185" t="s">
        <v>95</v>
      </c>
      <c r="H185" s="12">
        <v>1295.56</v>
      </c>
    </row>
    <row r="186" spans="1:8" x14ac:dyDescent="0.3">
      <c r="A186" s="1">
        <v>45555</v>
      </c>
      <c r="B186" t="s">
        <v>18</v>
      </c>
      <c r="C186" s="12">
        <v>1290.3599999999999</v>
      </c>
      <c r="F186" s="1">
        <v>45555</v>
      </c>
      <c r="G186" t="s">
        <v>87</v>
      </c>
      <c r="H186" s="12">
        <v>1290.3599999999999</v>
      </c>
    </row>
    <row r="187" spans="1:8" x14ac:dyDescent="0.3">
      <c r="A187" s="1">
        <v>45491</v>
      </c>
      <c r="B187" t="s">
        <v>13</v>
      </c>
      <c r="C187" s="12">
        <v>1288.6500000000001</v>
      </c>
      <c r="F187" s="1">
        <v>45491</v>
      </c>
      <c r="G187" t="s">
        <v>47</v>
      </c>
      <c r="H187" s="12">
        <v>1288.6500000000001</v>
      </c>
    </row>
    <row r="188" spans="1:8" x14ac:dyDescent="0.3">
      <c r="A188" s="1">
        <v>45643</v>
      </c>
      <c r="B188" t="s">
        <v>37</v>
      </c>
      <c r="C188" s="12">
        <v>1287.33</v>
      </c>
      <c r="F188" s="1">
        <v>45643</v>
      </c>
      <c r="G188" t="s">
        <v>38</v>
      </c>
      <c r="H188" s="12">
        <v>1287.33</v>
      </c>
    </row>
    <row r="189" spans="1:8" x14ac:dyDescent="0.3">
      <c r="A189" s="1">
        <v>45637</v>
      </c>
      <c r="B189" t="s">
        <v>24</v>
      </c>
      <c r="C189" s="12">
        <v>1286.8499999999999</v>
      </c>
      <c r="F189" s="1">
        <v>45637</v>
      </c>
      <c r="G189" t="s">
        <v>25</v>
      </c>
      <c r="H189" s="12">
        <v>1286.8499999999999</v>
      </c>
    </row>
    <row r="190" spans="1:8" x14ac:dyDescent="0.3">
      <c r="A190" s="1">
        <v>45658</v>
      </c>
      <c r="B190" t="s">
        <v>37</v>
      </c>
      <c r="C190" s="12">
        <v>1284.72</v>
      </c>
      <c r="F190" s="1">
        <v>45658</v>
      </c>
      <c r="G190" t="s">
        <v>40</v>
      </c>
      <c r="H190" s="12">
        <v>1284.72</v>
      </c>
    </row>
    <row r="191" spans="1:8" x14ac:dyDescent="0.3">
      <c r="A191" s="1">
        <v>45650</v>
      </c>
      <c r="B191" t="s">
        <v>37</v>
      </c>
      <c r="C191" s="12">
        <v>1282.8800000000001</v>
      </c>
      <c r="F191" s="1">
        <v>45650</v>
      </c>
      <c r="G191" t="s">
        <v>38</v>
      </c>
      <c r="H191" s="12">
        <v>1282.8800000000001</v>
      </c>
    </row>
    <row r="192" spans="1:8" x14ac:dyDescent="0.3">
      <c r="A192" s="1">
        <v>45592</v>
      </c>
      <c r="B192" t="s">
        <v>13</v>
      </c>
      <c r="C192" s="12">
        <v>1282.44</v>
      </c>
      <c r="F192" s="1">
        <v>45592</v>
      </c>
      <c r="G192" t="s">
        <v>14</v>
      </c>
      <c r="H192" s="12">
        <v>1282.44</v>
      </c>
    </row>
    <row r="193" spans="1:8" x14ac:dyDescent="0.3">
      <c r="A193" s="1">
        <v>45427</v>
      </c>
      <c r="B193" t="s">
        <v>28</v>
      </c>
      <c r="C193" s="12">
        <v>1274</v>
      </c>
      <c r="F193" s="1">
        <v>45427</v>
      </c>
      <c r="G193" t="s">
        <v>29</v>
      </c>
      <c r="H193" s="12">
        <v>1274</v>
      </c>
    </row>
    <row r="194" spans="1:8" x14ac:dyDescent="0.3">
      <c r="A194" s="1">
        <v>45572</v>
      </c>
      <c r="B194" t="s">
        <v>18</v>
      </c>
      <c r="C194" s="12">
        <v>1266.96</v>
      </c>
      <c r="F194" s="1">
        <v>45572</v>
      </c>
      <c r="G194" t="s">
        <v>87</v>
      </c>
      <c r="H194" s="12">
        <v>1266.96</v>
      </c>
    </row>
    <row r="195" spans="1:8" x14ac:dyDescent="0.3">
      <c r="A195" s="1">
        <v>45479</v>
      </c>
      <c r="B195" t="s">
        <v>24</v>
      </c>
      <c r="C195" s="12">
        <v>1265.5500000000002</v>
      </c>
      <c r="F195" s="1">
        <v>45479</v>
      </c>
      <c r="G195" t="s">
        <v>25</v>
      </c>
      <c r="H195" s="12">
        <v>1265.5500000000002</v>
      </c>
    </row>
    <row r="196" spans="1:8" x14ac:dyDescent="0.3">
      <c r="A196" s="1">
        <v>45437</v>
      </c>
      <c r="B196" t="s">
        <v>18</v>
      </c>
      <c r="C196" s="12">
        <v>1263.42</v>
      </c>
      <c r="F196" s="1">
        <v>45437</v>
      </c>
      <c r="G196" t="s">
        <v>19</v>
      </c>
      <c r="H196" s="12">
        <v>1263.42</v>
      </c>
    </row>
    <row r="197" spans="1:8" x14ac:dyDescent="0.3">
      <c r="A197" s="1">
        <v>45501</v>
      </c>
      <c r="B197" t="s">
        <v>24</v>
      </c>
      <c r="C197" s="12">
        <v>1263.3899999999999</v>
      </c>
      <c r="F197" s="1">
        <v>45501</v>
      </c>
      <c r="G197" t="s">
        <v>25</v>
      </c>
      <c r="H197" s="12">
        <v>1263.3899999999999</v>
      </c>
    </row>
    <row r="198" spans="1:8" x14ac:dyDescent="0.3">
      <c r="A198" s="1">
        <v>45542</v>
      </c>
      <c r="B198" t="s">
        <v>13</v>
      </c>
      <c r="C198" s="12">
        <v>1262.5</v>
      </c>
      <c r="F198" s="1">
        <v>45542</v>
      </c>
      <c r="G198" t="s">
        <v>111</v>
      </c>
      <c r="H198" s="12">
        <v>1262.5</v>
      </c>
    </row>
    <row r="199" spans="1:8" x14ac:dyDescent="0.3">
      <c r="A199" s="1">
        <v>45429</v>
      </c>
      <c r="B199" t="s">
        <v>28</v>
      </c>
      <c r="C199" s="12">
        <v>1250.6399999999999</v>
      </c>
      <c r="F199" s="1">
        <v>45429</v>
      </c>
      <c r="G199" t="s">
        <v>77</v>
      </c>
      <c r="H199" s="12">
        <v>1250.6399999999999</v>
      </c>
    </row>
    <row r="200" spans="1:8" x14ac:dyDescent="0.3">
      <c r="A200" s="1">
        <v>45637</v>
      </c>
      <c r="B200" t="s">
        <v>24</v>
      </c>
      <c r="C200" s="12">
        <v>1250.3499999999999</v>
      </c>
      <c r="F200" s="1">
        <v>45637</v>
      </c>
      <c r="G200" t="s">
        <v>65</v>
      </c>
      <c r="H200" s="12">
        <v>1250.3499999999999</v>
      </c>
    </row>
    <row r="201" spans="1:8" x14ac:dyDescent="0.3">
      <c r="A201" s="1">
        <v>45484</v>
      </c>
      <c r="B201" t="s">
        <v>18</v>
      </c>
      <c r="C201" s="12">
        <v>1247.44</v>
      </c>
      <c r="F201" s="1">
        <v>45484</v>
      </c>
      <c r="G201" t="s">
        <v>22</v>
      </c>
      <c r="H201" s="12">
        <v>1247.44</v>
      </c>
    </row>
    <row r="202" spans="1:8" x14ac:dyDescent="0.3">
      <c r="A202" s="1">
        <v>45554</v>
      </c>
      <c r="B202" t="s">
        <v>37</v>
      </c>
      <c r="C202" s="12">
        <v>1246.9000000000001</v>
      </c>
      <c r="F202" s="1">
        <v>45554</v>
      </c>
      <c r="G202" t="s">
        <v>58</v>
      </c>
      <c r="H202" s="12">
        <v>1246.9000000000001</v>
      </c>
    </row>
    <row r="203" spans="1:8" x14ac:dyDescent="0.3">
      <c r="A203" s="1">
        <v>45683</v>
      </c>
      <c r="B203" t="s">
        <v>37</v>
      </c>
      <c r="C203" s="12">
        <v>1244.4000000000001</v>
      </c>
      <c r="F203" s="1">
        <v>45683</v>
      </c>
      <c r="G203" t="s">
        <v>68</v>
      </c>
      <c r="H203" s="12">
        <v>1244.4000000000001</v>
      </c>
    </row>
    <row r="204" spans="1:8" x14ac:dyDescent="0.3">
      <c r="A204" s="1">
        <v>45568</v>
      </c>
      <c r="B204" t="s">
        <v>37</v>
      </c>
      <c r="C204" s="12">
        <v>1240.56</v>
      </c>
      <c r="F204" s="1">
        <v>45568</v>
      </c>
      <c r="G204" t="s">
        <v>95</v>
      </c>
      <c r="H204" s="12">
        <v>1240.56</v>
      </c>
    </row>
    <row r="205" spans="1:8" x14ac:dyDescent="0.3">
      <c r="A205" s="1">
        <v>45703</v>
      </c>
      <c r="B205" t="s">
        <v>37</v>
      </c>
      <c r="C205" s="12">
        <v>1233.4000000000001</v>
      </c>
      <c r="F205" s="1">
        <v>45703</v>
      </c>
      <c r="G205" t="s">
        <v>58</v>
      </c>
      <c r="H205" s="12">
        <v>1233.4000000000001</v>
      </c>
    </row>
    <row r="206" spans="1:8" x14ac:dyDescent="0.3">
      <c r="A206" s="1">
        <v>45583</v>
      </c>
      <c r="B206" t="s">
        <v>37</v>
      </c>
      <c r="C206" s="12">
        <v>1226.9000000000001</v>
      </c>
      <c r="F206" s="1">
        <v>45583</v>
      </c>
      <c r="G206" t="s">
        <v>58</v>
      </c>
      <c r="H206" s="12">
        <v>1226.9000000000001</v>
      </c>
    </row>
    <row r="207" spans="1:8" x14ac:dyDescent="0.3">
      <c r="A207" s="1">
        <v>45728</v>
      </c>
      <c r="B207" t="s">
        <v>24</v>
      </c>
      <c r="C207" s="12">
        <v>1226.6400000000001</v>
      </c>
      <c r="F207" s="1">
        <v>45728</v>
      </c>
      <c r="G207" t="s">
        <v>65</v>
      </c>
      <c r="H207" s="12">
        <v>1226.6400000000001</v>
      </c>
    </row>
    <row r="208" spans="1:8" x14ac:dyDescent="0.3">
      <c r="A208" s="1">
        <v>45516</v>
      </c>
      <c r="B208" t="s">
        <v>24</v>
      </c>
      <c r="C208" s="12">
        <v>1225.3799999999999</v>
      </c>
      <c r="F208" s="1">
        <v>45516</v>
      </c>
      <c r="G208" t="s">
        <v>44</v>
      </c>
      <c r="H208" s="12">
        <v>1225.3799999999999</v>
      </c>
    </row>
    <row r="209" spans="1:8" x14ac:dyDescent="0.3">
      <c r="A209" s="1">
        <v>45587</v>
      </c>
      <c r="B209" t="s">
        <v>18</v>
      </c>
      <c r="C209" s="12">
        <v>1223.49</v>
      </c>
      <c r="F209" s="1">
        <v>45587</v>
      </c>
      <c r="G209" t="s">
        <v>34</v>
      </c>
      <c r="H209" s="12">
        <v>1223.49</v>
      </c>
    </row>
    <row r="210" spans="1:8" x14ac:dyDescent="0.3">
      <c r="A210" s="1">
        <v>45650</v>
      </c>
      <c r="B210" t="s">
        <v>18</v>
      </c>
      <c r="C210" s="12">
        <v>1216.6200000000001</v>
      </c>
      <c r="F210" s="1">
        <v>45650</v>
      </c>
      <c r="G210" t="s">
        <v>87</v>
      </c>
      <c r="H210" s="12">
        <v>1216.6200000000001</v>
      </c>
    </row>
    <row r="211" spans="1:8" x14ac:dyDescent="0.3">
      <c r="A211" s="1">
        <v>45469</v>
      </c>
      <c r="B211" t="s">
        <v>18</v>
      </c>
      <c r="C211" s="12">
        <v>1215.06</v>
      </c>
      <c r="F211" s="1">
        <v>45469</v>
      </c>
      <c r="G211" t="s">
        <v>84</v>
      </c>
      <c r="H211" s="12">
        <v>1215.06</v>
      </c>
    </row>
    <row r="212" spans="1:8" x14ac:dyDescent="0.3">
      <c r="A212" s="1">
        <v>45555</v>
      </c>
      <c r="B212" t="s">
        <v>13</v>
      </c>
      <c r="C212" s="12">
        <v>1212.6400000000001</v>
      </c>
      <c r="F212" s="1">
        <v>45555</v>
      </c>
      <c r="G212" t="s">
        <v>111</v>
      </c>
      <c r="H212" s="12">
        <v>1212.6400000000001</v>
      </c>
    </row>
    <row r="213" spans="1:8" x14ac:dyDescent="0.3">
      <c r="A213" s="1">
        <v>45393</v>
      </c>
      <c r="B213" t="s">
        <v>13</v>
      </c>
      <c r="C213" s="12">
        <v>1201.8499999999999</v>
      </c>
      <c r="F213" s="1">
        <v>45393</v>
      </c>
      <c r="G213" t="s">
        <v>42</v>
      </c>
      <c r="H213" s="12">
        <v>1201.8499999999999</v>
      </c>
    </row>
    <row r="214" spans="1:8" x14ac:dyDescent="0.3">
      <c r="A214" s="1">
        <v>45720</v>
      </c>
      <c r="B214" t="s">
        <v>24</v>
      </c>
      <c r="C214" s="12">
        <v>1200.1199999999999</v>
      </c>
      <c r="F214" s="1">
        <v>45720</v>
      </c>
      <c r="G214" t="s">
        <v>63</v>
      </c>
      <c r="H214" s="12">
        <v>1200.1199999999999</v>
      </c>
    </row>
    <row r="215" spans="1:8" x14ac:dyDescent="0.3">
      <c r="A215" s="1">
        <v>45416</v>
      </c>
      <c r="B215" t="s">
        <v>13</v>
      </c>
      <c r="C215" s="12">
        <v>1194.93</v>
      </c>
      <c r="F215" s="1">
        <v>45416</v>
      </c>
      <c r="G215" t="s">
        <v>47</v>
      </c>
      <c r="H215" s="12">
        <v>1194.93</v>
      </c>
    </row>
    <row r="216" spans="1:8" x14ac:dyDescent="0.3">
      <c r="A216" s="1">
        <v>45414</v>
      </c>
      <c r="B216" t="s">
        <v>18</v>
      </c>
      <c r="C216" s="12">
        <v>1188.95</v>
      </c>
      <c r="F216" s="1">
        <v>45414</v>
      </c>
      <c r="G216" t="s">
        <v>84</v>
      </c>
      <c r="H216" s="12">
        <v>1188.95</v>
      </c>
    </row>
    <row r="217" spans="1:8" x14ac:dyDescent="0.3">
      <c r="A217" s="1">
        <v>45586</v>
      </c>
      <c r="B217" t="s">
        <v>28</v>
      </c>
      <c r="C217" s="12">
        <v>1186</v>
      </c>
      <c r="F217" s="1">
        <v>45586</v>
      </c>
      <c r="G217" t="s">
        <v>72</v>
      </c>
      <c r="H217" s="12">
        <v>1186</v>
      </c>
    </row>
    <row r="218" spans="1:8" x14ac:dyDescent="0.3">
      <c r="A218" s="1">
        <v>45709</v>
      </c>
      <c r="B218" t="s">
        <v>37</v>
      </c>
      <c r="C218" s="12">
        <v>1185.1200000000001</v>
      </c>
      <c r="F218" s="1">
        <v>45709</v>
      </c>
      <c r="G218" t="s">
        <v>68</v>
      </c>
      <c r="H218" s="12">
        <v>1185.1200000000001</v>
      </c>
    </row>
    <row r="219" spans="1:8" x14ac:dyDescent="0.3">
      <c r="A219" s="1">
        <v>45396</v>
      </c>
      <c r="B219" t="s">
        <v>37</v>
      </c>
      <c r="C219" s="12">
        <v>1180.53</v>
      </c>
      <c r="F219" s="1">
        <v>45396</v>
      </c>
      <c r="G219" t="s">
        <v>68</v>
      </c>
      <c r="H219" s="12">
        <v>1180.53</v>
      </c>
    </row>
    <row r="220" spans="1:8" x14ac:dyDescent="0.3">
      <c r="A220" s="1">
        <v>45715</v>
      </c>
      <c r="B220" t="s">
        <v>24</v>
      </c>
      <c r="C220" s="12">
        <v>1176.78</v>
      </c>
      <c r="F220" s="1">
        <v>45715</v>
      </c>
      <c r="G220" t="s">
        <v>63</v>
      </c>
      <c r="H220" s="12">
        <v>1176.78</v>
      </c>
    </row>
    <row r="221" spans="1:8" x14ac:dyDescent="0.3">
      <c r="A221" s="1">
        <v>45525</v>
      </c>
      <c r="B221" t="s">
        <v>18</v>
      </c>
      <c r="C221" s="12">
        <v>1172.2</v>
      </c>
      <c r="F221" s="1">
        <v>45525</v>
      </c>
      <c r="G221" t="s">
        <v>34</v>
      </c>
      <c r="H221" s="12">
        <v>1172.2</v>
      </c>
    </row>
    <row r="222" spans="1:8" x14ac:dyDescent="0.3">
      <c r="A222" s="1">
        <v>45514</v>
      </c>
      <c r="B222" t="s">
        <v>13</v>
      </c>
      <c r="C222" s="12">
        <v>1168.48</v>
      </c>
      <c r="F222" s="1">
        <v>45514</v>
      </c>
      <c r="G222" t="s">
        <v>111</v>
      </c>
      <c r="H222" s="12">
        <v>1168.48</v>
      </c>
    </row>
    <row r="223" spans="1:8" x14ac:dyDescent="0.3">
      <c r="A223" s="1">
        <v>45644</v>
      </c>
      <c r="B223" t="s">
        <v>13</v>
      </c>
      <c r="C223" s="12">
        <v>1165.1600000000001</v>
      </c>
      <c r="F223" s="1">
        <v>45644</v>
      </c>
      <c r="G223" t="s">
        <v>14</v>
      </c>
      <c r="H223" s="12">
        <v>1165.1600000000001</v>
      </c>
    </row>
    <row r="224" spans="1:8" x14ac:dyDescent="0.3">
      <c r="A224" s="1">
        <v>45633</v>
      </c>
      <c r="B224" t="s">
        <v>37</v>
      </c>
      <c r="C224" s="12">
        <v>1158.52</v>
      </c>
      <c r="F224" s="1">
        <v>45633</v>
      </c>
      <c r="G224" t="s">
        <v>40</v>
      </c>
      <c r="H224" s="12">
        <v>1158.52</v>
      </c>
    </row>
    <row r="225" spans="1:8" x14ac:dyDescent="0.3">
      <c r="A225" s="1">
        <v>45403</v>
      </c>
      <c r="B225" t="s">
        <v>24</v>
      </c>
      <c r="C225" s="12">
        <v>1156.1100000000001</v>
      </c>
      <c r="F225" s="1">
        <v>45403</v>
      </c>
      <c r="G225" t="s">
        <v>65</v>
      </c>
      <c r="H225" s="12">
        <v>1156.1100000000001</v>
      </c>
    </row>
    <row r="226" spans="1:8" x14ac:dyDescent="0.3">
      <c r="A226" s="1">
        <v>45589</v>
      </c>
      <c r="B226" t="s">
        <v>13</v>
      </c>
      <c r="C226" s="12">
        <v>1152.8800000000001</v>
      </c>
      <c r="F226" s="1">
        <v>45589</v>
      </c>
      <c r="G226" t="s">
        <v>32</v>
      </c>
      <c r="H226" s="12">
        <v>1152.8800000000001</v>
      </c>
    </row>
    <row r="227" spans="1:8" x14ac:dyDescent="0.3">
      <c r="A227" s="1">
        <v>45381</v>
      </c>
      <c r="B227" t="s">
        <v>37</v>
      </c>
      <c r="C227" s="12">
        <v>1152.45</v>
      </c>
      <c r="F227" s="1">
        <v>45381</v>
      </c>
      <c r="G227" t="s">
        <v>38</v>
      </c>
      <c r="H227" s="12">
        <v>1152.45</v>
      </c>
    </row>
    <row r="228" spans="1:8" x14ac:dyDescent="0.3">
      <c r="A228" s="1">
        <v>45725</v>
      </c>
      <c r="B228" t="s">
        <v>28</v>
      </c>
      <c r="C228" s="12">
        <v>1149.05</v>
      </c>
      <c r="F228" s="1">
        <v>45725</v>
      </c>
      <c r="G228" t="s">
        <v>29</v>
      </c>
      <c r="H228" s="12">
        <v>1149.05</v>
      </c>
    </row>
    <row r="229" spans="1:8" x14ac:dyDescent="0.3">
      <c r="A229" s="1">
        <v>45379</v>
      </c>
      <c r="B229" t="s">
        <v>18</v>
      </c>
      <c r="C229" s="12">
        <v>1147.28</v>
      </c>
      <c r="F229" s="1">
        <v>45379</v>
      </c>
      <c r="G229" t="s">
        <v>34</v>
      </c>
      <c r="H229" s="12">
        <v>1147.28</v>
      </c>
    </row>
    <row r="230" spans="1:8" x14ac:dyDescent="0.3">
      <c r="A230" s="1">
        <v>45472</v>
      </c>
      <c r="B230" t="s">
        <v>24</v>
      </c>
      <c r="C230" s="12">
        <v>1146.2</v>
      </c>
      <c r="F230" s="1">
        <v>45472</v>
      </c>
      <c r="G230" t="s">
        <v>65</v>
      </c>
      <c r="H230" s="12">
        <v>1146.2</v>
      </c>
    </row>
    <row r="231" spans="1:8" x14ac:dyDescent="0.3">
      <c r="A231" s="1">
        <v>45439</v>
      </c>
      <c r="B231" t="s">
        <v>18</v>
      </c>
      <c r="C231" s="12">
        <v>1143.8</v>
      </c>
      <c r="F231" s="1">
        <v>45439</v>
      </c>
      <c r="G231" t="s">
        <v>19</v>
      </c>
      <c r="H231" s="12">
        <v>1143.8</v>
      </c>
    </row>
    <row r="232" spans="1:8" x14ac:dyDescent="0.3">
      <c r="A232" s="1">
        <v>45459</v>
      </c>
      <c r="B232" t="s">
        <v>13</v>
      </c>
      <c r="C232" s="12">
        <v>1142.8800000000001</v>
      </c>
      <c r="F232" s="1">
        <v>45459</v>
      </c>
      <c r="G232" t="s">
        <v>14</v>
      </c>
      <c r="H232" s="12">
        <v>1142.8800000000001</v>
      </c>
    </row>
    <row r="233" spans="1:8" x14ac:dyDescent="0.3">
      <c r="A233" s="1">
        <v>45600</v>
      </c>
      <c r="B233" t="s">
        <v>37</v>
      </c>
      <c r="C233" s="12">
        <v>1142.1500000000001</v>
      </c>
      <c r="F233" s="1">
        <v>45600</v>
      </c>
      <c r="G233" t="s">
        <v>40</v>
      </c>
      <c r="H233" s="12">
        <v>1142.1500000000001</v>
      </c>
    </row>
    <row r="234" spans="1:8" x14ac:dyDescent="0.3">
      <c r="A234" s="1">
        <v>45516</v>
      </c>
      <c r="B234" t="s">
        <v>24</v>
      </c>
      <c r="C234" s="12">
        <v>1141.1499999999999</v>
      </c>
      <c r="F234" s="1">
        <v>45516</v>
      </c>
      <c r="G234" t="s">
        <v>49</v>
      </c>
      <c r="H234" s="12">
        <v>1141.1499999999999</v>
      </c>
    </row>
    <row r="235" spans="1:8" x14ac:dyDescent="0.3">
      <c r="A235" s="1">
        <v>45441</v>
      </c>
      <c r="B235" t="s">
        <v>18</v>
      </c>
      <c r="C235" s="12">
        <v>1136.01</v>
      </c>
      <c r="F235" s="1">
        <v>45441</v>
      </c>
      <c r="G235" t="s">
        <v>22</v>
      </c>
      <c r="H235" s="12">
        <v>1136.01</v>
      </c>
    </row>
    <row r="236" spans="1:8" x14ac:dyDescent="0.3">
      <c r="A236" s="1">
        <v>45447</v>
      </c>
      <c r="B236" t="s">
        <v>24</v>
      </c>
      <c r="C236" s="12">
        <v>1128.8399999999999</v>
      </c>
      <c r="F236" s="1">
        <v>45447</v>
      </c>
      <c r="G236" t="s">
        <v>65</v>
      </c>
      <c r="H236" s="12">
        <v>1128.8399999999999</v>
      </c>
    </row>
    <row r="237" spans="1:8" x14ac:dyDescent="0.3">
      <c r="A237" s="1">
        <v>45459</v>
      </c>
      <c r="B237" t="s">
        <v>37</v>
      </c>
      <c r="C237" s="12">
        <v>1128.57</v>
      </c>
      <c r="F237" s="1">
        <v>45459</v>
      </c>
      <c r="G237" t="s">
        <v>95</v>
      </c>
      <c r="H237" s="12">
        <v>1128.57</v>
      </c>
    </row>
    <row r="238" spans="1:8" x14ac:dyDescent="0.3">
      <c r="A238" s="1">
        <v>45715</v>
      </c>
      <c r="B238" t="s">
        <v>13</v>
      </c>
      <c r="C238" s="12">
        <v>1126.77</v>
      </c>
      <c r="F238" s="1">
        <v>45715</v>
      </c>
      <c r="G238" t="s">
        <v>14</v>
      </c>
      <c r="H238" s="12">
        <v>1126.77</v>
      </c>
    </row>
    <row r="239" spans="1:8" x14ac:dyDescent="0.3">
      <c r="A239" s="1">
        <v>45712</v>
      </c>
      <c r="B239" t="s">
        <v>24</v>
      </c>
      <c r="C239" s="12">
        <v>1124.2</v>
      </c>
      <c r="F239" s="1">
        <v>45712</v>
      </c>
      <c r="G239" t="s">
        <v>25</v>
      </c>
      <c r="H239" s="12">
        <v>1124.2</v>
      </c>
    </row>
    <row r="240" spans="1:8" x14ac:dyDescent="0.3">
      <c r="A240" s="1">
        <v>45648</v>
      </c>
      <c r="B240" t="s">
        <v>37</v>
      </c>
      <c r="C240" s="12">
        <v>1117.83</v>
      </c>
      <c r="F240" s="1">
        <v>45648</v>
      </c>
      <c r="G240" t="s">
        <v>40</v>
      </c>
      <c r="H240" s="12">
        <v>1117.83</v>
      </c>
    </row>
    <row r="241" spans="1:8" x14ac:dyDescent="0.3">
      <c r="A241" s="1">
        <v>45371</v>
      </c>
      <c r="B241" t="s">
        <v>24</v>
      </c>
      <c r="C241" s="12">
        <v>1114.29</v>
      </c>
      <c r="F241" s="1">
        <v>45371</v>
      </c>
      <c r="G241" t="s">
        <v>25</v>
      </c>
      <c r="H241" s="12">
        <v>1114.29</v>
      </c>
    </row>
    <row r="242" spans="1:8" x14ac:dyDescent="0.3">
      <c r="A242" s="1">
        <v>45674</v>
      </c>
      <c r="B242" t="s">
        <v>37</v>
      </c>
      <c r="C242" s="12">
        <v>1106.92</v>
      </c>
      <c r="F242" s="1">
        <v>45674</v>
      </c>
      <c r="G242" t="s">
        <v>58</v>
      </c>
      <c r="H242" s="12">
        <v>1106.92</v>
      </c>
    </row>
    <row r="243" spans="1:8" x14ac:dyDescent="0.3">
      <c r="A243" s="1">
        <v>45528</v>
      </c>
      <c r="B243" t="s">
        <v>24</v>
      </c>
      <c r="C243" s="12">
        <v>1106.73</v>
      </c>
      <c r="F243" s="1">
        <v>45528</v>
      </c>
      <c r="G243" t="s">
        <v>25</v>
      </c>
      <c r="H243" s="12">
        <v>1106.73</v>
      </c>
    </row>
    <row r="244" spans="1:8" x14ac:dyDescent="0.3">
      <c r="A244" s="1">
        <v>45506</v>
      </c>
      <c r="B244" t="s">
        <v>13</v>
      </c>
      <c r="C244" s="12">
        <v>1105.75</v>
      </c>
      <c r="F244" s="1">
        <v>45506</v>
      </c>
      <c r="G244" t="s">
        <v>14</v>
      </c>
      <c r="H244" s="12">
        <v>1105.75</v>
      </c>
    </row>
    <row r="245" spans="1:8" x14ac:dyDescent="0.3">
      <c r="A245" s="1">
        <v>45409</v>
      </c>
      <c r="B245" t="s">
        <v>24</v>
      </c>
      <c r="C245" s="12">
        <v>1102.53</v>
      </c>
      <c r="F245" s="1">
        <v>45409</v>
      </c>
      <c r="G245" t="s">
        <v>49</v>
      </c>
      <c r="H245" s="12">
        <v>1102.53</v>
      </c>
    </row>
    <row r="246" spans="1:8" x14ac:dyDescent="0.3">
      <c r="A246" s="1">
        <v>45610</v>
      </c>
      <c r="B246" t="s">
        <v>24</v>
      </c>
      <c r="C246" s="12">
        <v>1098.42</v>
      </c>
      <c r="F246" s="1">
        <v>45610</v>
      </c>
      <c r="G246" t="s">
        <v>63</v>
      </c>
      <c r="H246" s="12">
        <v>1098.42</v>
      </c>
    </row>
    <row r="247" spans="1:8" x14ac:dyDescent="0.3">
      <c r="A247" s="1">
        <v>45378</v>
      </c>
      <c r="B247" t="s">
        <v>18</v>
      </c>
      <c r="C247" s="12">
        <v>1096.3</v>
      </c>
      <c r="F247" s="1">
        <v>45378</v>
      </c>
      <c r="G247" t="s">
        <v>34</v>
      </c>
      <c r="H247" s="12">
        <v>1096.3</v>
      </c>
    </row>
    <row r="248" spans="1:8" x14ac:dyDescent="0.3">
      <c r="A248" s="1">
        <v>45686</v>
      </c>
      <c r="B248" t="s">
        <v>28</v>
      </c>
      <c r="C248" s="12">
        <v>1093.6500000000001</v>
      </c>
      <c r="F248" s="1">
        <v>45686</v>
      </c>
      <c r="G248" t="s">
        <v>79</v>
      </c>
      <c r="H248" s="12">
        <v>1093.6500000000001</v>
      </c>
    </row>
    <row r="249" spans="1:8" x14ac:dyDescent="0.3">
      <c r="A249" s="1">
        <v>45462</v>
      </c>
      <c r="B249" t="s">
        <v>13</v>
      </c>
      <c r="C249" s="12">
        <v>1091.68</v>
      </c>
      <c r="F249" s="1">
        <v>45462</v>
      </c>
      <c r="G249" t="s">
        <v>111</v>
      </c>
      <c r="H249" s="12">
        <v>1091.68</v>
      </c>
    </row>
    <row r="250" spans="1:8" x14ac:dyDescent="0.3">
      <c r="A250" s="1">
        <v>45488</v>
      </c>
      <c r="B250" t="s">
        <v>37</v>
      </c>
      <c r="C250" s="12">
        <v>1087.75</v>
      </c>
      <c r="F250" s="1">
        <v>45488</v>
      </c>
      <c r="G250" t="s">
        <v>58</v>
      </c>
      <c r="H250" s="12">
        <v>1087.75</v>
      </c>
    </row>
    <row r="251" spans="1:8" x14ac:dyDescent="0.3">
      <c r="A251" s="1">
        <v>45387</v>
      </c>
      <c r="B251" t="s">
        <v>13</v>
      </c>
      <c r="C251" s="12">
        <v>1086.5999999999999</v>
      </c>
      <c r="F251" s="1">
        <v>45387</v>
      </c>
      <c r="G251" t="s">
        <v>42</v>
      </c>
      <c r="H251" s="12">
        <v>1086.5999999999999</v>
      </c>
    </row>
    <row r="252" spans="1:8" x14ac:dyDescent="0.3">
      <c r="A252" s="1">
        <v>45536</v>
      </c>
      <c r="B252" t="s">
        <v>28</v>
      </c>
      <c r="C252" s="12">
        <v>1081.28</v>
      </c>
      <c r="F252" s="1">
        <v>45536</v>
      </c>
      <c r="G252" t="s">
        <v>29</v>
      </c>
      <c r="H252" s="12">
        <v>1081.28</v>
      </c>
    </row>
    <row r="253" spans="1:8" x14ac:dyDescent="0.3">
      <c r="A253" s="1">
        <v>45577</v>
      </c>
      <c r="B253" t="s">
        <v>28</v>
      </c>
      <c r="C253" s="12">
        <v>1080.96</v>
      </c>
      <c r="F253" s="1">
        <v>45577</v>
      </c>
      <c r="G253" t="s">
        <v>77</v>
      </c>
      <c r="H253" s="12">
        <v>1080.96</v>
      </c>
    </row>
    <row r="254" spans="1:8" x14ac:dyDescent="0.3">
      <c r="A254" s="1">
        <v>45633</v>
      </c>
      <c r="B254" t="s">
        <v>18</v>
      </c>
      <c r="C254" s="12">
        <v>1076.46</v>
      </c>
      <c r="F254" s="1">
        <v>45633</v>
      </c>
      <c r="G254" t="s">
        <v>34</v>
      </c>
      <c r="H254" s="12">
        <v>1076.46</v>
      </c>
    </row>
    <row r="255" spans="1:8" x14ac:dyDescent="0.3">
      <c r="A255" s="1">
        <v>45390</v>
      </c>
      <c r="B255" t="s">
        <v>24</v>
      </c>
      <c r="C255" s="12">
        <v>1070.8800000000001</v>
      </c>
      <c r="F255" s="1">
        <v>45390</v>
      </c>
      <c r="G255" t="s">
        <v>63</v>
      </c>
      <c r="H255" s="12">
        <v>1070.8800000000001</v>
      </c>
    </row>
    <row r="256" spans="1:8" x14ac:dyDescent="0.3">
      <c r="A256" s="1">
        <v>45404</v>
      </c>
      <c r="B256" t="s">
        <v>24</v>
      </c>
      <c r="C256" s="12">
        <v>1067.3399999999999</v>
      </c>
      <c r="F256" s="1">
        <v>45404</v>
      </c>
      <c r="G256" t="s">
        <v>65</v>
      </c>
      <c r="H256" s="12">
        <v>1067.3399999999999</v>
      </c>
    </row>
    <row r="257" spans="1:8" x14ac:dyDescent="0.3">
      <c r="A257" s="1">
        <v>45642</v>
      </c>
      <c r="B257" t="s">
        <v>13</v>
      </c>
      <c r="C257" s="12">
        <v>1064.52</v>
      </c>
      <c r="F257" s="1">
        <v>45642</v>
      </c>
      <c r="G257" t="s">
        <v>47</v>
      </c>
      <c r="H257" s="12">
        <v>1064.52</v>
      </c>
    </row>
    <row r="258" spans="1:8" x14ac:dyDescent="0.3">
      <c r="A258" s="1">
        <v>45521</v>
      </c>
      <c r="B258" t="s">
        <v>37</v>
      </c>
      <c r="C258" s="12">
        <v>1064.25</v>
      </c>
      <c r="F258" s="1">
        <v>45521</v>
      </c>
      <c r="G258" t="s">
        <v>58</v>
      </c>
      <c r="H258" s="12">
        <v>1064.25</v>
      </c>
    </row>
    <row r="259" spans="1:8" x14ac:dyDescent="0.3">
      <c r="A259" s="1">
        <v>45549</v>
      </c>
      <c r="B259" t="s">
        <v>18</v>
      </c>
      <c r="C259" s="12">
        <v>1062.0999999999999</v>
      </c>
      <c r="F259" s="1">
        <v>45549</v>
      </c>
      <c r="G259" t="s">
        <v>34</v>
      </c>
      <c r="H259" s="12">
        <v>1062.0999999999999</v>
      </c>
    </row>
    <row r="260" spans="1:8" x14ac:dyDescent="0.3">
      <c r="A260" s="1">
        <v>45602</v>
      </c>
      <c r="B260" t="s">
        <v>37</v>
      </c>
      <c r="C260" s="12">
        <v>1061.04</v>
      </c>
      <c r="F260" s="1">
        <v>45602</v>
      </c>
      <c r="G260" t="s">
        <v>58</v>
      </c>
      <c r="H260" s="12">
        <v>1061.04</v>
      </c>
    </row>
    <row r="261" spans="1:8" x14ac:dyDescent="0.3">
      <c r="A261" s="1">
        <v>45432</v>
      </c>
      <c r="B261" t="s">
        <v>28</v>
      </c>
      <c r="C261" s="12">
        <v>1057.1600000000001</v>
      </c>
      <c r="F261" s="1">
        <v>45432</v>
      </c>
      <c r="G261" t="s">
        <v>29</v>
      </c>
      <c r="H261" s="12">
        <v>1057.1600000000001</v>
      </c>
    </row>
    <row r="262" spans="1:8" x14ac:dyDescent="0.3">
      <c r="A262" s="1">
        <v>45579</v>
      </c>
      <c r="B262" t="s">
        <v>13</v>
      </c>
      <c r="C262" s="12">
        <v>1057.0500000000002</v>
      </c>
      <c r="F262" s="1">
        <v>45579</v>
      </c>
      <c r="G262" t="s">
        <v>111</v>
      </c>
      <c r="H262" s="12">
        <v>1057.0500000000002</v>
      </c>
    </row>
    <row r="263" spans="1:8" x14ac:dyDescent="0.3">
      <c r="A263" s="1">
        <v>45540</v>
      </c>
      <c r="B263" t="s">
        <v>13</v>
      </c>
      <c r="C263" s="12">
        <v>1056.5999999999999</v>
      </c>
      <c r="F263" s="1">
        <v>45540</v>
      </c>
      <c r="G263" t="s">
        <v>47</v>
      </c>
      <c r="H263" s="12">
        <v>1056.5999999999999</v>
      </c>
    </row>
    <row r="264" spans="1:8" x14ac:dyDescent="0.3">
      <c r="A264" s="1">
        <v>45384</v>
      </c>
      <c r="B264" t="s">
        <v>18</v>
      </c>
      <c r="C264" s="12">
        <v>1054.76</v>
      </c>
      <c r="F264" s="1">
        <v>45384</v>
      </c>
      <c r="G264" t="s">
        <v>87</v>
      </c>
      <c r="H264" s="12">
        <v>1054.76</v>
      </c>
    </row>
    <row r="265" spans="1:8" x14ac:dyDescent="0.3">
      <c r="A265" s="1">
        <v>45685</v>
      </c>
      <c r="B265" t="s">
        <v>28</v>
      </c>
      <c r="C265" s="12">
        <v>1051.92</v>
      </c>
      <c r="F265" s="1">
        <v>45685</v>
      </c>
      <c r="G265" t="s">
        <v>77</v>
      </c>
      <c r="H265" s="12">
        <v>1051.92</v>
      </c>
    </row>
    <row r="266" spans="1:8" x14ac:dyDescent="0.3">
      <c r="A266" s="1">
        <v>45529</v>
      </c>
      <c r="B266" t="s">
        <v>24</v>
      </c>
      <c r="C266" s="12">
        <v>1044.93</v>
      </c>
      <c r="F266" s="1">
        <v>45529</v>
      </c>
      <c r="G266" t="s">
        <v>65</v>
      </c>
      <c r="H266" s="12">
        <v>1044.93</v>
      </c>
    </row>
    <row r="267" spans="1:8" x14ac:dyDescent="0.3">
      <c r="A267" s="1">
        <v>45464</v>
      </c>
      <c r="B267" t="s">
        <v>18</v>
      </c>
      <c r="C267" s="12">
        <v>1044.72</v>
      </c>
      <c r="F267" s="1">
        <v>45464</v>
      </c>
      <c r="G267" t="s">
        <v>34</v>
      </c>
      <c r="H267" s="12">
        <v>1044.72</v>
      </c>
    </row>
    <row r="268" spans="1:8" x14ac:dyDescent="0.3">
      <c r="A268" s="1">
        <v>45531</v>
      </c>
      <c r="B268" t="s">
        <v>13</v>
      </c>
      <c r="C268" s="12">
        <v>1042.95</v>
      </c>
      <c r="F268" s="1">
        <v>45531</v>
      </c>
      <c r="G268" t="s">
        <v>14</v>
      </c>
      <c r="H268" s="12">
        <v>1042.95</v>
      </c>
    </row>
    <row r="269" spans="1:8" x14ac:dyDescent="0.3">
      <c r="A269" s="1">
        <v>45705</v>
      </c>
      <c r="B269" t="s">
        <v>13</v>
      </c>
      <c r="C269" s="12">
        <v>1042.56</v>
      </c>
      <c r="F269" s="1">
        <v>45705</v>
      </c>
      <c r="G269" t="s">
        <v>14</v>
      </c>
      <c r="H269" s="12">
        <v>1042.56</v>
      </c>
    </row>
    <row r="270" spans="1:8" x14ac:dyDescent="0.3">
      <c r="A270" s="1">
        <v>45450</v>
      </c>
      <c r="B270" t="s">
        <v>24</v>
      </c>
      <c r="C270" s="12">
        <v>1040.46</v>
      </c>
      <c r="F270" s="1">
        <v>45450</v>
      </c>
      <c r="G270" t="s">
        <v>63</v>
      </c>
      <c r="H270" s="12">
        <v>1040.46</v>
      </c>
    </row>
    <row r="271" spans="1:8" x14ac:dyDescent="0.3">
      <c r="A271" s="1">
        <v>45474</v>
      </c>
      <c r="B271" t="s">
        <v>13</v>
      </c>
      <c r="C271" s="12">
        <v>1036.4000000000001</v>
      </c>
      <c r="F271" s="1">
        <v>45474</v>
      </c>
      <c r="G271" t="s">
        <v>14</v>
      </c>
      <c r="H271" s="12">
        <v>1036.4000000000001</v>
      </c>
    </row>
    <row r="272" spans="1:8" x14ac:dyDescent="0.3">
      <c r="A272" s="1">
        <v>45699</v>
      </c>
      <c r="B272" t="s">
        <v>28</v>
      </c>
      <c r="C272" s="12">
        <v>1035.54</v>
      </c>
      <c r="F272" s="1">
        <v>45699</v>
      </c>
      <c r="G272" t="s">
        <v>72</v>
      </c>
      <c r="H272" s="12">
        <v>1035.54</v>
      </c>
    </row>
    <row r="273" spans="1:8" x14ac:dyDescent="0.3">
      <c r="A273" s="1">
        <v>45511</v>
      </c>
      <c r="B273" t="s">
        <v>13</v>
      </c>
      <c r="C273" s="12">
        <v>1034.31</v>
      </c>
      <c r="F273" s="1">
        <v>45511</v>
      </c>
      <c r="G273" t="s">
        <v>32</v>
      </c>
      <c r="H273" s="12">
        <v>1034.31</v>
      </c>
    </row>
    <row r="274" spans="1:8" x14ac:dyDescent="0.3">
      <c r="A274" s="1">
        <v>45709</v>
      </c>
      <c r="B274" t="s">
        <v>37</v>
      </c>
      <c r="C274" s="12">
        <v>1031.94</v>
      </c>
      <c r="F274" s="1">
        <v>45709</v>
      </c>
      <c r="G274" t="s">
        <v>68</v>
      </c>
      <c r="H274" s="12">
        <v>1031.94</v>
      </c>
    </row>
    <row r="275" spans="1:8" x14ac:dyDescent="0.3">
      <c r="A275" s="1">
        <v>45592</v>
      </c>
      <c r="B275" t="s">
        <v>24</v>
      </c>
      <c r="C275" s="12">
        <v>1031.3399999999999</v>
      </c>
      <c r="F275" s="1">
        <v>45592</v>
      </c>
      <c r="G275" t="s">
        <v>63</v>
      </c>
      <c r="H275" s="12">
        <v>1031.3399999999999</v>
      </c>
    </row>
    <row r="276" spans="1:8" x14ac:dyDescent="0.3">
      <c r="A276" s="1">
        <v>45682</v>
      </c>
      <c r="B276" t="s">
        <v>28</v>
      </c>
      <c r="C276" s="12">
        <v>1024.72</v>
      </c>
      <c r="F276" s="1">
        <v>45682</v>
      </c>
      <c r="G276" t="s">
        <v>72</v>
      </c>
      <c r="H276" s="12">
        <v>1024.72</v>
      </c>
    </row>
    <row r="277" spans="1:8" x14ac:dyDescent="0.3">
      <c r="A277" s="1">
        <v>45559</v>
      </c>
      <c r="B277" t="s">
        <v>28</v>
      </c>
      <c r="C277" s="12">
        <v>1023.56</v>
      </c>
      <c r="F277" s="1">
        <v>45559</v>
      </c>
      <c r="G277" t="s">
        <v>29</v>
      </c>
      <c r="H277" s="12">
        <v>1023.56</v>
      </c>
    </row>
    <row r="278" spans="1:8" x14ac:dyDescent="0.3">
      <c r="A278" s="1">
        <v>45645</v>
      </c>
      <c r="B278" t="s">
        <v>18</v>
      </c>
      <c r="C278" s="12">
        <v>1019.6500000000001</v>
      </c>
      <c r="F278" s="1">
        <v>45645</v>
      </c>
      <c r="G278" t="s">
        <v>19</v>
      </c>
      <c r="H278" s="12">
        <v>1019.6500000000001</v>
      </c>
    </row>
    <row r="279" spans="1:8" x14ac:dyDescent="0.3">
      <c r="A279" s="1">
        <v>45458</v>
      </c>
      <c r="B279" t="s">
        <v>18</v>
      </c>
      <c r="C279" s="12">
        <v>1005.1800000000001</v>
      </c>
      <c r="F279" s="1">
        <v>45458</v>
      </c>
      <c r="G279" t="s">
        <v>34</v>
      </c>
      <c r="H279" s="12">
        <v>1005.1800000000001</v>
      </c>
    </row>
    <row r="280" spans="1:8" x14ac:dyDescent="0.3">
      <c r="A280" s="1">
        <v>45408</v>
      </c>
      <c r="B280" t="s">
        <v>18</v>
      </c>
      <c r="C280" s="12">
        <v>1004.1299999999999</v>
      </c>
      <c r="F280" s="1">
        <v>45408</v>
      </c>
      <c r="G280" t="s">
        <v>19</v>
      </c>
      <c r="H280" s="12">
        <v>1004.1299999999999</v>
      </c>
    </row>
    <row r="281" spans="1:8" x14ac:dyDescent="0.3">
      <c r="A281" s="1">
        <v>45545</v>
      </c>
      <c r="B281" t="s">
        <v>24</v>
      </c>
      <c r="C281" s="12">
        <v>1004.01</v>
      </c>
      <c r="F281" s="1">
        <v>45545</v>
      </c>
      <c r="G281" t="s">
        <v>44</v>
      </c>
      <c r="H281" s="12">
        <v>1004.01</v>
      </c>
    </row>
    <row r="282" spans="1:8" x14ac:dyDescent="0.3">
      <c r="A282" s="1">
        <v>45481</v>
      </c>
      <c r="B282" t="s">
        <v>13</v>
      </c>
      <c r="C282" s="12">
        <v>1002.2</v>
      </c>
      <c r="F282" s="1">
        <v>45481</v>
      </c>
      <c r="G282" t="s">
        <v>14</v>
      </c>
      <c r="H282" s="12">
        <v>1002.2</v>
      </c>
    </row>
    <row r="283" spans="1:8" x14ac:dyDescent="0.3">
      <c r="A283" s="1">
        <v>45680</v>
      </c>
      <c r="B283" t="s">
        <v>28</v>
      </c>
      <c r="C283" s="12">
        <v>999</v>
      </c>
      <c r="F283" s="1">
        <v>45680</v>
      </c>
      <c r="G283" t="s">
        <v>51</v>
      </c>
      <c r="H283" s="12">
        <v>999</v>
      </c>
    </row>
    <row r="284" spans="1:8" x14ac:dyDescent="0.3">
      <c r="A284" s="1">
        <v>45733</v>
      </c>
      <c r="B284" t="s">
        <v>18</v>
      </c>
      <c r="C284" s="12">
        <v>996.75</v>
      </c>
      <c r="F284" s="1">
        <v>45733</v>
      </c>
      <c r="G284" t="s">
        <v>19</v>
      </c>
      <c r="H284" s="12">
        <v>996.75</v>
      </c>
    </row>
    <row r="285" spans="1:8" x14ac:dyDescent="0.3">
      <c r="A285" s="1">
        <v>45615</v>
      </c>
      <c r="B285" t="s">
        <v>13</v>
      </c>
      <c r="C285" s="12">
        <v>993.86</v>
      </c>
      <c r="F285" s="1">
        <v>45615</v>
      </c>
      <c r="G285" t="s">
        <v>32</v>
      </c>
      <c r="H285" s="12">
        <v>993.86</v>
      </c>
    </row>
    <row r="286" spans="1:8" x14ac:dyDescent="0.3">
      <c r="A286" s="1">
        <v>45386</v>
      </c>
      <c r="B286" t="s">
        <v>18</v>
      </c>
      <c r="C286" s="12">
        <v>989.62</v>
      </c>
      <c r="F286" s="1">
        <v>45386</v>
      </c>
      <c r="G286" t="s">
        <v>19</v>
      </c>
      <c r="H286" s="12">
        <v>989.62</v>
      </c>
    </row>
    <row r="287" spans="1:8" x14ac:dyDescent="0.3">
      <c r="A287" s="1">
        <v>45381</v>
      </c>
      <c r="B287" t="s">
        <v>37</v>
      </c>
      <c r="C287" s="12">
        <v>989</v>
      </c>
      <c r="F287" s="1">
        <v>45381</v>
      </c>
      <c r="G287" t="s">
        <v>58</v>
      </c>
      <c r="H287" s="12">
        <v>989</v>
      </c>
    </row>
    <row r="288" spans="1:8" x14ac:dyDescent="0.3">
      <c r="A288" s="1">
        <v>45440</v>
      </c>
      <c r="B288" t="s">
        <v>37</v>
      </c>
      <c r="C288" s="12">
        <v>987.9</v>
      </c>
      <c r="F288" s="1">
        <v>45440</v>
      </c>
      <c r="G288" t="s">
        <v>40</v>
      </c>
      <c r="H288" s="12">
        <v>987.9</v>
      </c>
    </row>
    <row r="289" spans="1:8" x14ac:dyDescent="0.3">
      <c r="A289" s="1">
        <v>45618</v>
      </c>
      <c r="B289" t="s">
        <v>13</v>
      </c>
      <c r="C289" s="12">
        <v>984.35</v>
      </c>
      <c r="F289" s="1">
        <v>45618</v>
      </c>
      <c r="G289" t="s">
        <v>111</v>
      </c>
      <c r="H289" s="12">
        <v>984.35</v>
      </c>
    </row>
    <row r="290" spans="1:8" x14ac:dyDescent="0.3">
      <c r="A290" s="1">
        <v>45472</v>
      </c>
      <c r="B290" t="s">
        <v>13</v>
      </c>
      <c r="C290" s="12">
        <v>983.94</v>
      </c>
      <c r="F290" s="1">
        <v>45472</v>
      </c>
      <c r="G290" t="s">
        <v>111</v>
      </c>
      <c r="H290" s="12">
        <v>983.94</v>
      </c>
    </row>
    <row r="291" spans="1:8" x14ac:dyDescent="0.3">
      <c r="A291" s="1">
        <v>45623</v>
      </c>
      <c r="B291" t="s">
        <v>28</v>
      </c>
      <c r="C291" s="12">
        <v>982.6</v>
      </c>
      <c r="F291" s="1">
        <v>45623</v>
      </c>
      <c r="G291" t="s">
        <v>77</v>
      </c>
      <c r="H291" s="12">
        <v>982.6</v>
      </c>
    </row>
    <row r="292" spans="1:8" x14ac:dyDescent="0.3">
      <c r="A292" s="1">
        <v>45577</v>
      </c>
      <c r="B292" t="s">
        <v>13</v>
      </c>
      <c r="C292" s="12">
        <v>981.90000000000009</v>
      </c>
      <c r="F292" s="1">
        <v>45577</v>
      </c>
      <c r="G292" t="s">
        <v>42</v>
      </c>
      <c r="H292" s="12">
        <v>981.90000000000009</v>
      </c>
    </row>
    <row r="293" spans="1:8" x14ac:dyDescent="0.3">
      <c r="A293" s="1">
        <v>45467</v>
      </c>
      <c r="B293" t="s">
        <v>18</v>
      </c>
      <c r="C293" s="12">
        <v>979.65000000000009</v>
      </c>
      <c r="F293" s="1">
        <v>45467</v>
      </c>
      <c r="G293" t="s">
        <v>19</v>
      </c>
      <c r="H293" s="12">
        <v>979.65000000000009</v>
      </c>
    </row>
    <row r="294" spans="1:8" x14ac:dyDescent="0.3">
      <c r="A294" s="1">
        <v>45453</v>
      </c>
      <c r="B294" t="s">
        <v>24</v>
      </c>
      <c r="C294" s="12">
        <v>979.11</v>
      </c>
      <c r="F294" s="1">
        <v>45453</v>
      </c>
      <c r="G294" t="s">
        <v>63</v>
      </c>
      <c r="H294" s="12">
        <v>979.11</v>
      </c>
    </row>
    <row r="295" spans="1:8" x14ac:dyDescent="0.3">
      <c r="A295" s="1">
        <v>45680</v>
      </c>
      <c r="B295" t="s">
        <v>37</v>
      </c>
      <c r="C295" s="12">
        <v>975.86</v>
      </c>
      <c r="F295" s="1">
        <v>45680</v>
      </c>
      <c r="G295" t="s">
        <v>95</v>
      </c>
      <c r="H295" s="12">
        <v>975.86</v>
      </c>
    </row>
    <row r="296" spans="1:8" x14ac:dyDescent="0.3">
      <c r="A296" s="1">
        <v>45565</v>
      </c>
      <c r="B296" t="s">
        <v>18</v>
      </c>
      <c r="C296" s="12">
        <v>974.15000000000009</v>
      </c>
      <c r="F296" s="1">
        <v>45565</v>
      </c>
      <c r="G296" t="s">
        <v>19</v>
      </c>
      <c r="H296" s="12">
        <v>974.15000000000009</v>
      </c>
    </row>
    <row r="297" spans="1:8" x14ac:dyDescent="0.3">
      <c r="A297" s="1">
        <v>45579</v>
      </c>
      <c r="B297" t="s">
        <v>13</v>
      </c>
      <c r="C297" s="12">
        <v>972.2</v>
      </c>
      <c r="F297" s="1">
        <v>45579</v>
      </c>
      <c r="G297" t="s">
        <v>47</v>
      </c>
      <c r="H297" s="12">
        <v>972.2</v>
      </c>
    </row>
    <row r="298" spans="1:8" x14ac:dyDescent="0.3">
      <c r="A298" s="1">
        <v>45597</v>
      </c>
      <c r="B298" t="s">
        <v>28</v>
      </c>
      <c r="C298" s="12">
        <v>971.35</v>
      </c>
      <c r="F298" s="1">
        <v>45597</v>
      </c>
      <c r="G298" t="s">
        <v>72</v>
      </c>
      <c r="H298" s="12">
        <v>971.35</v>
      </c>
    </row>
    <row r="299" spans="1:8" x14ac:dyDescent="0.3">
      <c r="A299" s="1">
        <v>45563</v>
      </c>
      <c r="B299" t="s">
        <v>24</v>
      </c>
      <c r="C299" s="12">
        <v>969.86</v>
      </c>
      <c r="F299" s="1">
        <v>45563</v>
      </c>
      <c r="G299" t="s">
        <v>65</v>
      </c>
      <c r="H299" s="12">
        <v>969.86</v>
      </c>
    </row>
    <row r="300" spans="1:8" x14ac:dyDescent="0.3">
      <c r="A300" s="1">
        <v>45474</v>
      </c>
      <c r="B300" t="s">
        <v>28</v>
      </c>
      <c r="C300" s="12">
        <v>967.92</v>
      </c>
      <c r="F300" s="1">
        <v>45474</v>
      </c>
      <c r="G300" t="s">
        <v>29</v>
      </c>
      <c r="H300" s="12">
        <v>967.92</v>
      </c>
    </row>
    <row r="301" spans="1:8" x14ac:dyDescent="0.3">
      <c r="A301" s="1">
        <v>45557</v>
      </c>
      <c r="B301" t="s">
        <v>13</v>
      </c>
      <c r="C301" s="12">
        <v>965.45</v>
      </c>
      <c r="F301" s="1">
        <v>45557</v>
      </c>
      <c r="G301" t="s">
        <v>42</v>
      </c>
      <c r="H301" s="12">
        <v>965.45</v>
      </c>
    </row>
    <row r="302" spans="1:8" x14ac:dyDescent="0.3">
      <c r="A302" s="1">
        <v>45433</v>
      </c>
      <c r="B302" t="s">
        <v>24</v>
      </c>
      <c r="C302" s="12">
        <v>964</v>
      </c>
      <c r="F302" s="1">
        <v>45433</v>
      </c>
      <c r="G302" t="s">
        <v>63</v>
      </c>
      <c r="H302" s="12">
        <v>964</v>
      </c>
    </row>
    <row r="303" spans="1:8" x14ac:dyDescent="0.3">
      <c r="A303" s="1">
        <v>45591</v>
      </c>
      <c r="B303" t="s">
        <v>13</v>
      </c>
      <c r="C303" s="12">
        <v>963.21</v>
      </c>
      <c r="F303" s="1">
        <v>45591</v>
      </c>
      <c r="G303" t="s">
        <v>32</v>
      </c>
      <c r="H303" s="12">
        <v>963.21</v>
      </c>
    </row>
    <row r="304" spans="1:8" x14ac:dyDescent="0.3">
      <c r="A304" s="1">
        <v>45559</v>
      </c>
      <c r="B304" t="s">
        <v>13</v>
      </c>
      <c r="C304" s="12">
        <v>961.58</v>
      </c>
      <c r="F304" s="1">
        <v>45559</v>
      </c>
      <c r="G304" t="s">
        <v>32</v>
      </c>
      <c r="H304" s="12">
        <v>961.58</v>
      </c>
    </row>
    <row r="305" spans="1:8" x14ac:dyDescent="0.3">
      <c r="A305" s="1">
        <v>45681</v>
      </c>
      <c r="B305" t="s">
        <v>18</v>
      </c>
      <c r="C305" s="12">
        <v>955.31999999999994</v>
      </c>
      <c r="F305" s="1">
        <v>45681</v>
      </c>
      <c r="G305" t="s">
        <v>22</v>
      </c>
      <c r="H305" s="12">
        <v>955.31999999999994</v>
      </c>
    </row>
    <row r="306" spans="1:8" x14ac:dyDescent="0.3">
      <c r="A306" s="1">
        <v>45634</v>
      </c>
      <c r="B306" t="s">
        <v>24</v>
      </c>
      <c r="C306" s="12">
        <v>951.54</v>
      </c>
      <c r="F306" s="1">
        <v>45634</v>
      </c>
      <c r="G306" t="s">
        <v>49</v>
      </c>
      <c r="H306" s="12">
        <v>951.54</v>
      </c>
    </row>
    <row r="307" spans="1:8" x14ac:dyDescent="0.3">
      <c r="A307" s="1">
        <v>45454</v>
      </c>
      <c r="B307" t="s">
        <v>18</v>
      </c>
      <c r="C307" s="12">
        <v>948.6</v>
      </c>
      <c r="F307" s="1">
        <v>45454</v>
      </c>
      <c r="G307" t="s">
        <v>87</v>
      </c>
      <c r="H307" s="12">
        <v>948.6</v>
      </c>
    </row>
    <row r="308" spans="1:8" x14ac:dyDescent="0.3">
      <c r="A308" s="1">
        <v>45680</v>
      </c>
      <c r="B308" t="s">
        <v>24</v>
      </c>
      <c r="C308" s="12">
        <v>947.14</v>
      </c>
      <c r="F308" s="1">
        <v>45680</v>
      </c>
      <c r="G308" t="s">
        <v>65</v>
      </c>
      <c r="H308" s="12">
        <v>947.14</v>
      </c>
    </row>
    <row r="309" spans="1:8" x14ac:dyDescent="0.3">
      <c r="A309" s="1">
        <v>45396</v>
      </c>
      <c r="B309" t="s">
        <v>24</v>
      </c>
      <c r="C309" s="12">
        <v>943.24</v>
      </c>
      <c r="F309" s="1">
        <v>45396</v>
      </c>
      <c r="G309" t="s">
        <v>49</v>
      </c>
      <c r="H309" s="12">
        <v>943.24</v>
      </c>
    </row>
    <row r="310" spans="1:8" x14ac:dyDescent="0.3">
      <c r="A310" s="1">
        <v>45554</v>
      </c>
      <c r="B310" t="s">
        <v>13</v>
      </c>
      <c r="C310" s="12">
        <v>942.24</v>
      </c>
      <c r="F310" s="1">
        <v>45554</v>
      </c>
      <c r="G310" t="s">
        <v>111</v>
      </c>
      <c r="H310" s="12">
        <v>942.24</v>
      </c>
    </row>
    <row r="311" spans="1:8" x14ac:dyDescent="0.3">
      <c r="A311" s="1">
        <v>45420</v>
      </c>
      <c r="B311" t="s">
        <v>37</v>
      </c>
      <c r="C311" s="12">
        <v>940.16</v>
      </c>
      <c r="F311" s="1">
        <v>45420</v>
      </c>
      <c r="G311" t="s">
        <v>58</v>
      </c>
      <c r="H311" s="12">
        <v>940.16</v>
      </c>
    </row>
    <row r="312" spans="1:8" x14ac:dyDescent="0.3">
      <c r="A312" s="1">
        <v>45687</v>
      </c>
      <c r="B312" t="s">
        <v>37</v>
      </c>
      <c r="C312" s="12">
        <v>938.66</v>
      </c>
      <c r="F312" s="1">
        <v>45687</v>
      </c>
      <c r="G312" t="s">
        <v>40</v>
      </c>
      <c r="H312" s="12">
        <v>938.66</v>
      </c>
    </row>
    <row r="313" spans="1:8" x14ac:dyDescent="0.3">
      <c r="A313" s="1">
        <v>45497</v>
      </c>
      <c r="B313" t="s">
        <v>13</v>
      </c>
      <c r="C313" s="12">
        <v>938.61</v>
      </c>
      <c r="F313" s="1">
        <v>45497</v>
      </c>
      <c r="G313" t="s">
        <v>111</v>
      </c>
      <c r="H313" s="12">
        <v>938.61</v>
      </c>
    </row>
    <row r="314" spans="1:8" x14ac:dyDescent="0.3">
      <c r="A314" s="1">
        <v>45412</v>
      </c>
      <c r="B314" t="s">
        <v>24</v>
      </c>
      <c r="C314" s="12">
        <v>936.51</v>
      </c>
      <c r="F314" s="1">
        <v>45412</v>
      </c>
      <c r="G314" t="s">
        <v>65</v>
      </c>
      <c r="H314" s="12">
        <v>936.51</v>
      </c>
    </row>
    <row r="315" spans="1:8" x14ac:dyDescent="0.3">
      <c r="A315" s="1">
        <v>45619</v>
      </c>
      <c r="B315" t="s">
        <v>24</v>
      </c>
      <c r="C315" s="12">
        <v>936.16</v>
      </c>
      <c r="F315" s="1">
        <v>45619</v>
      </c>
      <c r="G315" t="s">
        <v>65</v>
      </c>
      <c r="H315" s="12">
        <v>936.16</v>
      </c>
    </row>
    <row r="316" spans="1:8" x14ac:dyDescent="0.3">
      <c r="A316" s="1">
        <v>45638</v>
      </c>
      <c r="B316" t="s">
        <v>18</v>
      </c>
      <c r="C316" s="12">
        <v>932.48</v>
      </c>
      <c r="F316" s="1">
        <v>45638</v>
      </c>
      <c r="G316" t="s">
        <v>84</v>
      </c>
      <c r="H316" s="12">
        <v>932.48</v>
      </c>
    </row>
    <row r="317" spans="1:8" x14ac:dyDescent="0.3">
      <c r="A317" s="1">
        <v>45456</v>
      </c>
      <c r="B317" t="s">
        <v>13</v>
      </c>
      <c r="C317" s="12">
        <v>932.09999999999991</v>
      </c>
      <c r="F317" s="1">
        <v>45456</v>
      </c>
      <c r="G317" t="s">
        <v>32</v>
      </c>
      <c r="H317" s="12">
        <v>932.09999999999991</v>
      </c>
    </row>
    <row r="318" spans="1:8" x14ac:dyDescent="0.3">
      <c r="A318" s="1">
        <v>45551</v>
      </c>
      <c r="B318" t="s">
        <v>18</v>
      </c>
      <c r="C318" s="12">
        <v>931.17</v>
      </c>
      <c r="F318" s="1">
        <v>45551</v>
      </c>
      <c r="G318" t="s">
        <v>87</v>
      </c>
      <c r="H318" s="12">
        <v>931.17</v>
      </c>
    </row>
    <row r="319" spans="1:8" x14ac:dyDescent="0.3">
      <c r="A319" s="1">
        <v>45715</v>
      </c>
      <c r="B319" t="s">
        <v>13</v>
      </c>
      <c r="C319" s="12">
        <v>928.25</v>
      </c>
      <c r="F319" s="1">
        <v>45715</v>
      </c>
      <c r="G319" t="s">
        <v>111</v>
      </c>
      <c r="H319" s="12">
        <v>928.25</v>
      </c>
    </row>
    <row r="320" spans="1:8" x14ac:dyDescent="0.3">
      <c r="A320" s="1">
        <v>45465</v>
      </c>
      <c r="B320" t="s">
        <v>28</v>
      </c>
      <c r="C320" s="12">
        <v>921.5</v>
      </c>
      <c r="F320" s="1">
        <v>45465</v>
      </c>
      <c r="G320" t="s">
        <v>77</v>
      </c>
      <c r="H320" s="12">
        <v>921.5</v>
      </c>
    </row>
    <row r="321" spans="1:8" x14ac:dyDescent="0.3">
      <c r="A321" s="1">
        <v>45672</v>
      </c>
      <c r="B321" t="s">
        <v>13</v>
      </c>
      <c r="C321" s="12">
        <v>921.35</v>
      </c>
      <c r="F321" s="1">
        <v>45672</v>
      </c>
      <c r="G321" t="s">
        <v>32</v>
      </c>
      <c r="H321" s="12">
        <v>921.35</v>
      </c>
    </row>
    <row r="322" spans="1:8" x14ac:dyDescent="0.3">
      <c r="A322" s="1">
        <v>45501</v>
      </c>
      <c r="B322" t="s">
        <v>13</v>
      </c>
      <c r="C322" s="12">
        <v>919.54</v>
      </c>
      <c r="F322" s="1">
        <v>45501</v>
      </c>
      <c r="G322" t="s">
        <v>111</v>
      </c>
      <c r="H322" s="12">
        <v>919.54</v>
      </c>
    </row>
    <row r="323" spans="1:8" x14ac:dyDescent="0.3">
      <c r="A323" s="1">
        <v>45519</v>
      </c>
      <c r="B323" t="s">
        <v>24</v>
      </c>
      <c r="C323" s="12">
        <v>915.24</v>
      </c>
      <c r="F323" s="1">
        <v>45519</v>
      </c>
      <c r="G323" t="s">
        <v>25</v>
      </c>
      <c r="H323" s="12">
        <v>915.24</v>
      </c>
    </row>
    <row r="324" spans="1:8" x14ac:dyDescent="0.3">
      <c r="A324" s="1">
        <v>45449</v>
      </c>
      <c r="B324" t="s">
        <v>18</v>
      </c>
      <c r="C324" s="12">
        <v>911.94999999999993</v>
      </c>
      <c r="F324" s="1">
        <v>45449</v>
      </c>
      <c r="G324" t="s">
        <v>34</v>
      </c>
      <c r="H324" s="12">
        <v>911.94999999999993</v>
      </c>
    </row>
    <row r="325" spans="1:8" x14ac:dyDescent="0.3">
      <c r="A325" s="1">
        <v>45426</v>
      </c>
      <c r="B325" t="s">
        <v>13</v>
      </c>
      <c r="C325" s="12">
        <v>911.2</v>
      </c>
      <c r="F325" s="1">
        <v>45426</v>
      </c>
      <c r="G325" t="s">
        <v>32</v>
      </c>
      <c r="H325" s="12">
        <v>911.2</v>
      </c>
    </row>
    <row r="326" spans="1:8" x14ac:dyDescent="0.3">
      <c r="A326" s="1">
        <v>45656</v>
      </c>
      <c r="B326" t="s">
        <v>18</v>
      </c>
      <c r="C326" s="12">
        <v>910.44</v>
      </c>
      <c r="F326" s="1">
        <v>45656</v>
      </c>
      <c r="G326" t="s">
        <v>19</v>
      </c>
      <c r="H326" s="12">
        <v>910.44</v>
      </c>
    </row>
    <row r="327" spans="1:8" x14ac:dyDescent="0.3">
      <c r="A327" s="1">
        <v>45679</v>
      </c>
      <c r="B327" t="s">
        <v>28</v>
      </c>
      <c r="C327" s="12">
        <v>905.8</v>
      </c>
      <c r="F327" s="1">
        <v>45679</v>
      </c>
      <c r="G327" t="s">
        <v>79</v>
      </c>
      <c r="H327" s="12">
        <v>905.8</v>
      </c>
    </row>
    <row r="328" spans="1:8" x14ac:dyDescent="0.3">
      <c r="A328" s="1">
        <v>45685</v>
      </c>
      <c r="B328" t="s">
        <v>28</v>
      </c>
      <c r="C328" s="12">
        <v>905.2</v>
      </c>
      <c r="F328" s="1">
        <v>45685</v>
      </c>
      <c r="G328" t="s">
        <v>51</v>
      </c>
      <c r="H328" s="12">
        <v>905.2</v>
      </c>
    </row>
    <row r="329" spans="1:8" x14ac:dyDescent="0.3">
      <c r="A329" s="1">
        <v>45534</v>
      </c>
      <c r="B329" t="s">
        <v>13</v>
      </c>
      <c r="C329" s="12">
        <v>904.92</v>
      </c>
      <c r="F329" s="1">
        <v>45534</v>
      </c>
      <c r="G329" t="s">
        <v>47</v>
      </c>
      <c r="H329" s="12">
        <v>904.92</v>
      </c>
    </row>
    <row r="330" spans="1:8" x14ac:dyDescent="0.3">
      <c r="A330" s="1">
        <v>45720</v>
      </c>
      <c r="B330" t="s">
        <v>28</v>
      </c>
      <c r="C330" s="12">
        <v>904.4</v>
      </c>
      <c r="F330" s="1">
        <v>45720</v>
      </c>
      <c r="G330" t="s">
        <v>29</v>
      </c>
      <c r="H330" s="12">
        <v>904.4</v>
      </c>
    </row>
    <row r="331" spans="1:8" x14ac:dyDescent="0.3">
      <c r="A331" s="1">
        <v>45559</v>
      </c>
      <c r="B331" t="s">
        <v>18</v>
      </c>
      <c r="C331" s="12">
        <v>903.32</v>
      </c>
      <c r="F331" s="1">
        <v>45559</v>
      </c>
      <c r="G331" t="s">
        <v>87</v>
      </c>
      <c r="H331" s="12">
        <v>903.32</v>
      </c>
    </row>
    <row r="332" spans="1:8" x14ac:dyDescent="0.3">
      <c r="A332" s="1">
        <v>45732</v>
      </c>
      <c r="B332" t="s">
        <v>13</v>
      </c>
      <c r="C332" s="12">
        <v>903.21</v>
      </c>
      <c r="F332" s="1">
        <v>45732</v>
      </c>
      <c r="G332" t="s">
        <v>111</v>
      </c>
      <c r="H332" s="12">
        <v>903.21</v>
      </c>
    </row>
    <row r="333" spans="1:8" x14ac:dyDescent="0.3">
      <c r="A333" s="1">
        <v>45399</v>
      </c>
      <c r="B333" t="s">
        <v>28</v>
      </c>
      <c r="C333" s="12">
        <v>900.54</v>
      </c>
      <c r="F333" s="1">
        <v>45399</v>
      </c>
      <c r="G333" t="s">
        <v>29</v>
      </c>
      <c r="H333" s="12">
        <v>900.54</v>
      </c>
    </row>
    <row r="334" spans="1:8" x14ac:dyDescent="0.3">
      <c r="A334" s="1">
        <v>45571</v>
      </c>
      <c r="B334" t="s">
        <v>13</v>
      </c>
      <c r="C334" s="12">
        <v>900.36</v>
      </c>
      <c r="F334" s="1">
        <v>45571</v>
      </c>
      <c r="G334" t="s">
        <v>32</v>
      </c>
      <c r="H334" s="12">
        <v>900.36</v>
      </c>
    </row>
    <row r="335" spans="1:8" x14ac:dyDescent="0.3">
      <c r="A335" s="1">
        <v>45490</v>
      </c>
      <c r="B335" t="s">
        <v>28</v>
      </c>
      <c r="C335" s="12">
        <v>899.59999999999991</v>
      </c>
      <c r="F335" s="1">
        <v>45490</v>
      </c>
      <c r="G335" t="s">
        <v>79</v>
      </c>
      <c r="H335" s="12">
        <v>899.59999999999991</v>
      </c>
    </row>
    <row r="336" spans="1:8" x14ac:dyDescent="0.3">
      <c r="A336" s="1">
        <v>45375</v>
      </c>
      <c r="B336" t="s">
        <v>37</v>
      </c>
      <c r="C336" s="12">
        <v>894.81</v>
      </c>
      <c r="F336" s="1">
        <v>45375</v>
      </c>
      <c r="G336" t="s">
        <v>38</v>
      </c>
      <c r="H336" s="12">
        <v>894.81</v>
      </c>
    </row>
    <row r="337" spans="1:8" x14ac:dyDescent="0.3">
      <c r="A337" s="1">
        <v>45472</v>
      </c>
      <c r="B337" t="s">
        <v>18</v>
      </c>
      <c r="C337" s="12">
        <v>891.99</v>
      </c>
      <c r="F337" s="1">
        <v>45472</v>
      </c>
      <c r="G337" t="s">
        <v>87</v>
      </c>
      <c r="H337" s="12">
        <v>891.99</v>
      </c>
    </row>
    <row r="338" spans="1:8" x14ac:dyDescent="0.3">
      <c r="A338" s="1">
        <v>45389</v>
      </c>
      <c r="B338" t="s">
        <v>37</v>
      </c>
      <c r="C338" s="12">
        <v>891</v>
      </c>
      <c r="F338" s="1">
        <v>45389</v>
      </c>
      <c r="G338" t="s">
        <v>38</v>
      </c>
      <c r="H338" s="12">
        <v>891</v>
      </c>
    </row>
    <row r="339" spans="1:8" x14ac:dyDescent="0.3">
      <c r="A339" s="1">
        <v>45614</v>
      </c>
      <c r="B339" t="s">
        <v>18</v>
      </c>
      <c r="C339" s="12">
        <v>888.4</v>
      </c>
      <c r="F339" s="1">
        <v>45614</v>
      </c>
      <c r="G339" t="s">
        <v>19</v>
      </c>
      <c r="H339" s="12">
        <v>888.4</v>
      </c>
    </row>
    <row r="340" spans="1:8" x14ac:dyDescent="0.3">
      <c r="A340" s="1">
        <v>45467</v>
      </c>
      <c r="B340" t="s">
        <v>13</v>
      </c>
      <c r="C340" s="12">
        <v>887.01</v>
      </c>
      <c r="F340" s="1">
        <v>45467</v>
      </c>
      <c r="G340" t="s">
        <v>32</v>
      </c>
      <c r="H340" s="12">
        <v>887.01</v>
      </c>
    </row>
    <row r="341" spans="1:8" x14ac:dyDescent="0.3">
      <c r="A341" s="1">
        <v>45695</v>
      </c>
      <c r="B341" t="s">
        <v>24</v>
      </c>
      <c r="C341" s="12">
        <v>886.98</v>
      </c>
      <c r="F341" s="1">
        <v>45695</v>
      </c>
      <c r="G341" t="s">
        <v>49</v>
      </c>
      <c r="H341" s="12">
        <v>886.98</v>
      </c>
    </row>
    <row r="342" spans="1:8" x14ac:dyDescent="0.3">
      <c r="A342" s="1">
        <v>45552</v>
      </c>
      <c r="B342" t="s">
        <v>13</v>
      </c>
      <c r="C342" s="12">
        <v>886.16</v>
      </c>
      <c r="F342" s="1">
        <v>45552</v>
      </c>
      <c r="G342" t="s">
        <v>47</v>
      </c>
      <c r="H342" s="12">
        <v>886.16</v>
      </c>
    </row>
    <row r="343" spans="1:8" x14ac:dyDescent="0.3">
      <c r="A343" s="1">
        <v>45519</v>
      </c>
      <c r="B343" t="s">
        <v>24</v>
      </c>
      <c r="C343" s="12">
        <v>878.22</v>
      </c>
      <c r="F343" s="1">
        <v>45519</v>
      </c>
      <c r="G343" t="s">
        <v>63</v>
      </c>
      <c r="H343" s="12">
        <v>878.22</v>
      </c>
    </row>
    <row r="344" spans="1:8" x14ac:dyDescent="0.3">
      <c r="A344" s="1">
        <v>45534</v>
      </c>
      <c r="B344" t="s">
        <v>37</v>
      </c>
      <c r="C344" s="12">
        <v>877.5</v>
      </c>
      <c r="F344" s="1">
        <v>45534</v>
      </c>
      <c r="G344" t="s">
        <v>95</v>
      </c>
      <c r="H344" s="12">
        <v>877.5</v>
      </c>
    </row>
    <row r="345" spans="1:8" x14ac:dyDescent="0.3">
      <c r="A345" s="1">
        <v>45559</v>
      </c>
      <c r="B345" t="s">
        <v>18</v>
      </c>
      <c r="C345" s="12">
        <v>874.15000000000009</v>
      </c>
      <c r="F345" s="1">
        <v>45559</v>
      </c>
      <c r="G345" t="s">
        <v>84</v>
      </c>
      <c r="H345" s="12">
        <v>874.15000000000009</v>
      </c>
    </row>
    <row r="346" spans="1:8" x14ac:dyDescent="0.3">
      <c r="A346" s="1">
        <v>45686</v>
      </c>
      <c r="B346" t="s">
        <v>24</v>
      </c>
      <c r="C346" s="12">
        <v>872.4</v>
      </c>
      <c r="F346" s="1">
        <v>45686</v>
      </c>
      <c r="G346" t="s">
        <v>63</v>
      </c>
      <c r="H346" s="12">
        <v>872.4</v>
      </c>
    </row>
    <row r="347" spans="1:8" x14ac:dyDescent="0.3">
      <c r="A347" s="1">
        <v>45637</v>
      </c>
      <c r="B347" t="s">
        <v>28</v>
      </c>
      <c r="C347" s="12">
        <v>867.66</v>
      </c>
      <c r="F347" s="1">
        <v>45637</v>
      </c>
      <c r="G347" t="s">
        <v>77</v>
      </c>
      <c r="H347" s="12">
        <v>867.66</v>
      </c>
    </row>
    <row r="348" spans="1:8" x14ac:dyDescent="0.3">
      <c r="A348" s="1">
        <v>45683</v>
      </c>
      <c r="B348" t="s">
        <v>18</v>
      </c>
      <c r="C348" s="12">
        <v>867.34</v>
      </c>
      <c r="F348" s="1">
        <v>45683</v>
      </c>
      <c r="G348" t="s">
        <v>19</v>
      </c>
      <c r="H348" s="12">
        <v>867.34</v>
      </c>
    </row>
    <row r="349" spans="1:8" x14ac:dyDescent="0.3">
      <c r="A349" s="1">
        <v>45516</v>
      </c>
      <c r="B349" t="s">
        <v>28</v>
      </c>
      <c r="C349" s="12">
        <v>866.76</v>
      </c>
      <c r="F349" s="1">
        <v>45516</v>
      </c>
      <c r="G349" t="s">
        <v>72</v>
      </c>
      <c r="H349" s="12">
        <v>866.76</v>
      </c>
    </row>
    <row r="350" spans="1:8" x14ac:dyDescent="0.3">
      <c r="A350" s="1">
        <v>45542</v>
      </c>
      <c r="B350" t="s">
        <v>28</v>
      </c>
      <c r="C350" s="12">
        <v>864.12</v>
      </c>
      <c r="F350" s="1">
        <v>45542</v>
      </c>
      <c r="G350" t="s">
        <v>72</v>
      </c>
      <c r="H350" s="12">
        <v>864.12</v>
      </c>
    </row>
    <row r="351" spans="1:8" x14ac:dyDescent="0.3">
      <c r="A351" s="1">
        <v>45656</v>
      </c>
      <c r="B351" t="s">
        <v>13</v>
      </c>
      <c r="C351" s="12">
        <v>858.03</v>
      </c>
      <c r="F351" s="1">
        <v>45656</v>
      </c>
      <c r="G351" t="s">
        <v>42</v>
      </c>
      <c r="H351" s="12">
        <v>858.03</v>
      </c>
    </row>
    <row r="352" spans="1:8" x14ac:dyDescent="0.3">
      <c r="A352" s="1">
        <v>45399</v>
      </c>
      <c r="B352" t="s">
        <v>37</v>
      </c>
      <c r="C352" s="12">
        <v>857.75</v>
      </c>
      <c r="F352" s="1">
        <v>45399</v>
      </c>
      <c r="G352" t="s">
        <v>38</v>
      </c>
      <c r="H352" s="12">
        <v>857.75</v>
      </c>
    </row>
    <row r="353" spans="1:8" x14ac:dyDescent="0.3">
      <c r="A353" s="1">
        <v>45428</v>
      </c>
      <c r="B353" t="s">
        <v>18</v>
      </c>
      <c r="C353" s="12">
        <v>855.04</v>
      </c>
      <c r="F353" s="1">
        <v>45428</v>
      </c>
      <c r="G353" t="s">
        <v>34</v>
      </c>
      <c r="H353" s="12">
        <v>855.04</v>
      </c>
    </row>
    <row r="354" spans="1:8" x14ac:dyDescent="0.3">
      <c r="A354" s="1">
        <v>45633</v>
      </c>
      <c r="B354" t="s">
        <v>24</v>
      </c>
      <c r="C354" s="12">
        <v>853.41000000000008</v>
      </c>
      <c r="F354" s="1">
        <v>45633</v>
      </c>
      <c r="G354" t="s">
        <v>44</v>
      </c>
      <c r="H354" s="12">
        <v>853.41000000000008</v>
      </c>
    </row>
    <row r="355" spans="1:8" x14ac:dyDescent="0.3">
      <c r="A355" s="1">
        <v>45641</v>
      </c>
      <c r="B355" t="s">
        <v>13</v>
      </c>
      <c r="C355" s="12">
        <v>846.44</v>
      </c>
      <c r="F355" s="1">
        <v>45641</v>
      </c>
      <c r="G355" t="s">
        <v>32</v>
      </c>
      <c r="H355" s="12">
        <v>846.44</v>
      </c>
    </row>
    <row r="356" spans="1:8" x14ac:dyDescent="0.3">
      <c r="A356" s="1">
        <v>45493</v>
      </c>
      <c r="B356" t="s">
        <v>37</v>
      </c>
      <c r="C356" s="12">
        <v>845.98</v>
      </c>
      <c r="F356" s="1">
        <v>45493</v>
      </c>
      <c r="G356" t="s">
        <v>95</v>
      </c>
      <c r="H356" s="12">
        <v>845.98</v>
      </c>
    </row>
    <row r="357" spans="1:8" x14ac:dyDescent="0.3">
      <c r="A357" s="1">
        <v>45722</v>
      </c>
      <c r="B357" t="s">
        <v>28</v>
      </c>
      <c r="C357" s="12">
        <v>842.69999999999993</v>
      </c>
      <c r="F357" s="1">
        <v>45722</v>
      </c>
      <c r="G357" t="s">
        <v>79</v>
      </c>
      <c r="H357" s="12">
        <v>842.69999999999993</v>
      </c>
    </row>
    <row r="358" spans="1:8" x14ac:dyDescent="0.3">
      <c r="A358" s="1">
        <v>45454</v>
      </c>
      <c r="B358" t="s">
        <v>28</v>
      </c>
      <c r="C358" s="12">
        <v>842.2</v>
      </c>
      <c r="F358" s="1">
        <v>45454</v>
      </c>
      <c r="G358" t="s">
        <v>77</v>
      </c>
      <c r="H358" s="12">
        <v>842.2</v>
      </c>
    </row>
    <row r="359" spans="1:8" x14ac:dyDescent="0.3">
      <c r="A359" s="1">
        <v>45460</v>
      </c>
      <c r="B359" t="s">
        <v>18</v>
      </c>
      <c r="C359" s="12">
        <v>833.86</v>
      </c>
      <c r="F359" s="1">
        <v>45460</v>
      </c>
      <c r="G359" t="s">
        <v>34</v>
      </c>
      <c r="H359" s="12">
        <v>833.86</v>
      </c>
    </row>
    <row r="360" spans="1:8" x14ac:dyDescent="0.3">
      <c r="A360" s="1">
        <v>45521</v>
      </c>
      <c r="B360" t="s">
        <v>18</v>
      </c>
      <c r="C360" s="12">
        <v>828.74</v>
      </c>
      <c r="F360" s="1">
        <v>45521</v>
      </c>
      <c r="G360" t="s">
        <v>19</v>
      </c>
      <c r="H360" s="12">
        <v>828.74</v>
      </c>
    </row>
    <row r="361" spans="1:8" x14ac:dyDescent="0.3">
      <c r="A361" s="1">
        <v>45557</v>
      </c>
      <c r="B361" t="s">
        <v>37</v>
      </c>
      <c r="C361" s="12">
        <v>825.12</v>
      </c>
      <c r="F361" s="1">
        <v>45557</v>
      </c>
      <c r="G361" t="s">
        <v>38</v>
      </c>
      <c r="H361" s="12">
        <v>825.12</v>
      </c>
    </row>
    <row r="362" spans="1:8" x14ac:dyDescent="0.3">
      <c r="A362" s="1">
        <v>45649</v>
      </c>
      <c r="B362" t="s">
        <v>13</v>
      </c>
      <c r="C362" s="12">
        <v>823.1</v>
      </c>
      <c r="F362" s="1">
        <v>45649</v>
      </c>
      <c r="G362" t="s">
        <v>47</v>
      </c>
      <c r="H362" s="12">
        <v>823.1</v>
      </c>
    </row>
    <row r="363" spans="1:8" x14ac:dyDescent="0.3">
      <c r="A363" s="1">
        <v>45445</v>
      </c>
      <c r="B363" t="s">
        <v>13</v>
      </c>
      <c r="C363" s="12">
        <v>822.66</v>
      </c>
      <c r="F363" s="1">
        <v>45445</v>
      </c>
      <c r="G363" t="s">
        <v>42</v>
      </c>
      <c r="H363" s="12">
        <v>822.66</v>
      </c>
    </row>
    <row r="364" spans="1:8" x14ac:dyDescent="0.3">
      <c r="A364" s="1">
        <v>45471</v>
      </c>
      <c r="B364" t="s">
        <v>13</v>
      </c>
      <c r="C364" s="12">
        <v>822.4</v>
      </c>
      <c r="F364" s="1">
        <v>45471</v>
      </c>
      <c r="G364" t="s">
        <v>42</v>
      </c>
      <c r="H364" s="12">
        <v>822.4</v>
      </c>
    </row>
    <row r="365" spans="1:8" x14ac:dyDescent="0.3">
      <c r="A365" s="1">
        <v>45617</v>
      </c>
      <c r="B365" t="s">
        <v>37</v>
      </c>
      <c r="C365" s="12">
        <v>818.24</v>
      </c>
      <c r="F365" s="1">
        <v>45617</v>
      </c>
      <c r="G365" t="s">
        <v>38</v>
      </c>
      <c r="H365" s="12">
        <v>818.24</v>
      </c>
    </row>
    <row r="366" spans="1:8" x14ac:dyDescent="0.3">
      <c r="A366" s="1">
        <v>45401</v>
      </c>
      <c r="B366" t="s">
        <v>37</v>
      </c>
      <c r="C366" s="12">
        <v>816.24</v>
      </c>
      <c r="F366" s="1">
        <v>45401</v>
      </c>
      <c r="G366" t="s">
        <v>95</v>
      </c>
      <c r="H366" s="12">
        <v>816.24</v>
      </c>
    </row>
    <row r="367" spans="1:8" x14ac:dyDescent="0.3">
      <c r="A367" s="1">
        <v>45623</v>
      </c>
      <c r="B367" t="s">
        <v>28</v>
      </c>
      <c r="C367" s="12">
        <v>815.76</v>
      </c>
      <c r="F367" s="1">
        <v>45623</v>
      </c>
      <c r="G367" t="s">
        <v>72</v>
      </c>
      <c r="H367" s="12">
        <v>815.76</v>
      </c>
    </row>
    <row r="368" spans="1:8" x14ac:dyDescent="0.3">
      <c r="A368" s="1">
        <v>45501</v>
      </c>
      <c r="B368" t="s">
        <v>28</v>
      </c>
      <c r="C368" s="12">
        <v>812.25</v>
      </c>
      <c r="F368" s="1">
        <v>45501</v>
      </c>
      <c r="G368" t="s">
        <v>79</v>
      </c>
      <c r="H368" s="12">
        <v>812.25</v>
      </c>
    </row>
    <row r="369" spans="1:8" x14ac:dyDescent="0.3">
      <c r="A369" s="1">
        <v>45505</v>
      </c>
      <c r="B369" t="s">
        <v>28</v>
      </c>
      <c r="C369" s="12">
        <v>805.25</v>
      </c>
      <c r="F369" s="1">
        <v>45505</v>
      </c>
      <c r="G369" t="s">
        <v>79</v>
      </c>
      <c r="H369" s="12">
        <v>805.25</v>
      </c>
    </row>
    <row r="370" spans="1:8" x14ac:dyDescent="0.3">
      <c r="A370" s="1">
        <v>45475</v>
      </c>
      <c r="B370" t="s">
        <v>18</v>
      </c>
      <c r="C370" s="12">
        <v>805.12</v>
      </c>
      <c r="F370" s="1">
        <v>45475</v>
      </c>
      <c r="G370" t="s">
        <v>34</v>
      </c>
      <c r="H370" s="12">
        <v>805.12</v>
      </c>
    </row>
    <row r="371" spans="1:8" x14ac:dyDescent="0.3">
      <c r="A371" s="1">
        <v>45540</v>
      </c>
      <c r="B371" t="s">
        <v>28</v>
      </c>
      <c r="C371" s="12">
        <v>804.84</v>
      </c>
      <c r="F371" s="1">
        <v>45540</v>
      </c>
      <c r="G371" t="s">
        <v>51</v>
      </c>
      <c r="H371" s="12">
        <v>804.84</v>
      </c>
    </row>
    <row r="372" spans="1:8" x14ac:dyDescent="0.3">
      <c r="A372" s="1">
        <v>45579</v>
      </c>
      <c r="B372" t="s">
        <v>18</v>
      </c>
      <c r="C372" s="12">
        <v>799.5</v>
      </c>
      <c r="F372" s="1">
        <v>45579</v>
      </c>
      <c r="G372" t="s">
        <v>84</v>
      </c>
      <c r="H372" s="12">
        <v>799.5</v>
      </c>
    </row>
    <row r="373" spans="1:8" x14ac:dyDescent="0.3">
      <c r="A373" s="1">
        <v>45719</v>
      </c>
      <c r="B373" t="s">
        <v>24</v>
      </c>
      <c r="C373" s="12">
        <v>798.44999999999993</v>
      </c>
      <c r="F373" s="1">
        <v>45719</v>
      </c>
      <c r="G373" t="s">
        <v>65</v>
      </c>
      <c r="H373" s="12">
        <v>798.44999999999993</v>
      </c>
    </row>
    <row r="374" spans="1:8" x14ac:dyDescent="0.3">
      <c r="A374" s="1">
        <v>45608</v>
      </c>
      <c r="B374" t="s">
        <v>28</v>
      </c>
      <c r="C374" s="12">
        <v>797.82</v>
      </c>
      <c r="F374" s="1">
        <v>45608</v>
      </c>
      <c r="G374" t="s">
        <v>77</v>
      </c>
      <c r="H374" s="12">
        <v>797.82</v>
      </c>
    </row>
    <row r="375" spans="1:8" x14ac:dyDescent="0.3">
      <c r="A375" s="1">
        <v>45608</v>
      </c>
      <c r="B375" t="s">
        <v>37</v>
      </c>
      <c r="C375" s="12">
        <v>797.31</v>
      </c>
      <c r="F375" s="1">
        <v>45608</v>
      </c>
      <c r="G375" t="s">
        <v>58</v>
      </c>
      <c r="H375" s="12">
        <v>797.31</v>
      </c>
    </row>
    <row r="376" spans="1:8" x14ac:dyDescent="0.3">
      <c r="A376" s="1">
        <v>45555</v>
      </c>
      <c r="B376" t="s">
        <v>28</v>
      </c>
      <c r="C376" s="12">
        <v>794.56</v>
      </c>
      <c r="F376" s="1">
        <v>45555</v>
      </c>
      <c r="G376" t="s">
        <v>77</v>
      </c>
      <c r="H376" s="12">
        <v>794.56</v>
      </c>
    </row>
    <row r="377" spans="1:8" x14ac:dyDescent="0.3">
      <c r="A377" s="1">
        <v>45528</v>
      </c>
      <c r="B377" t="s">
        <v>37</v>
      </c>
      <c r="C377" s="12">
        <v>790.04</v>
      </c>
      <c r="F377" s="1">
        <v>45528</v>
      </c>
      <c r="G377" t="s">
        <v>38</v>
      </c>
      <c r="H377" s="12">
        <v>790.04</v>
      </c>
    </row>
    <row r="378" spans="1:8" x14ac:dyDescent="0.3">
      <c r="A378" s="1">
        <v>45597</v>
      </c>
      <c r="B378" t="s">
        <v>24</v>
      </c>
      <c r="C378" s="12">
        <v>790.02</v>
      </c>
      <c r="F378" s="1">
        <v>45597</v>
      </c>
      <c r="G378" t="s">
        <v>44</v>
      </c>
      <c r="H378" s="12">
        <v>790.02</v>
      </c>
    </row>
    <row r="379" spans="1:8" x14ac:dyDescent="0.3">
      <c r="A379" s="1">
        <v>45614</v>
      </c>
      <c r="B379" t="s">
        <v>18</v>
      </c>
      <c r="C379" s="12">
        <v>789.48</v>
      </c>
      <c r="F379" s="1">
        <v>45614</v>
      </c>
      <c r="G379" t="s">
        <v>19</v>
      </c>
      <c r="H379" s="12">
        <v>789.48</v>
      </c>
    </row>
    <row r="380" spans="1:8" x14ac:dyDescent="0.3">
      <c r="A380" s="1">
        <v>45593</v>
      </c>
      <c r="B380" t="s">
        <v>13</v>
      </c>
      <c r="C380" s="12">
        <v>787.96</v>
      </c>
      <c r="F380" s="1">
        <v>45593</v>
      </c>
      <c r="G380" t="s">
        <v>32</v>
      </c>
      <c r="H380" s="12">
        <v>787.96</v>
      </c>
    </row>
    <row r="381" spans="1:8" x14ac:dyDescent="0.3">
      <c r="A381" s="1">
        <v>45535</v>
      </c>
      <c r="B381" t="s">
        <v>13</v>
      </c>
      <c r="C381" s="12">
        <v>786.98</v>
      </c>
      <c r="F381" s="1">
        <v>45535</v>
      </c>
      <c r="G381" t="s">
        <v>42</v>
      </c>
      <c r="H381" s="12">
        <v>786.98</v>
      </c>
    </row>
    <row r="382" spans="1:8" x14ac:dyDescent="0.3">
      <c r="A382" s="1">
        <v>45560</v>
      </c>
      <c r="B382" t="s">
        <v>37</v>
      </c>
      <c r="C382" s="12">
        <v>786.8</v>
      </c>
      <c r="F382" s="1">
        <v>45560</v>
      </c>
      <c r="G382" t="s">
        <v>58</v>
      </c>
      <c r="H382" s="12">
        <v>786.8</v>
      </c>
    </row>
    <row r="383" spans="1:8" x14ac:dyDescent="0.3">
      <c r="A383" s="1">
        <v>45629</v>
      </c>
      <c r="B383" t="s">
        <v>13</v>
      </c>
      <c r="C383" s="12">
        <v>784.64</v>
      </c>
      <c r="F383" s="1">
        <v>45629</v>
      </c>
      <c r="G383" t="s">
        <v>14</v>
      </c>
      <c r="H383" s="12">
        <v>784.64</v>
      </c>
    </row>
    <row r="384" spans="1:8" x14ac:dyDescent="0.3">
      <c r="A384" s="1">
        <v>45597</v>
      </c>
      <c r="B384" t="s">
        <v>13</v>
      </c>
      <c r="C384" s="12">
        <v>782.86</v>
      </c>
      <c r="F384" s="1">
        <v>45597</v>
      </c>
      <c r="G384" t="s">
        <v>14</v>
      </c>
      <c r="H384" s="12">
        <v>782.86</v>
      </c>
    </row>
    <row r="385" spans="1:8" x14ac:dyDescent="0.3">
      <c r="A385" s="1">
        <v>45474</v>
      </c>
      <c r="B385" t="s">
        <v>13</v>
      </c>
      <c r="C385" s="12">
        <v>779.62</v>
      </c>
      <c r="F385" s="1">
        <v>45474</v>
      </c>
      <c r="G385" t="s">
        <v>111</v>
      </c>
      <c r="H385" s="12">
        <v>779.62</v>
      </c>
    </row>
    <row r="386" spans="1:8" x14ac:dyDescent="0.3">
      <c r="A386" s="1">
        <v>45529</v>
      </c>
      <c r="B386" t="s">
        <v>37</v>
      </c>
      <c r="C386" s="12">
        <v>778.65</v>
      </c>
      <c r="F386" s="1">
        <v>45529</v>
      </c>
      <c r="G386" t="s">
        <v>95</v>
      </c>
      <c r="H386" s="12">
        <v>778.65</v>
      </c>
    </row>
    <row r="387" spans="1:8" x14ac:dyDescent="0.3">
      <c r="A387" s="1">
        <v>45398</v>
      </c>
      <c r="B387" t="s">
        <v>24</v>
      </c>
      <c r="C387" s="12">
        <v>776.25</v>
      </c>
      <c r="F387" s="1">
        <v>45398</v>
      </c>
      <c r="G387" t="s">
        <v>63</v>
      </c>
      <c r="H387" s="12">
        <v>776.25</v>
      </c>
    </row>
    <row r="388" spans="1:8" x14ac:dyDescent="0.3">
      <c r="A388" s="1">
        <v>45558</v>
      </c>
      <c r="B388" t="s">
        <v>37</v>
      </c>
      <c r="C388" s="12">
        <v>774.83999999999992</v>
      </c>
      <c r="F388" s="1">
        <v>45558</v>
      </c>
      <c r="G388" t="s">
        <v>95</v>
      </c>
      <c r="H388" s="12">
        <v>774.83999999999992</v>
      </c>
    </row>
    <row r="389" spans="1:8" x14ac:dyDescent="0.3">
      <c r="A389" s="1">
        <v>45516</v>
      </c>
      <c r="B389" t="s">
        <v>37</v>
      </c>
      <c r="C389" s="12">
        <v>774.1</v>
      </c>
      <c r="F389" s="1">
        <v>45516</v>
      </c>
      <c r="G389" t="s">
        <v>40</v>
      </c>
      <c r="H389" s="12">
        <v>774.1</v>
      </c>
    </row>
    <row r="390" spans="1:8" x14ac:dyDescent="0.3">
      <c r="A390" s="1">
        <v>45560</v>
      </c>
      <c r="B390" t="s">
        <v>37</v>
      </c>
      <c r="C390" s="12">
        <v>773.6</v>
      </c>
      <c r="F390" s="1">
        <v>45560</v>
      </c>
      <c r="G390" t="s">
        <v>68</v>
      </c>
      <c r="H390" s="12">
        <v>773.6</v>
      </c>
    </row>
    <row r="391" spans="1:8" x14ac:dyDescent="0.3">
      <c r="A391" s="1">
        <v>45405</v>
      </c>
      <c r="B391" t="s">
        <v>13</v>
      </c>
      <c r="C391" s="12">
        <v>770.04</v>
      </c>
      <c r="F391" s="1">
        <v>45405</v>
      </c>
      <c r="G391" t="s">
        <v>47</v>
      </c>
      <c r="H391" s="12">
        <v>770.04</v>
      </c>
    </row>
    <row r="392" spans="1:8" x14ac:dyDescent="0.3">
      <c r="A392" s="1">
        <v>45629</v>
      </c>
      <c r="B392" t="s">
        <v>13</v>
      </c>
      <c r="C392" s="12">
        <v>768.36</v>
      </c>
      <c r="F392" s="1">
        <v>45629</v>
      </c>
      <c r="G392" t="s">
        <v>47</v>
      </c>
      <c r="H392" s="12">
        <v>768.36</v>
      </c>
    </row>
    <row r="393" spans="1:8" x14ac:dyDescent="0.3">
      <c r="A393" s="1">
        <v>45394</v>
      </c>
      <c r="B393" t="s">
        <v>37</v>
      </c>
      <c r="C393" s="12">
        <v>765.56</v>
      </c>
      <c r="F393" s="1">
        <v>45394</v>
      </c>
      <c r="G393" t="s">
        <v>40</v>
      </c>
      <c r="H393" s="12">
        <v>765.56</v>
      </c>
    </row>
    <row r="394" spans="1:8" x14ac:dyDescent="0.3">
      <c r="A394" s="1">
        <v>45683</v>
      </c>
      <c r="B394" t="s">
        <v>24</v>
      </c>
      <c r="C394" s="12">
        <v>764.3</v>
      </c>
      <c r="F394" s="1">
        <v>45683</v>
      </c>
      <c r="G394" t="s">
        <v>49</v>
      </c>
      <c r="H394" s="12">
        <v>764.3</v>
      </c>
    </row>
    <row r="395" spans="1:8" x14ac:dyDescent="0.3">
      <c r="A395" s="1">
        <v>45424</v>
      </c>
      <c r="B395" t="s">
        <v>24</v>
      </c>
      <c r="C395" s="12">
        <v>764.05</v>
      </c>
      <c r="F395" s="1">
        <v>45424</v>
      </c>
      <c r="G395" t="s">
        <v>44</v>
      </c>
      <c r="H395" s="12">
        <v>764.05</v>
      </c>
    </row>
    <row r="396" spans="1:8" x14ac:dyDescent="0.3">
      <c r="A396" s="1">
        <v>45393</v>
      </c>
      <c r="B396" t="s">
        <v>24</v>
      </c>
      <c r="C396" s="12">
        <v>763</v>
      </c>
      <c r="F396" s="1">
        <v>45393</v>
      </c>
      <c r="G396" t="s">
        <v>65</v>
      </c>
      <c r="H396" s="12">
        <v>763</v>
      </c>
    </row>
    <row r="397" spans="1:8" x14ac:dyDescent="0.3">
      <c r="A397" s="1">
        <v>45412</v>
      </c>
      <c r="B397" t="s">
        <v>24</v>
      </c>
      <c r="C397" s="12">
        <v>757.78</v>
      </c>
      <c r="F397" s="1">
        <v>45412</v>
      </c>
      <c r="G397" t="s">
        <v>49</v>
      </c>
      <c r="H397" s="12">
        <v>757.78</v>
      </c>
    </row>
    <row r="398" spans="1:8" x14ac:dyDescent="0.3">
      <c r="A398" s="1">
        <v>45685</v>
      </c>
      <c r="B398" t="s">
        <v>18</v>
      </c>
      <c r="C398" s="12">
        <v>757.2</v>
      </c>
      <c r="F398" s="1">
        <v>45685</v>
      </c>
      <c r="G398" t="s">
        <v>34</v>
      </c>
      <c r="H398" s="12">
        <v>757.2</v>
      </c>
    </row>
    <row r="399" spans="1:8" x14ac:dyDescent="0.3">
      <c r="A399" s="1">
        <v>45487</v>
      </c>
      <c r="B399" t="s">
        <v>37</v>
      </c>
      <c r="C399" s="12">
        <v>754.89</v>
      </c>
      <c r="F399" s="1">
        <v>45487</v>
      </c>
      <c r="G399" t="s">
        <v>95</v>
      </c>
      <c r="H399" s="12">
        <v>754.89</v>
      </c>
    </row>
    <row r="400" spans="1:8" x14ac:dyDescent="0.3">
      <c r="A400" s="1">
        <v>45543</v>
      </c>
      <c r="B400" t="s">
        <v>18</v>
      </c>
      <c r="C400" s="12">
        <v>751.11</v>
      </c>
      <c r="F400" s="1">
        <v>45543</v>
      </c>
      <c r="G400" t="s">
        <v>34</v>
      </c>
      <c r="H400" s="12">
        <v>751.11</v>
      </c>
    </row>
    <row r="401" spans="1:8" x14ac:dyDescent="0.3">
      <c r="A401" s="1">
        <v>45490</v>
      </c>
      <c r="B401" t="s">
        <v>28</v>
      </c>
      <c r="C401" s="12">
        <v>746.73</v>
      </c>
      <c r="F401" s="1">
        <v>45490</v>
      </c>
      <c r="G401" t="s">
        <v>79</v>
      </c>
      <c r="H401" s="12">
        <v>746.73</v>
      </c>
    </row>
    <row r="402" spans="1:8" x14ac:dyDescent="0.3">
      <c r="A402" s="1">
        <v>45643</v>
      </c>
      <c r="B402" t="s">
        <v>13</v>
      </c>
      <c r="C402" s="12">
        <v>746.72</v>
      </c>
      <c r="F402" s="1">
        <v>45643</v>
      </c>
      <c r="G402" t="s">
        <v>14</v>
      </c>
      <c r="H402" s="12">
        <v>746.72</v>
      </c>
    </row>
    <row r="403" spans="1:8" x14ac:dyDescent="0.3">
      <c r="A403" s="1">
        <v>45477</v>
      </c>
      <c r="B403" t="s">
        <v>28</v>
      </c>
      <c r="C403" s="12">
        <v>745.3</v>
      </c>
      <c r="F403" s="1">
        <v>45477</v>
      </c>
      <c r="G403" t="s">
        <v>79</v>
      </c>
      <c r="H403" s="12">
        <v>745.3</v>
      </c>
    </row>
    <row r="404" spans="1:8" x14ac:dyDescent="0.3">
      <c r="A404" s="1">
        <v>45729</v>
      </c>
      <c r="B404" t="s">
        <v>28</v>
      </c>
      <c r="C404" s="12">
        <v>739.4</v>
      </c>
      <c r="F404" s="1">
        <v>45729</v>
      </c>
      <c r="G404" t="s">
        <v>77</v>
      </c>
      <c r="H404" s="12">
        <v>739.4</v>
      </c>
    </row>
    <row r="405" spans="1:8" x14ac:dyDescent="0.3">
      <c r="A405" s="1">
        <v>45707</v>
      </c>
      <c r="B405" t="s">
        <v>18</v>
      </c>
      <c r="C405" s="12">
        <v>735.88</v>
      </c>
      <c r="F405" s="1">
        <v>45707</v>
      </c>
      <c r="G405" t="s">
        <v>87</v>
      </c>
      <c r="H405" s="12">
        <v>735.88</v>
      </c>
    </row>
    <row r="406" spans="1:8" x14ac:dyDescent="0.3">
      <c r="A406" s="1">
        <v>45591</v>
      </c>
      <c r="B406" t="s">
        <v>37</v>
      </c>
      <c r="C406" s="12">
        <v>735.56</v>
      </c>
      <c r="F406" s="1">
        <v>45591</v>
      </c>
      <c r="G406" t="s">
        <v>95</v>
      </c>
      <c r="H406" s="12">
        <v>735.56</v>
      </c>
    </row>
    <row r="407" spans="1:8" x14ac:dyDescent="0.3">
      <c r="A407" s="1">
        <v>45496</v>
      </c>
      <c r="B407" t="s">
        <v>37</v>
      </c>
      <c r="C407" s="12">
        <v>732.84</v>
      </c>
      <c r="F407" s="1">
        <v>45496</v>
      </c>
      <c r="G407" t="s">
        <v>95</v>
      </c>
      <c r="H407" s="12">
        <v>732.84</v>
      </c>
    </row>
    <row r="408" spans="1:8" x14ac:dyDescent="0.3">
      <c r="A408" s="1">
        <v>45374</v>
      </c>
      <c r="B408" t="s">
        <v>18</v>
      </c>
      <c r="C408" s="12">
        <v>730.11</v>
      </c>
      <c r="F408" s="1">
        <v>45374</v>
      </c>
      <c r="G408" t="s">
        <v>87</v>
      </c>
      <c r="H408" s="12">
        <v>730.11</v>
      </c>
    </row>
    <row r="409" spans="1:8" x14ac:dyDescent="0.3">
      <c r="A409" s="1">
        <v>45639</v>
      </c>
      <c r="B409" t="s">
        <v>13</v>
      </c>
      <c r="C409" s="12">
        <v>724.75</v>
      </c>
      <c r="F409" s="1">
        <v>45639</v>
      </c>
      <c r="G409" t="s">
        <v>47</v>
      </c>
      <c r="H409" s="12">
        <v>724.75</v>
      </c>
    </row>
    <row r="410" spans="1:8" x14ac:dyDescent="0.3">
      <c r="A410" s="1">
        <v>45694</v>
      </c>
      <c r="B410" t="s">
        <v>18</v>
      </c>
      <c r="C410" s="12">
        <v>723.98</v>
      </c>
      <c r="F410" s="1">
        <v>45694</v>
      </c>
      <c r="G410" t="s">
        <v>87</v>
      </c>
      <c r="H410" s="12">
        <v>723.98</v>
      </c>
    </row>
    <row r="411" spans="1:8" x14ac:dyDescent="0.3">
      <c r="A411" s="1">
        <v>45688</v>
      </c>
      <c r="B411" t="s">
        <v>28</v>
      </c>
      <c r="C411" s="12">
        <v>723.48</v>
      </c>
      <c r="F411" s="1">
        <v>45688</v>
      </c>
      <c r="G411" t="s">
        <v>51</v>
      </c>
      <c r="H411" s="12">
        <v>723.48</v>
      </c>
    </row>
    <row r="412" spans="1:8" x14ac:dyDescent="0.3">
      <c r="A412" s="1">
        <v>45652</v>
      </c>
      <c r="B412" t="s">
        <v>28</v>
      </c>
      <c r="C412" s="12">
        <v>720.15000000000009</v>
      </c>
      <c r="F412" s="1">
        <v>45652</v>
      </c>
      <c r="G412" t="s">
        <v>79</v>
      </c>
      <c r="H412" s="12">
        <v>720.15000000000009</v>
      </c>
    </row>
    <row r="413" spans="1:8" x14ac:dyDescent="0.3">
      <c r="A413" s="1">
        <v>45638</v>
      </c>
      <c r="B413" t="s">
        <v>13</v>
      </c>
      <c r="C413" s="12">
        <v>719.76</v>
      </c>
      <c r="F413" s="1">
        <v>45638</v>
      </c>
      <c r="G413" t="s">
        <v>47</v>
      </c>
      <c r="H413" s="12">
        <v>719.76</v>
      </c>
    </row>
    <row r="414" spans="1:8" x14ac:dyDescent="0.3">
      <c r="A414" s="1">
        <v>45442</v>
      </c>
      <c r="B414" t="s">
        <v>13</v>
      </c>
      <c r="C414" s="12">
        <v>716.31000000000006</v>
      </c>
      <c r="F414" s="1">
        <v>45442</v>
      </c>
      <c r="G414" t="s">
        <v>111</v>
      </c>
      <c r="H414" s="12">
        <v>716.31000000000006</v>
      </c>
    </row>
    <row r="415" spans="1:8" x14ac:dyDescent="0.3">
      <c r="A415" s="1">
        <v>45437</v>
      </c>
      <c r="B415" t="s">
        <v>24</v>
      </c>
      <c r="C415" s="12">
        <v>716.22</v>
      </c>
      <c r="F415" s="1">
        <v>45437</v>
      </c>
      <c r="G415" t="s">
        <v>65</v>
      </c>
      <c r="H415" s="12">
        <v>716.22</v>
      </c>
    </row>
    <row r="416" spans="1:8" x14ac:dyDescent="0.3">
      <c r="A416" s="1">
        <v>45430</v>
      </c>
      <c r="B416" t="s">
        <v>37</v>
      </c>
      <c r="C416" s="12">
        <v>715.69999999999993</v>
      </c>
      <c r="F416" s="1">
        <v>45430</v>
      </c>
      <c r="G416" t="s">
        <v>40</v>
      </c>
      <c r="H416" s="12">
        <v>715.69999999999993</v>
      </c>
    </row>
    <row r="417" spans="1:8" x14ac:dyDescent="0.3">
      <c r="A417" s="1">
        <v>45574</v>
      </c>
      <c r="B417" t="s">
        <v>37</v>
      </c>
      <c r="C417" s="12">
        <v>715.15</v>
      </c>
      <c r="F417" s="1">
        <v>45574</v>
      </c>
      <c r="G417" t="s">
        <v>38</v>
      </c>
      <c r="H417" s="12">
        <v>715.15</v>
      </c>
    </row>
    <row r="418" spans="1:8" x14ac:dyDescent="0.3">
      <c r="A418" s="1">
        <v>45484</v>
      </c>
      <c r="B418" t="s">
        <v>24</v>
      </c>
      <c r="C418" s="12">
        <v>709.7</v>
      </c>
      <c r="F418" s="1">
        <v>45484</v>
      </c>
      <c r="G418" t="s">
        <v>65</v>
      </c>
      <c r="H418" s="12">
        <v>709.7</v>
      </c>
    </row>
    <row r="419" spans="1:8" x14ac:dyDescent="0.3">
      <c r="A419" s="1">
        <v>45532</v>
      </c>
      <c r="B419" t="s">
        <v>24</v>
      </c>
      <c r="C419" s="12">
        <v>709.6</v>
      </c>
      <c r="F419" s="1">
        <v>45532</v>
      </c>
      <c r="G419" t="s">
        <v>65</v>
      </c>
      <c r="H419" s="12">
        <v>709.6</v>
      </c>
    </row>
    <row r="420" spans="1:8" x14ac:dyDescent="0.3">
      <c r="A420" s="1">
        <v>45579</v>
      </c>
      <c r="B420" t="s">
        <v>24</v>
      </c>
      <c r="C420" s="12">
        <v>707.35</v>
      </c>
      <c r="F420" s="1">
        <v>45579</v>
      </c>
      <c r="G420" t="s">
        <v>65</v>
      </c>
      <c r="H420" s="12">
        <v>707.35</v>
      </c>
    </row>
    <row r="421" spans="1:8" x14ac:dyDescent="0.3">
      <c r="A421" s="1">
        <v>45422</v>
      </c>
      <c r="B421" t="s">
        <v>28</v>
      </c>
      <c r="C421" s="12">
        <v>706.88</v>
      </c>
      <c r="F421" s="1">
        <v>45422</v>
      </c>
      <c r="G421" t="s">
        <v>29</v>
      </c>
      <c r="H421" s="12">
        <v>706.88</v>
      </c>
    </row>
    <row r="422" spans="1:8" x14ac:dyDescent="0.3">
      <c r="A422" s="1">
        <v>45695</v>
      </c>
      <c r="B422" t="s">
        <v>24</v>
      </c>
      <c r="C422" s="12">
        <v>706.46</v>
      </c>
      <c r="F422" s="1">
        <v>45695</v>
      </c>
      <c r="G422" t="s">
        <v>44</v>
      </c>
      <c r="H422" s="12">
        <v>706.46</v>
      </c>
    </row>
    <row r="423" spans="1:8" x14ac:dyDescent="0.3">
      <c r="A423" s="1">
        <v>45521</v>
      </c>
      <c r="B423" t="s">
        <v>37</v>
      </c>
      <c r="C423" s="12">
        <v>703.68</v>
      </c>
      <c r="F423" s="1">
        <v>45521</v>
      </c>
      <c r="G423" t="s">
        <v>38</v>
      </c>
      <c r="H423" s="12">
        <v>703.68</v>
      </c>
    </row>
    <row r="424" spans="1:8" x14ac:dyDescent="0.3">
      <c r="A424" s="1">
        <v>45590</v>
      </c>
      <c r="B424" t="s">
        <v>18</v>
      </c>
      <c r="C424" s="12">
        <v>700.3</v>
      </c>
      <c r="F424" s="1">
        <v>45590</v>
      </c>
      <c r="G424" t="s">
        <v>34</v>
      </c>
      <c r="H424" s="12">
        <v>700.3</v>
      </c>
    </row>
    <row r="425" spans="1:8" x14ac:dyDescent="0.3">
      <c r="A425" s="1">
        <v>45549</v>
      </c>
      <c r="B425" t="s">
        <v>18</v>
      </c>
      <c r="C425" s="12">
        <v>699.08</v>
      </c>
      <c r="F425" s="1">
        <v>45549</v>
      </c>
      <c r="G425" t="s">
        <v>34</v>
      </c>
      <c r="H425" s="12">
        <v>699.08</v>
      </c>
    </row>
    <row r="426" spans="1:8" x14ac:dyDescent="0.3">
      <c r="A426" s="1">
        <v>45539</v>
      </c>
      <c r="B426" t="s">
        <v>18</v>
      </c>
      <c r="C426" s="12">
        <v>696.99</v>
      </c>
      <c r="F426" s="1">
        <v>45539</v>
      </c>
      <c r="G426" t="s">
        <v>84</v>
      </c>
      <c r="H426" s="12">
        <v>696.99</v>
      </c>
    </row>
    <row r="427" spans="1:8" x14ac:dyDescent="0.3">
      <c r="A427" s="1">
        <v>45686</v>
      </c>
      <c r="B427" t="s">
        <v>18</v>
      </c>
      <c r="C427" s="12">
        <v>693.4</v>
      </c>
      <c r="F427" s="1">
        <v>45686</v>
      </c>
      <c r="G427" t="s">
        <v>87</v>
      </c>
      <c r="H427" s="12">
        <v>693.4</v>
      </c>
    </row>
    <row r="428" spans="1:8" x14ac:dyDescent="0.3">
      <c r="A428" s="1">
        <v>45679</v>
      </c>
      <c r="B428" t="s">
        <v>28</v>
      </c>
      <c r="C428" s="12">
        <v>691.78</v>
      </c>
      <c r="F428" s="1">
        <v>45679</v>
      </c>
      <c r="G428" t="s">
        <v>51</v>
      </c>
      <c r="H428" s="12">
        <v>691.78</v>
      </c>
    </row>
    <row r="429" spans="1:8" x14ac:dyDescent="0.3">
      <c r="A429" s="1">
        <v>45439</v>
      </c>
      <c r="B429" t="s">
        <v>28</v>
      </c>
      <c r="C429" s="12">
        <v>689.72</v>
      </c>
      <c r="F429" s="1">
        <v>45439</v>
      </c>
      <c r="G429" t="s">
        <v>72</v>
      </c>
      <c r="H429" s="12">
        <v>689.72</v>
      </c>
    </row>
    <row r="430" spans="1:8" x14ac:dyDescent="0.3">
      <c r="A430" s="1">
        <v>45650</v>
      </c>
      <c r="B430" t="s">
        <v>13</v>
      </c>
      <c r="C430" s="12">
        <v>688.08</v>
      </c>
      <c r="F430" s="1">
        <v>45650</v>
      </c>
      <c r="G430" t="s">
        <v>14</v>
      </c>
      <c r="H430" s="12">
        <v>688.08</v>
      </c>
    </row>
    <row r="431" spans="1:8" x14ac:dyDescent="0.3">
      <c r="A431" s="1">
        <v>45486</v>
      </c>
      <c r="B431" t="s">
        <v>18</v>
      </c>
      <c r="C431" s="12">
        <v>687.52</v>
      </c>
      <c r="F431" s="1">
        <v>45486</v>
      </c>
      <c r="G431" t="s">
        <v>84</v>
      </c>
      <c r="H431" s="12">
        <v>687.52</v>
      </c>
    </row>
    <row r="432" spans="1:8" x14ac:dyDescent="0.3">
      <c r="A432" s="1">
        <v>45584</v>
      </c>
      <c r="B432" t="s">
        <v>28</v>
      </c>
      <c r="C432" s="12">
        <v>686.74</v>
      </c>
      <c r="F432" s="1">
        <v>45584</v>
      </c>
      <c r="G432" t="s">
        <v>77</v>
      </c>
      <c r="H432" s="12">
        <v>686.74</v>
      </c>
    </row>
    <row r="433" spans="1:8" x14ac:dyDescent="0.3">
      <c r="A433" s="1">
        <v>45605</v>
      </c>
      <c r="B433" t="s">
        <v>13</v>
      </c>
      <c r="C433" s="12">
        <v>686.55</v>
      </c>
      <c r="F433" s="1">
        <v>45605</v>
      </c>
      <c r="G433" t="s">
        <v>111</v>
      </c>
      <c r="H433" s="12">
        <v>686.55</v>
      </c>
    </row>
    <row r="434" spans="1:8" x14ac:dyDescent="0.3">
      <c r="A434" s="1">
        <v>45501</v>
      </c>
      <c r="B434" t="s">
        <v>24</v>
      </c>
      <c r="C434" s="12">
        <v>686.44999999999993</v>
      </c>
      <c r="F434" s="1">
        <v>45501</v>
      </c>
      <c r="G434" t="s">
        <v>44</v>
      </c>
      <c r="H434" s="12">
        <v>686.44999999999993</v>
      </c>
    </row>
    <row r="435" spans="1:8" x14ac:dyDescent="0.3">
      <c r="A435" s="1">
        <v>45587</v>
      </c>
      <c r="B435" t="s">
        <v>37</v>
      </c>
      <c r="C435" s="12">
        <v>685.65000000000009</v>
      </c>
      <c r="F435" s="1">
        <v>45587</v>
      </c>
      <c r="G435" t="s">
        <v>95</v>
      </c>
      <c r="H435" s="12">
        <v>685.65000000000009</v>
      </c>
    </row>
    <row r="436" spans="1:8" x14ac:dyDescent="0.3">
      <c r="A436" s="1">
        <v>45485</v>
      </c>
      <c r="B436" t="s">
        <v>18</v>
      </c>
      <c r="C436" s="12">
        <v>682.36</v>
      </c>
      <c r="F436" s="1">
        <v>45485</v>
      </c>
      <c r="G436" t="s">
        <v>34</v>
      </c>
      <c r="H436" s="12">
        <v>682.36</v>
      </c>
    </row>
    <row r="437" spans="1:8" x14ac:dyDescent="0.3">
      <c r="A437" s="1">
        <v>45483</v>
      </c>
      <c r="B437" t="s">
        <v>37</v>
      </c>
      <c r="C437" s="12">
        <v>682.17</v>
      </c>
      <c r="F437" s="1">
        <v>45483</v>
      </c>
      <c r="G437" t="s">
        <v>58</v>
      </c>
      <c r="H437" s="12">
        <v>682.17</v>
      </c>
    </row>
    <row r="438" spans="1:8" x14ac:dyDescent="0.3">
      <c r="A438" s="1">
        <v>45455</v>
      </c>
      <c r="B438" t="s">
        <v>18</v>
      </c>
      <c r="C438" s="12">
        <v>681.72</v>
      </c>
      <c r="F438" s="1">
        <v>45455</v>
      </c>
      <c r="G438" t="s">
        <v>84</v>
      </c>
      <c r="H438" s="12">
        <v>681.72</v>
      </c>
    </row>
    <row r="439" spans="1:8" x14ac:dyDescent="0.3">
      <c r="A439" s="1">
        <v>45424</v>
      </c>
      <c r="B439" t="s">
        <v>24</v>
      </c>
      <c r="C439" s="12">
        <v>681.21</v>
      </c>
      <c r="F439" s="1">
        <v>45424</v>
      </c>
      <c r="G439" t="s">
        <v>44</v>
      </c>
      <c r="H439" s="12">
        <v>681.21</v>
      </c>
    </row>
    <row r="440" spans="1:8" x14ac:dyDescent="0.3">
      <c r="A440" s="1">
        <v>45378</v>
      </c>
      <c r="B440" t="s">
        <v>37</v>
      </c>
      <c r="C440" s="12">
        <v>679.32</v>
      </c>
      <c r="F440" s="1">
        <v>45378</v>
      </c>
      <c r="G440" t="s">
        <v>68</v>
      </c>
      <c r="H440" s="12">
        <v>679.32</v>
      </c>
    </row>
    <row r="441" spans="1:8" x14ac:dyDescent="0.3">
      <c r="A441" s="1">
        <v>45692</v>
      </c>
      <c r="B441" t="s">
        <v>28</v>
      </c>
      <c r="C441" s="12">
        <v>675.3</v>
      </c>
      <c r="F441" s="1">
        <v>45692</v>
      </c>
      <c r="G441" t="s">
        <v>29</v>
      </c>
      <c r="H441" s="12">
        <v>675.3</v>
      </c>
    </row>
    <row r="442" spans="1:8" x14ac:dyDescent="0.3">
      <c r="A442" s="1">
        <v>45385</v>
      </c>
      <c r="B442" t="s">
        <v>18</v>
      </c>
      <c r="C442" s="12">
        <v>674.5</v>
      </c>
      <c r="F442" s="1">
        <v>45385</v>
      </c>
      <c r="G442" t="s">
        <v>19</v>
      </c>
      <c r="H442" s="12">
        <v>674.5</v>
      </c>
    </row>
    <row r="443" spans="1:8" x14ac:dyDescent="0.3">
      <c r="A443" s="1">
        <v>45694</v>
      </c>
      <c r="B443" t="s">
        <v>24</v>
      </c>
      <c r="C443" s="12">
        <v>673.78</v>
      </c>
      <c r="F443" s="1">
        <v>45694</v>
      </c>
      <c r="G443" t="s">
        <v>65</v>
      </c>
      <c r="H443" s="12">
        <v>673.78</v>
      </c>
    </row>
    <row r="444" spans="1:8" x14ac:dyDescent="0.3">
      <c r="A444" s="1">
        <v>45644</v>
      </c>
      <c r="B444" t="s">
        <v>13</v>
      </c>
      <c r="C444" s="12">
        <v>672.68</v>
      </c>
      <c r="F444" s="1">
        <v>45644</v>
      </c>
      <c r="G444" t="s">
        <v>42</v>
      </c>
      <c r="H444" s="12">
        <v>672.68</v>
      </c>
    </row>
    <row r="445" spans="1:8" x14ac:dyDescent="0.3">
      <c r="A445" s="1">
        <v>45469</v>
      </c>
      <c r="B445" t="s">
        <v>18</v>
      </c>
      <c r="C445" s="12">
        <v>670.6</v>
      </c>
      <c r="F445" s="1">
        <v>45469</v>
      </c>
      <c r="G445" t="s">
        <v>84</v>
      </c>
      <c r="H445" s="12">
        <v>670.6</v>
      </c>
    </row>
    <row r="446" spans="1:8" x14ac:dyDescent="0.3">
      <c r="A446" s="1">
        <v>45506</v>
      </c>
      <c r="B446" t="s">
        <v>13</v>
      </c>
      <c r="C446" s="12">
        <v>668.44</v>
      </c>
      <c r="F446" s="1">
        <v>45506</v>
      </c>
      <c r="G446" t="s">
        <v>32</v>
      </c>
      <c r="H446" s="12">
        <v>668.44</v>
      </c>
    </row>
    <row r="447" spans="1:8" x14ac:dyDescent="0.3">
      <c r="A447" s="1">
        <v>45389</v>
      </c>
      <c r="B447" t="s">
        <v>18</v>
      </c>
      <c r="C447" s="12">
        <v>666.1</v>
      </c>
      <c r="F447" s="1">
        <v>45389</v>
      </c>
      <c r="G447" t="s">
        <v>84</v>
      </c>
      <c r="H447" s="12">
        <v>666.1</v>
      </c>
    </row>
    <row r="448" spans="1:8" x14ac:dyDescent="0.3">
      <c r="A448" s="1">
        <v>45722</v>
      </c>
      <c r="B448" t="s">
        <v>18</v>
      </c>
      <c r="C448" s="12">
        <v>664.94</v>
      </c>
      <c r="F448" s="1">
        <v>45722</v>
      </c>
      <c r="G448" t="s">
        <v>22</v>
      </c>
      <c r="H448" s="12">
        <v>664.94</v>
      </c>
    </row>
    <row r="449" spans="1:8" x14ac:dyDescent="0.3">
      <c r="A449" s="1">
        <v>45633</v>
      </c>
      <c r="B449" t="s">
        <v>24</v>
      </c>
      <c r="C449" s="12">
        <v>664.9</v>
      </c>
      <c r="F449" s="1">
        <v>45633</v>
      </c>
      <c r="G449" t="s">
        <v>44</v>
      </c>
      <c r="H449" s="12">
        <v>664.9</v>
      </c>
    </row>
    <row r="450" spans="1:8" x14ac:dyDescent="0.3">
      <c r="A450" s="1">
        <v>45421</v>
      </c>
      <c r="B450" t="s">
        <v>13</v>
      </c>
      <c r="C450" s="12">
        <v>663.72</v>
      </c>
      <c r="F450" s="1">
        <v>45421</v>
      </c>
      <c r="G450" t="s">
        <v>47</v>
      </c>
      <c r="H450" s="12">
        <v>663.72</v>
      </c>
    </row>
    <row r="451" spans="1:8" x14ac:dyDescent="0.3">
      <c r="A451" s="1">
        <v>45601</v>
      </c>
      <c r="B451" t="s">
        <v>18</v>
      </c>
      <c r="C451" s="12">
        <v>662.18999999999994</v>
      </c>
      <c r="F451" s="1">
        <v>45601</v>
      </c>
      <c r="G451" t="s">
        <v>87</v>
      </c>
      <c r="H451" s="12">
        <v>662.18999999999994</v>
      </c>
    </row>
    <row r="452" spans="1:8" x14ac:dyDescent="0.3">
      <c r="A452" s="1">
        <v>45437</v>
      </c>
      <c r="B452" t="s">
        <v>37</v>
      </c>
      <c r="C452" s="12">
        <v>660.96</v>
      </c>
      <c r="F452" s="1">
        <v>45437</v>
      </c>
      <c r="G452" t="s">
        <v>40</v>
      </c>
      <c r="H452" s="12">
        <v>660.96</v>
      </c>
    </row>
    <row r="453" spans="1:8" x14ac:dyDescent="0.3">
      <c r="A453" s="1">
        <v>45519</v>
      </c>
      <c r="B453" t="s">
        <v>28</v>
      </c>
      <c r="C453" s="12">
        <v>659.84</v>
      </c>
      <c r="F453" s="1">
        <v>45519</v>
      </c>
      <c r="G453" t="s">
        <v>29</v>
      </c>
      <c r="H453" s="12">
        <v>659.84</v>
      </c>
    </row>
    <row r="454" spans="1:8" x14ac:dyDescent="0.3">
      <c r="A454" s="1">
        <v>45468</v>
      </c>
      <c r="B454" t="s">
        <v>37</v>
      </c>
      <c r="C454" s="12">
        <v>658.2</v>
      </c>
      <c r="F454" s="1">
        <v>45468</v>
      </c>
      <c r="G454" t="s">
        <v>58</v>
      </c>
      <c r="H454" s="12">
        <v>658.2</v>
      </c>
    </row>
    <row r="455" spans="1:8" x14ac:dyDescent="0.3">
      <c r="A455" s="1">
        <v>45548</v>
      </c>
      <c r="B455" t="s">
        <v>24</v>
      </c>
      <c r="C455" s="12">
        <v>656.2</v>
      </c>
      <c r="F455" s="1">
        <v>45548</v>
      </c>
      <c r="G455" t="s">
        <v>49</v>
      </c>
      <c r="H455" s="12">
        <v>656.2</v>
      </c>
    </row>
    <row r="456" spans="1:8" x14ac:dyDescent="0.3">
      <c r="A456" s="1">
        <v>45580</v>
      </c>
      <c r="B456" t="s">
        <v>18</v>
      </c>
      <c r="C456" s="12">
        <v>655.47</v>
      </c>
      <c r="F456" s="1">
        <v>45580</v>
      </c>
      <c r="G456" t="s">
        <v>19</v>
      </c>
      <c r="H456" s="12">
        <v>655.47</v>
      </c>
    </row>
    <row r="457" spans="1:8" x14ac:dyDescent="0.3">
      <c r="A457" s="1">
        <v>45566</v>
      </c>
      <c r="B457" t="s">
        <v>28</v>
      </c>
      <c r="C457" s="12">
        <v>654.44000000000005</v>
      </c>
      <c r="F457" s="1">
        <v>45566</v>
      </c>
      <c r="G457" t="s">
        <v>77</v>
      </c>
      <c r="H457" s="12">
        <v>654.44000000000005</v>
      </c>
    </row>
    <row r="458" spans="1:8" x14ac:dyDescent="0.3">
      <c r="A458" s="1">
        <v>45403</v>
      </c>
      <c r="B458" t="s">
        <v>18</v>
      </c>
      <c r="C458" s="12">
        <v>651.78</v>
      </c>
      <c r="F458" s="1">
        <v>45403</v>
      </c>
      <c r="G458" t="s">
        <v>84</v>
      </c>
      <c r="H458" s="12">
        <v>651.78</v>
      </c>
    </row>
    <row r="459" spans="1:8" x14ac:dyDescent="0.3">
      <c r="A459" s="1">
        <v>45553</v>
      </c>
      <c r="B459" t="s">
        <v>37</v>
      </c>
      <c r="C459" s="12">
        <v>651.76</v>
      </c>
      <c r="F459" s="1">
        <v>45553</v>
      </c>
      <c r="G459" t="s">
        <v>58</v>
      </c>
      <c r="H459" s="12">
        <v>651.76</v>
      </c>
    </row>
    <row r="460" spans="1:8" x14ac:dyDescent="0.3">
      <c r="A460" s="1">
        <v>45591</v>
      </c>
      <c r="B460" t="s">
        <v>37</v>
      </c>
      <c r="C460" s="12">
        <v>650.70000000000005</v>
      </c>
      <c r="F460" s="1">
        <v>45591</v>
      </c>
      <c r="G460" t="s">
        <v>38</v>
      </c>
      <c r="H460" s="12">
        <v>650.70000000000005</v>
      </c>
    </row>
    <row r="461" spans="1:8" x14ac:dyDescent="0.3">
      <c r="A461" s="1">
        <v>45700</v>
      </c>
      <c r="B461" t="s">
        <v>28</v>
      </c>
      <c r="C461" s="12">
        <v>650.46</v>
      </c>
      <c r="F461" s="1">
        <v>45700</v>
      </c>
      <c r="G461" t="s">
        <v>51</v>
      </c>
      <c r="H461" s="12">
        <v>650.46</v>
      </c>
    </row>
    <row r="462" spans="1:8" x14ac:dyDescent="0.3">
      <c r="A462" s="1">
        <v>45616</v>
      </c>
      <c r="B462" t="s">
        <v>13</v>
      </c>
      <c r="C462" s="12">
        <v>649.15000000000009</v>
      </c>
      <c r="F462" s="1">
        <v>45616</v>
      </c>
      <c r="G462" t="s">
        <v>14</v>
      </c>
      <c r="H462" s="12">
        <v>649.15000000000009</v>
      </c>
    </row>
    <row r="463" spans="1:8" x14ac:dyDescent="0.3">
      <c r="A463" s="1">
        <v>45671</v>
      </c>
      <c r="B463" t="s">
        <v>24</v>
      </c>
      <c r="C463" s="12">
        <v>646.29</v>
      </c>
      <c r="F463" s="1">
        <v>45671</v>
      </c>
      <c r="G463" t="s">
        <v>25</v>
      </c>
      <c r="H463" s="12">
        <v>646.29</v>
      </c>
    </row>
    <row r="464" spans="1:8" x14ac:dyDescent="0.3">
      <c r="A464" s="1">
        <v>45688</v>
      </c>
      <c r="B464" t="s">
        <v>13</v>
      </c>
      <c r="C464" s="12">
        <v>642.28</v>
      </c>
      <c r="F464" s="1">
        <v>45688</v>
      </c>
      <c r="G464" t="s">
        <v>42</v>
      </c>
      <c r="H464" s="12">
        <v>642.28</v>
      </c>
    </row>
    <row r="465" spans="1:8" x14ac:dyDescent="0.3">
      <c r="A465" s="1">
        <v>45695</v>
      </c>
      <c r="B465" t="s">
        <v>13</v>
      </c>
      <c r="C465" s="12">
        <v>642.25</v>
      </c>
      <c r="F465" s="1">
        <v>45695</v>
      </c>
      <c r="G465" t="s">
        <v>111</v>
      </c>
      <c r="H465" s="12">
        <v>642.25</v>
      </c>
    </row>
    <row r="466" spans="1:8" x14ac:dyDescent="0.3">
      <c r="A466" s="1">
        <v>45613</v>
      </c>
      <c r="B466" t="s">
        <v>24</v>
      </c>
      <c r="C466" s="12">
        <v>640.96</v>
      </c>
      <c r="F466" s="1">
        <v>45613</v>
      </c>
      <c r="G466" t="s">
        <v>63</v>
      </c>
      <c r="H466" s="12">
        <v>640.96</v>
      </c>
    </row>
    <row r="467" spans="1:8" x14ac:dyDescent="0.3">
      <c r="A467" s="1">
        <v>45420</v>
      </c>
      <c r="B467" t="s">
        <v>13</v>
      </c>
      <c r="C467" s="12">
        <v>639.48</v>
      </c>
      <c r="F467" s="1">
        <v>45420</v>
      </c>
      <c r="G467" t="s">
        <v>47</v>
      </c>
      <c r="H467" s="12">
        <v>639.48</v>
      </c>
    </row>
    <row r="468" spans="1:8" x14ac:dyDescent="0.3">
      <c r="A468" s="1">
        <v>45609</v>
      </c>
      <c r="B468" t="s">
        <v>13</v>
      </c>
      <c r="C468" s="12">
        <v>636.55999999999995</v>
      </c>
      <c r="F468" s="1">
        <v>45609</v>
      </c>
      <c r="G468" t="s">
        <v>14</v>
      </c>
      <c r="H468" s="12">
        <v>636.55999999999995</v>
      </c>
    </row>
    <row r="469" spans="1:8" x14ac:dyDescent="0.3">
      <c r="A469" s="1">
        <v>45399</v>
      </c>
      <c r="B469" t="s">
        <v>24</v>
      </c>
      <c r="C469" s="12">
        <v>633.87</v>
      </c>
      <c r="F469" s="1">
        <v>45399</v>
      </c>
      <c r="G469" t="s">
        <v>65</v>
      </c>
      <c r="H469" s="12">
        <v>633.87</v>
      </c>
    </row>
    <row r="470" spans="1:8" x14ac:dyDescent="0.3">
      <c r="A470" s="1">
        <v>45598</v>
      </c>
      <c r="B470" t="s">
        <v>37</v>
      </c>
      <c r="C470" s="12">
        <v>631.79999999999995</v>
      </c>
      <c r="F470" s="1">
        <v>45598</v>
      </c>
      <c r="G470" t="s">
        <v>95</v>
      </c>
      <c r="H470" s="12">
        <v>631.79999999999995</v>
      </c>
    </row>
    <row r="471" spans="1:8" x14ac:dyDescent="0.3">
      <c r="A471" s="1">
        <v>45552</v>
      </c>
      <c r="B471" t="s">
        <v>24</v>
      </c>
      <c r="C471" s="12">
        <v>631.15</v>
      </c>
      <c r="F471" s="1">
        <v>45552</v>
      </c>
      <c r="G471" t="s">
        <v>63</v>
      </c>
      <c r="H471" s="12">
        <v>631.15</v>
      </c>
    </row>
    <row r="472" spans="1:8" x14ac:dyDescent="0.3">
      <c r="A472" s="1">
        <v>45652</v>
      </c>
      <c r="B472" t="s">
        <v>28</v>
      </c>
      <c r="C472" s="12">
        <v>628.96</v>
      </c>
      <c r="F472" s="1">
        <v>45652</v>
      </c>
      <c r="G472" t="s">
        <v>77</v>
      </c>
      <c r="H472" s="12">
        <v>628.96</v>
      </c>
    </row>
    <row r="473" spans="1:8" x14ac:dyDescent="0.3">
      <c r="A473" s="1">
        <v>45389</v>
      </c>
      <c r="B473" t="s">
        <v>28</v>
      </c>
      <c r="C473" s="12">
        <v>628.20000000000005</v>
      </c>
      <c r="F473" s="1">
        <v>45389</v>
      </c>
      <c r="G473" t="s">
        <v>79</v>
      </c>
      <c r="H473" s="12">
        <v>628.20000000000005</v>
      </c>
    </row>
    <row r="474" spans="1:8" x14ac:dyDescent="0.3">
      <c r="A474" s="1">
        <v>45693</v>
      </c>
      <c r="B474" t="s">
        <v>28</v>
      </c>
      <c r="C474" s="12">
        <v>627.48</v>
      </c>
      <c r="F474" s="1">
        <v>45693</v>
      </c>
      <c r="G474" t="s">
        <v>72</v>
      </c>
      <c r="H474" s="12">
        <v>627.48</v>
      </c>
    </row>
    <row r="475" spans="1:8" x14ac:dyDescent="0.3">
      <c r="A475" s="1">
        <v>45403</v>
      </c>
      <c r="B475" t="s">
        <v>28</v>
      </c>
      <c r="C475" s="12">
        <v>627.34</v>
      </c>
      <c r="F475" s="1">
        <v>45403</v>
      </c>
      <c r="G475" t="s">
        <v>79</v>
      </c>
      <c r="H475" s="12">
        <v>627.34</v>
      </c>
    </row>
    <row r="476" spans="1:8" x14ac:dyDescent="0.3">
      <c r="A476" s="1">
        <v>45663</v>
      </c>
      <c r="B476" t="s">
        <v>37</v>
      </c>
      <c r="C476" s="12">
        <v>625.41</v>
      </c>
      <c r="F476" s="1">
        <v>45663</v>
      </c>
      <c r="G476" t="s">
        <v>38</v>
      </c>
      <c r="H476" s="12">
        <v>625.41</v>
      </c>
    </row>
    <row r="477" spans="1:8" x14ac:dyDescent="0.3">
      <c r="A477" s="1">
        <v>45663</v>
      </c>
      <c r="B477" t="s">
        <v>24</v>
      </c>
      <c r="C477" s="12">
        <v>625.4</v>
      </c>
      <c r="F477" s="1">
        <v>45663</v>
      </c>
      <c r="G477" t="s">
        <v>25</v>
      </c>
      <c r="H477" s="12">
        <v>625.4</v>
      </c>
    </row>
    <row r="478" spans="1:8" x14ac:dyDescent="0.3">
      <c r="A478" s="1">
        <v>45579</v>
      </c>
      <c r="B478" t="s">
        <v>13</v>
      </c>
      <c r="C478" s="12">
        <v>624.84</v>
      </c>
      <c r="F478" s="1">
        <v>45579</v>
      </c>
      <c r="G478" t="s">
        <v>14</v>
      </c>
      <c r="H478" s="12">
        <v>624.84</v>
      </c>
    </row>
    <row r="479" spans="1:8" x14ac:dyDescent="0.3">
      <c r="A479" s="1">
        <v>45649</v>
      </c>
      <c r="B479" t="s">
        <v>24</v>
      </c>
      <c r="C479" s="12">
        <v>624.54999999999995</v>
      </c>
      <c r="F479" s="1">
        <v>45649</v>
      </c>
      <c r="G479" t="s">
        <v>44</v>
      </c>
      <c r="H479" s="12">
        <v>624.54999999999995</v>
      </c>
    </row>
    <row r="480" spans="1:8" x14ac:dyDescent="0.3">
      <c r="A480" s="1">
        <v>45714</v>
      </c>
      <c r="B480" t="s">
        <v>28</v>
      </c>
      <c r="C480" s="12">
        <v>623.67999999999995</v>
      </c>
      <c r="F480" s="1">
        <v>45714</v>
      </c>
      <c r="G480" t="s">
        <v>51</v>
      </c>
      <c r="H480" s="12">
        <v>623.67999999999995</v>
      </c>
    </row>
    <row r="481" spans="1:8" x14ac:dyDescent="0.3">
      <c r="A481" s="1">
        <v>45660</v>
      </c>
      <c r="B481" t="s">
        <v>28</v>
      </c>
      <c r="C481" s="12">
        <v>619.14</v>
      </c>
      <c r="F481" s="1">
        <v>45660</v>
      </c>
      <c r="G481" t="s">
        <v>79</v>
      </c>
      <c r="H481" s="12">
        <v>619.14</v>
      </c>
    </row>
    <row r="482" spans="1:8" x14ac:dyDescent="0.3">
      <c r="A482" s="1">
        <v>45508</v>
      </c>
      <c r="B482" t="s">
        <v>18</v>
      </c>
      <c r="C482" s="12">
        <v>616.86</v>
      </c>
      <c r="F482" s="1">
        <v>45508</v>
      </c>
      <c r="G482" t="s">
        <v>22</v>
      </c>
      <c r="H482" s="12">
        <v>616.86</v>
      </c>
    </row>
    <row r="483" spans="1:8" x14ac:dyDescent="0.3">
      <c r="A483" s="1">
        <v>45667</v>
      </c>
      <c r="B483" t="s">
        <v>24</v>
      </c>
      <c r="C483" s="12">
        <v>616.82000000000005</v>
      </c>
      <c r="F483" s="1">
        <v>45667</v>
      </c>
      <c r="G483" t="s">
        <v>25</v>
      </c>
      <c r="H483" s="12">
        <v>616.82000000000005</v>
      </c>
    </row>
    <row r="484" spans="1:8" x14ac:dyDescent="0.3">
      <c r="A484" s="1">
        <v>45499</v>
      </c>
      <c r="B484" t="s">
        <v>37</v>
      </c>
      <c r="C484" s="12">
        <v>616.79999999999995</v>
      </c>
      <c r="F484" s="1">
        <v>45499</v>
      </c>
      <c r="G484" t="s">
        <v>58</v>
      </c>
      <c r="H484" s="12">
        <v>616.79999999999995</v>
      </c>
    </row>
    <row r="485" spans="1:8" x14ac:dyDescent="0.3">
      <c r="A485" s="1">
        <v>45719</v>
      </c>
      <c r="B485" t="s">
        <v>13</v>
      </c>
      <c r="C485" s="12">
        <v>616.14</v>
      </c>
      <c r="F485" s="1">
        <v>45719</v>
      </c>
      <c r="G485" t="s">
        <v>111</v>
      </c>
      <c r="H485" s="12">
        <v>616.14</v>
      </c>
    </row>
    <row r="486" spans="1:8" x14ac:dyDescent="0.3">
      <c r="A486" s="1">
        <v>45677</v>
      </c>
      <c r="B486" t="s">
        <v>24</v>
      </c>
      <c r="C486" s="12">
        <v>615.17999999999995</v>
      </c>
      <c r="F486" s="1">
        <v>45677</v>
      </c>
      <c r="G486" t="s">
        <v>25</v>
      </c>
      <c r="H486" s="12">
        <v>615.17999999999995</v>
      </c>
    </row>
    <row r="487" spans="1:8" x14ac:dyDescent="0.3">
      <c r="A487" s="1">
        <v>45709</v>
      </c>
      <c r="B487" t="s">
        <v>18</v>
      </c>
      <c r="C487" s="12">
        <v>614.88</v>
      </c>
      <c r="F487" s="1">
        <v>45709</v>
      </c>
      <c r="G487" t="s">
        <v>34</v>
      </c>
      <c r="H487" s="12">
        <v>614.88</v>
      </c>
    </row>
    <row r="488" spans="1:8" x14ac:dyDescent="0.3">
      <c r="A488" s="1">
        <v>45732</v>
      </c>
      <c r="B488" t="s">
        <v>37</v>
      </c>
      <c r="C488" s="12">
        <v>614.24</v>
      </c>
      <c r="F488" s="1">
        <v>45732</v>
      </c>
      <c r="G488" t="s">
        <v>40</v>
      </c>
      <c r="H488" s="12">
        <v>614.24</v>
      </c>
    </row>
    <row r="489" spans="1:8" x14ac:dyDescent="0.3">
      <c r="A489" s="1">
        <v>45433</v>
      </c>
      <c r="B489" t="s">
        <v>37</v>
      </c>
      <c r="C489" s="12">
        <v>611.15</v>
      </c>
      <c r="F489" s="1">
        <v>45433</v>
      </c>
      <c r="G489" t="s">
        <v>38</v>
      </c>
      <c r="H489" s="12">
        <v>611.15</v>
      </c>
    </row>
    <row r="490" spans="1:8" x14ac:dyDescent="0.3">
      <c r="A490" s="1">
        <v>45654</v>
      </c>
      <c r="B490" t="s">
        <v>13</v>
      </c>
      <c r="C490" s="12">
        <v>605.17999999999995</v>
      </c>
      <c r="F490" s="1">
        <v>45654</v>
      </c>
      <c r="G490" t="s">
        <v>111</v>
      </c>
      <c r="H490" s="12">
        <v>605.17999999999995</v>
      </c>
    </row>
    <row r="491" spans="1:8" x14ac:dyDescent="0.3">
      <c r="A491" s="1">
        <v>45603</v>
      </c>
      <c r="B491" t="s">
        <v>37</v>
      </c>
      <c r="C491" s="12">
        <v>604.98</v>
      </c>
      <c r="F491" s="1">
        <v>45603</v>
      </c>
      <c r="G491" t="s">
        <v>38</v>
      </c>
      <c r="H491" s="12">
        <v>604.98</v>
      </c>
    </row>
    <row r="492" spans="1:8" x14ac:dyDescent="0.3">
      <c r="A492" s="1">
        <v>45654</v>
      </c>
      <c r="B492" t="s">
        <v>18</v>
      </c>
      <c r="C492" s="12">
        <v>603.96</v>
      </c>
      <c r="F492" s="1">
        <v>45654</v>
      </c>
      <c r="G492" t="s">
        <v>19</v>
      </c>
      <c r="H492" s="12">
        <v>603.96</v>
      </c>
    </row>
    <row r="493" spans="1:8" x14ac:dyDescent="0.3">
      <c r="A493" s="1">
        <v>45557</v>
      </c>
      <c r="B493" t="s">
        <v>13</v>
      </c>
      <c r="C493" s="12">
        <v>603.84</v>
      </c>
      <c r="F493" s="1">
        <v>45557</v>
      </c>
      <c r="G493" t="s">
        <v>111</v>
      </c>
      <c r="H493" s="12">
        <v>603.84</v>
      </c>
    </row>
    <row r="494" spans="1:8" x14ac:dyDescent="0.3">
      <c r="A494" s="1">
        <v>45401</v>
      </c>
      <c r="B494" t="s">
        <v>37</v>
      </c>
      <c r="C494" s="12">
        <v>603.08000000000004</v>
      </c>
      <c r="F494" s="1">
        <v>45401</v>
      </c>
      <c r="G494" t="s">
        <v>40</v>
      </c>
      <c r="H494" s="12">
        <v>603.08000000000004</v>
      </c>
    </row>
    <row r="495" spans="1:8" x14ac:dyDescent="0.3">
      <c r="A495" s="1">
        <v>45660</v>
      </c>
      <c r="B495" t="s">
        <v>13</v>
      </c>
      <c r="C495" s="12">
        <v>602.20000000000005</v>
      </c>
      <c r="F495" s="1">
        <v>45660</v>
      </c>
      <c r="G495" t="s">
        <v>42</v>
      </c>
      <c r="H495" s="12">
        <v>602.20000000000005</v>
      </c>
    </row>
    <row r="496" spans="1:8" x14ac:dyDescent="0.3">
      <c r="A496" s="1">
        <v>45735</v>
      </c>
      <c r="B496" t="s">
        <v>24</v>
      </c>
      <c r="C496" s="12">
        <v>600.32000000000005</v>
      </c>
      <c r="F496" s="1">
        <v>45735</v>
      </c>
      <c r="G496" t="s">
        <v>63</v>
      </c>
      <c r="H496" s="12">
        <v>600.32000000000005</v>
      </c>
    </row>
    <row r="497" spans="1:8" x14ac:dyDescent="0.3">
      <c r="A497" s="1">
        <v>45438</v>
      </c>
      <c r="B497" t="s">
        <v>13</v>
      </c>
      <c r="C497" s="12">
        <v>600.1</v>
      </c>
      <c r="F497" s="1">
        <v>45438</v>
      </c>
      <c r="G497" t="s">
        <v>111</v>
      </c>
      <c r="H497" s="12">
        <v>600.1</v>
      </c>
    </row>
    <row r="498" spans="1:8" x14ac:dyDescent="0.3">
      <c r="A498" s="1">
        <v>45687</v>
      </c>
      <c r="B498" t="s">
        <v>18</v>
      </c>
      <c r="C498" s="12">
        <v>598.75</v>
      </c>
      <c r="F498" s="1">
        <v>45687</v>
      </c>
      <c r="G498" t="s">
        <v>22</v>
      </c>
      <c r="H498" s="12">
        <v>598.75</v>
      </c>
    </row>
    <row r="499" spans="1:8" x14ac:dyDescent="0.3">
      <c r="A499" s="1">
        <v>45497</v>
      </c>
      <c r="B499" t="s">
        <v>37</v>
      </c>
      <c r="C499" s="12">
        <v>597.93000000000006</v>
      </c>
      <c r="F499" s="1">
        <v>45497</v>
      </c>
      <c r="G499" t="s">
        <v>38</v>
      </c>
      <c r="H499" s="12">
        <v>597.93000000000006</v>
      </c>
    </row>
    <row r="500" spans="1:8" x14ac:dyDescent="0.3">
      <c r="A500" s="1">
        <v>45376</v>
      </c>
      <c r="B500" t="s">
        <v>24</v>
      </c>
      <c r="C500" s="12">
        <v>597.26</v>
      </c>
      <c r="F500" s="1">
        <v>45376</v>
      </c>
      <c r="G500" t="s">
        <v>44</v>
      </c>
      <c r="H500" s="12">
        <v>597.26</v>
      </c>
    </row>
    <row r="501" spans="1:8" x14ac:dyDescent="0.3">
      <c r="A501" s="1">
        <v>45413</v>
      </c>
      <c r="B501" t="s">
        <v>28</v>
      </c>
      <c r="C501" s="12">
        <v>594.06000000000006</v>
      </c>
      <c r="F501" s="1">
        <v>45413</v>
      </c>
      <c r="G501" t="s">
        <v>51</v>
      </c>
      <c r="H501" s="12">
        <v>594.06000000000006</v>
      </c>
    </row>
    <row r="502" spans="1:8" x14ac:dyDescent="0.3">
      <c r="A502" s="1">
        <v>45645</v>
      </c>
      <c r="B502" t="s">
        <v>28</v>
      </c>
      <c r="C502" s="12">
        <v>592.98</v>
      </c>
      <c r="F502" s="1">
        <v>45645</v>
      </c>
      <c r="G502" t="s">
        <v>51</v>
      </c>
      <c r="H502" s="12">
        <v>592.98</v>
      </c>
    </row>
    <row r="503" spans="1:8" x14ac:dyDescent="0.3">
      <c r="A503" s="1">
        <v>45425</v>
      </c>
      <c r="B503" t="s">
        <v>37</v>
      </c>
      <c r="C503" s="12">
        <v>592.59</v>
      </c>
      <c r="F503" s="1">
        <v>45425</v>
      </c>
      <c r="G503" t="s">
        <v>40</v>
      </c>
      <c r="H503" s="12">
        <v>592.59</v>
      </c>
    </row>
    <row r="504" spans="1:8" x14ac:dyDescent="0.3">
      <c r="A504" s="1">
        <v>45602</v>
      </c>
      <c r="B504" t="s">
        <v>24</v>
      </c>
      <c r="C504" s="12">
        <v>590.91</v>
      </c>
      <c r="F504" s="1">
        <v>45602</v>
      </c>
      <c r="G504" t="s">
        <v>49</v>
      </c>
      <c r="H504" s="12">
        <v>590.91</v>
      </c>
    </row>
    <row r="505" spans="1:8" x14ac:dyDescent="0.3">
      <c r="A505" s="1">
        <v>45472</v>
      </c>
      <c r="B505" t="s">
        <v>18</v>
      </c>
      <c r="C505" s="12">
        <v>587.34</v>
      </c>
      <c r="F505" s="1">
        <v>45472</v>
      </c>
      <c r="G505" t="s">
        <v>87</v>
      </c>
      <c r="H505" s="12">
        <v>587.34</v>
      </c>
    </row>
    <row r="506" spans="1:8" x14ac:dyDescent="0.3">
      <c r="A506" s="1">
        <v>45488</v>
      </c>
      <c r="B506" t="s">
        <v>18</v>
      </c>
      <c r="C506" s="12">
        <v>585.79999999999995</v>
      </c>
      <c r="F506" s="1">
        <v>45488</v>
      </c>
      <c r="G506" t="s">
        <v>34</v>
      </c>
      <c r="H506" s="12">
        <v>585.79999999999995</v>
      </c>
    </row>
    <row r="507" spans="1:8" x14ac:dyDescent="0.3">
      <c r="A507" s="1">
        <v>45609</v>
      </c>
      <c r="B507" t="s">
        <v>37</v>
      </c>
      <c r="C507" s="12">
        <v>585.79999999999995</v>
      </c>
      <c r="F507" s="1">
        <v>45609</v>
      </c>
      <c r="G507" t="s">
        <v>38</v>
      </c>
      <c r="H507" s="12">
        <v>585.79999999999995</v>
      </c>
    </row>
    <row r="508" spans="1:8" x14ac:dyDescent="0.3">
      <c r="A508" s="1">
        <v>45595</v>
      </c>
      <c r="B508" t="s">
        <v>18</v>
      </c>
      <c r="C508" s="12">
        <v>583.44000000000005</v>
      </c>
      <c r="F508" s="1">
        <v>45595</v>
      </c>
      <c r="G508" t="s">
        <v>19</v>
      </c>
      <c r="H508" s="12">
        <v>583.44000000000005</v>
      </c>
    </row>
    <row r="509" spans="1:8" x14ac:dyDescent="0.3">
      <c r="A509" s="1">
        <v>45437</v>
      </c>
      <c r="B509" t="s">
        <v>28</v>
      </c>
      <c r="C509" s="12">
        <v>580.15</v>
      </c>
      <c r="F509" s="1">
        <v>45437</v>
      </c>
      <c r="G509" t="s">
        <v>77</v>
      </c>
      <c r="H509" s="12">
        <v>580.15</v>
      </c>
    </row>
    <row r="510" spans="1:8" x14ac:dyDescent="0.3">
      <c r="A510" s="1">
        <v>45468</v>
      </c>
      <c r="B510" t="s">
        <v>13</v>
      </c>
      <c r="C510" s="12">
        <v>579.94000000000005</v>
      </c>
      <c r="F510" s="1">
        <v>45468</v>
      </c>
      <c r="G510" t="s">
        <v>14</v>
      </c>
      <c r="H510" s="12">
        <v>579.94000000000005</v>
      </c>
    </row>
    <row r="511" spans="1:8" x14ac:dyDescent="0.3">
      <c r="A511" s="1">
        <v>45715</v>
      </c>
      <c r="B511" t="s">
        <v>13</v>
      </c>
      <c r="C511" s="12">
        <v>579.79999999999995</v>
      </c>
      <c r="F511" s="1">
        <v>45715</v>
      </c>
      <c r="G511" t="s">
        <v>42</v>
      </c>
      <c r="H511" s="12">
        <v>579.79999999999995</v>
      </c>
    </row>
    <row r="512" spans="1:8" x14ac:dyDescent="0.3">
      <c r="A512" s="1">
        <v>45408</v>
      </c>
      <c r="B512" t="s">
        <v>24</v>
      </c>
      <c r="C512" s="12">
        <v>579.54999999999995</v>
      </c>
      <c r="F512" s="1">
        <v>45408</v>
      </c>
      <c r="G512" t="s">
        <v>44</v>
      </c>
      <c r="H512" s="12">
        <v>579.54999999999995</v>
      </c>
    </row>
    <row r="513" spans="1:8" x14ac:dyDescent="0.3">
      <c r="A513" s="1">
        <v>45401</v>
      </c>
      <c r="B513" t="s">
        <v>13</v>
      </c>
      <c r="C513" s="12">
        <v>578.76</v>
      </c>
      <c r="F513" s="1">
        <v>45401</v>
      </c>
      <c r="G513" t="s">
        <v>47</v>
      </c>
      <c r="H513" s="12">
        <v>578.76</v>
      </c>
    </row>
    <row r="514" spans="1:8" x14ac:dyDescent="0.3">
      <c r="A514" s="1">
        <v>45498</v>
      </c>
      <c r="B514" t="s">
        <v>28</v>
      </c>
      <c r="C514" s="12">
        <v>577.9</v>
      </c>
      <c r="F514" s="1">
        <v>45498</v>
      </c>
      <c r="G514" t="s">
        <v>79</v>
      </c>
      <c r="H514" s="12">
        <v>577.9</v>
      </c>
    </row>
    <row r="515" spans="1:8" x14ac:dyDescent="0.3">
      <c r="A515" s="1">
        <v>45421</v>
      </c>
      <c r="B515" t="s">
        <v>37</v>
      </c>
      <c r="C515" s="12">
        <v>575.70000000000005</v>
      </c>
      <c r="F515" s="1">
        <v>45421</v>
      </c>
      <c r="G515" t="s">
        <v>58</v>
      </c>
      <c r="H515" s="12">
        <v>575.70000000000005</v>
      </c>
    </row>
    <row r="516" spans="1:8" x14ac:dyDescent="0.3">
      <c r="A516" s="1">
        <v>45722</v>
      </c>
      <c r="B516" t="s">
        <v>24</v>
      </c>
      <c r="C516" s="12">
        <v>574.96</v>
      </c>
      <c r="F516" s="1">
        <v>45722</v>
      </c>
      <c r="G516" t="s">
        <v>25</v>
      </c>
      <c r="H516" s="12">
        <v>574.96</v>
      </c>
    </row>
    <row r="517" spans="1:8" x14ac:dyDescent="0.3">
      <c r="A517" s="1">
        <v>45416</v>
      </c>
      <c r="B517" t="s">
        <v>18</v>
      </c>
      <c r="C517" s="12">
        <v>571.96</v>
      </c>
      <c r="F517" s="1">
        <v>45416</v>
      </c>
      <c r="G517" t="s">
        <v>19</v>
      </c>
      <c r="H517" s="12">
        <v>571.96</v>
      </c>
    </row>
    <row r="518" spans="1:8" x14ac:dyDescent="0.3">
      <c r="A518" s="1">
        <v>45596</v>
      </c>
      <c r="B518" t="s">
        <v>18</v>
      </c>
      <c r="C518" s="12">
        <v>567.62</v>
      </c>
      <c r="F518" s="1">
        <v>45596</v>
      </c>
      <c r="G518" t="s">
        <v>19</v>
      </c>
      <c r="H518" s="12">
        <v>567.62</v>
      </c>
    </row>
    <row r="519" spans="1:8" x14ac:dyDescent="0.3">
      <c r="A519" s="1">
        <v>45534</v>
      </c>
      <c r="B519" t="s">
        <v>13</v>
      </c>
      <c r="C519" s="12">
        <v>566.34</v>
      </c>
      <c r="F519" s="1">
        <v>45534</v>
      </c>
      <c r="G519" t="s">
        <v>42</v>
      </c>
      <c r="H519" s="12">
        <v>566.34</v>
      </c>
    </row>
    <row r="520" spans="1:8" x14ac:dyDescent="0.3">
      <c r="A520" s="1">
        <v>45437</v>
      </c>
      <c r="B520" t="s">
        <v>24</v>
      </c>
      <c r="C520" s="12">
        <v>562.91999999999996</v>
      </c>
      <c r="F520" s="1">
        <v>45437</v>
      </c>
      <c r="G520" t="s">
        <v>25</v>
      </c>
      <c r="H520" s="12">
        <v>562.91999999999996</v>
      </c>
    </row>
    <row r="521" spans="1:8" x14ac:dyDescent="0.3">
      <c r="A521" s="1">
        <v>45460</v>
      </c>
      <c r="B521" t="s">
        <v>28</v>
      </c>
      <c r="C521" s="12">
        <v>559.62</v>
      </c>
      <c r="F521" s="1">
        <v>45460</v>
      </c>
      <c r="G521" t="s">
        <v>29</v>
      </c>
      <c r="H521" s="12">
        <v>559.62</v>
      </c>
    </row>
    <row r="522" spans="1:8" x14ac:dyDescent="0.3">
      <c r="A522" s="1">
        <v>45516</v>
      </c>
      <c r="B522" t="s">
        <v>37</v>
      </c>
      <c r="C522" s="12">
        <v>559.08000000000004</v>
      </c>
      <c r="F522" s="1">
        <v>45516</v>
      </c>
      <c r="G522" t="s">
        <v>68</v>
      </c>
      <c r="H522" s="12">
        <v>559.08000000000004</v>
      </c>
    </row>
    <row r="523" spans="1:8" x14ac:dyDescent="0.3">
      <c r="A523" s="1">
        <v>45505</v>
      </c>
      <c r="B523" t="s">
        <v>28</v>
      </c>
      <c r="C523" s="12">
        <v>557.82000000000005</v>
      </c>
      <c r="F523" s="1">
        <v>45505</v>
      </c>
      <c r="G523" t="s">
        <v>77</v>
      </c>
      <c r="H523" s="12">
        <v>557.82000000000005</v>
      </c>
    </row>
    <row r="524" spans="1:8" x14ac:dyDescent="0.3">
      <c r="A524" s="1">
        <v>45648</v>
      </c>
      <c r="B524" t="s">
        <v>13</v>
      </c>
      <c r="C524" s="12">
        <v>556.68000000000006</v>
      </c>
      <c r="F524" s="1">
        <v>45648</v>
      </c>
      <c r="G524" t="s">
        <v>42</v>
      </c>
      <c r="H524" s="12">
        <v>556.68000000000006</v>
      </c>
    </row>
    <row r="525" spans="1:8" x14ac:dyDescent="0.3">
      <c r="A525" s="1">
        <v>45703</v>
      </c>
      <c r="B525" t="s">
        <v>18</v>
      </c>
      <c r="C525" s="12">
        <v>552.78</v>
      </c>
      <c r="F525" s="1">
        <v>45703</v>
      </c>
      <c r="G525" t="s">
        <v>84</v>
      </c>
      <c r="H525" s="12">
        <v>552.78</v>
      </c>
    </row>
    <row r="526" spans="1:8" x14ac:dyDescent="0.3">
      <c r="A526" s="1">
        <v>45502</v>
      </c>
      <c r="B526" t="s">
        <v>28</v>
      </c>
      <c r="C526" s="12">
        <v>552.22</v>
      </c>
      <c r="F526" s="1">
        <v>45502</v>
      </c>
      <c r="G526" t="s">
        <v>29</v>
      </c>
      <c r="H526" s="12">
        <v>552.22</v>
      </c>
    </row>
    <row r="527" spans="1:8" x14ac:dyDescent="0.3">
      <c r="A527" s="1">
        <v>45478</v>
      </c>
      <c r="B527" t="s">
        <v>13</v>
      </c>
      <c r="C527" s="12">
        <v>550.85</v>
      </c>
      <c r="F527" s="1">
        <v>45478</v>
      </c>
      <c r="G527" t="s">
        <v>14</v>
      </c>
      <c r="H527" s="12">
        <v>550.85</v>
      </c>
    </row>
    <row r="528" spans="1:8" x14ac:dyDescent="0.3">
      <c r="A528" s="1">
        <v>45548</v>
      </c>
      <c r="B528" t="s">
        <v>28</v>
      </c>
      <c r="C528" s="12">
        <v>548.20000000000005</v>
      </c>
      <c r="F528" s="1">
        <v>45548</v>
      </c>
      <c r="G528" t="s">
        <v>51</v>
      </c>
      <c r="H528" s="12">
        <v>548.20000000000005</v>
      </c>
    </row>
    <row r="529" spans="1:8" x14ac:dyDescent="0.3">
      <c r="A529" s="1">
        <v>45386</v>
      </c>
      <c r="B529" t="s">
        <v>28</v>
      </c>
      <c r="C529" s="12">
        <v>545.66</v>
      </c>
      <c r="F529" s="1">
        <v>45386</v>
      </c>
      <c r="G529" t="s">
        <v>77</v>
      </c>
      <c r="H529" s="12">
        <v>545.66</v>
      </c>
    </row>
    <row r="530" spans="1:8" x14ac:dyDescent="0.3">
      <c r="A530" s="1">
        <v>45382</v>
      </c>
      <c r="B530" t="s">
        <v>28</v>
      </c>
      <c r="C530" s="12">
        <v>545.55999999999995</v>
      </c>
      <c r="F530" s="1">
        <v>45382</v>
      </c>
      <c r="G530" t="s">
        <v>77</v>
      </c>
      <c r="H530" s="12">
        <v>545.55999999999995</v>
      </c>
    </row>
    <row r="531" spans="1:8" x14ac:dyDescent="0.3">
      <c r="A531" s="1">
        <v>45593</v>
      </c>
      <c r="B531" t="s">
        <v>24</v>
      </c>
      <c r="C531" s="12">
        <v>541.95000000000005</v>
      </c>
      <c r="F531" s="1">
        <v>45593</v>
      </c>
      <c r="G531" t="s">
        <v>25</v>
      </c>
      <c r="H531" s="12">
        <v>541.95000000000005</v>
      </c>
    </row>
    <row r="532" spans="1:8" x14ac:dyDescent="0.3">
      <c r="A532" s="1">
        <v>45498</v>
      </c>
      <c r="B532" t="s">
        <v>18</v>
      </c>
      <c r="C532" s="12">
        <v>536.48</v>
      </c>
      <c r="F532" s="1">
        <v>45498</v>
      </c>
      <c r="G532" t="s">
        <v>19</v>
      </c>
      <c r="H532" s="12">
        <v>536.48</v>
      </c>
    </row>
    <row r="533" spans="1:8" x14ac:dyDescent="0.3">
      <c r="A533" s="1">
        <v>45555</v>
      </c>
      <c r="B533" t="s">
        <v>24</v>
      </c>
      <c r="C533" s="12">
        <v>532.54</v>
      </c>
      <c r="F533" s="1">
        <v>45555</v>
      </c>
      <c r="G533" t="s">
        <v>44</v>
      </c>
      <c r="H533" s="12">
        <v>532.54</v>
      </c>
    </row>
    <row r="534" spans="1:8" x14ac:dyDescent="0.3">
      <c r="A534" s="1">
        <v>45404</v>
      </c>
      <c r="B534" t="s">
        <v>28</v>
      </c>
      <c r="C534" s="12">
        <v>530.67999999999995</v>
      </c>
      <c r="F534" s="1">
        <v>45404</v>
      </c>
      <c r="G534" t="s">
        <v>51</v>
      </c>
      <c r="H534" s="12">
        <v>530.67999999999995</v>
      </c>
    </row>
    <row r="535" spans="1:8" x14ac:dyDescent="0.3">
      <c r="A535" s="1">
        <v>45555</v>
      </c>
      <c r="B535" t="s">
        <v>28</v>
      </c>
      <c r="C535" s="12">
        <v>520.28</v>
      </c>
      <c r="F535" s="1">
        <v>45555</v>
      </c>
      <c r="G535" t="s">
        <v>79</v>
      </c>
      <c r="H535" s="12">
        <v>520.28</v>
      </c>
    </row>
    <row r="536" spans="1:8" x14ac:dyDescent="0.3">
      <c r="A536" s="1">
        <v>45652</v>
      </c>
      <c r="B536" t="s">
        <v>28</v>
      </c>
      <c r="C536" s="12">
        <v>520.25</v>
      </c>
      <c r="F536" s="1">
        <v>45652</v>
      </c>
      <c r="G536" t="s">
        <v>77</v>
      </c>
      <c r="H536" s="12">
        <v>520.25</v>
      </c>
    </row>
    <row r="537" spans="1:8" x14ac:dyDescent="0.3">
      <c r="A537" s="1">
        <v>45674</v>
      </c>
      <c r="B537" t="s">
        <v>28</v>
      </c>
      <c r="C537" s="12">
        <v>515.84999999999991</v>
      </c>
      <c r="F537" s="1">
        <v>45674</v>
      </c>
      <c r="G537" t="s">
        <v>77</v>
      </c>
      <c r="H537" s="12">
        <v>515.84999999999991</v>
      </c>
    </row>
    <row r="538" spans="1:8" x14ac:dyDescent="0.3">
      <c r="A538" s="1">
        <v>45373</v>
      </c>
      <c r="B538" t="s">
        <v>13</v>
      </c>
      <c r="C538" s="12">
        <v>515.62</v>
      </c>
      <c r="F538" s="1">
        <v>45373</v>
      </c>
      <c r="G538" t="s">
        <v>47</v>
      </c>
      <c r="H538" s="12">
        <v>515.62</v>
      </c>
    </row>
    <row r="539" spans="1:8" x14ac:dyDescent="0.3">
      <c r="A539" s="1">
        <v>45415</v>
      </c>
      <c r="B539" t="s">
        <v>18</v>
      </c>
      <c r="C539" s="12">
        <v>514.02</v>
      </c>
      <c r="F539" s="1">
        <v>45415</v>
      </c>
      <c r="G539" t="s">
        <v>34</v>
      </c>
      <c r="H539" s="12">
        <v>514.02</v>
      </c>
    </row>
    <row r="540" spans="1:8" x14ac:dyDescent="0.3">
      <c r="A540" s="1">
        <v>45651</v>
      </c>
      <c r="B540" t="s">
        <v>13</v>
      </c>
      <c r="C540" s="12">
        <v>513.82000000000005</v>
      </c>
      <c r="F540" s="1">
        <v>45651</v>
      </c>
      <c r="G540" t="s">
        <v>47</v>
      </c>
      <c r="H540" s="12">
        <v>513.82000000000005</v>
      </c>
    </row>
    <row r="541" spans="1:8" x14ac:dyDescent="0.3">
      <c r="A541" s="1">
        <v>45459</v>
      </c>
      <c r="B541" t="s">
        <v>18</v>
      </c>
      <c r="C541" s="12">
        <v>511.8</v>
      </c>
      <c r="F541" s="1">
        <v>45459</v>
      </c>
      <c r="G541" t="s">
        <v>19</v>
      </c>
      <c r="H541" s="12">
        <v>511.8</v>
      </c>
    </row>
    <row r="542" spans="1:8" x14ac:dyDescent="0.3">
      <c r="A542" s="1">
        <v>45645</v>
      </c>
      <c r="B542" t="s">
        <v>28</v>
      </c>
      <c r="C542" s="12">
        <v>503.64</v>
      </c>
      <c r="F542" s="1">
        <v>45645</v>
      </c>
      <c r="G542" t="s">
        <v>77</v>
      </c>
      <c r="H542" s="12">
        <v>503.64</v>
      </c>
    </row>
    <row r="543" spans="1:8" x14ac:dyDescent="0.3">
      <c r="A543" s="1">
        <v>45586</v>
      </c>
      <c r="B543" t="s">
        <v>24</v>
      </c>
      <c r="C543" s="12">
        <v>501.96</v>
      </c>
      <c r="F543" s="1">
        <v>45586</v>
      </c>
      <c r="G543" t="s">
        <v>44</v>
      </c>
      <c r="H543" s="12">
        <v>501.96</v>
      </c>
    </row>
    <row r="544" spans="1:8" x14ac:dyDescent="0.3">
      <c r="A544" s="1">
        <v>45501</v>
      </c>
      <c r="B544" t="s">
        <v>37</v>
      </c>
      <c r="C544" s="12">
        <v>500.5</v>
      </c>
      <c r="F544" s="1">
        <v>45501</v>
      </c>
      <c r="G544" t="s">
        <v>68</v>
      </c>
      <c r="H544" s="12">
        <v>500.5</v>
      </c>
    </row>
    <row r="545" spans="1:8" x14ac:dyDescent="0.3">
      <c r="A545" s="1">
        <v>45641</v>
      </c>
      <c r="B545" t="s">
        <v>28</v>
      </c>
      <c r="C545" s="12">
        <v>499.23</v>
      </c>
      <c r="F545" s="1">
        <v>45641</v>
      </c>
      <c r="G545" t="s">
        <v>51</v>
      </c>
      <c r="H545" s="12">
        <v>499.23</v>
      </c>
    </row>
    <row r="546" spans="1:8" x14ac:dyDescent="0.3">
      <c r="A546" s="1">
        <v>45604</v>
      </c>
      <c r="B546" t="s">
        <v>28</v>
      </c>
      <c r="C546" s="12">
        <v>497.89</v>
      </c>
      <c r="F546" s="1">
        <v>45604</v>
      </c>
      <c r="G546" t="s">
        <v>29</v>
      </c>
      <c r="H546" s="12">
        <v>497.89</v>
      </c>
    </row>
    <row r="547" spans="1:8" x14ac:dyDescent="0.3">
      <c r="A547" s="1">
        <v>45506</v>
      </c>
      <c r="B547" t="s">
        <v>24</v>
      </c>
      <c r="C547" s="12">
        <v>496.5</v>
      </c>
      <c r="F547" s="1">
        <v>45506</v>
      </c>
      <c r="G547" t="s">
        <v>44</v>
      </c>
      <c r="H547" s="12">
        <v>496.5</v>
      </c>
    </row>
    <row r="548" spans="1:8" x14ac:dyDescent="0.3">
      <c r="A548" s="1">
        <v>45654</v>
      </c>
      <c r="B548" t="s">
        <v>28</v>
      </c>
      <c r="C548" s="12">
        <v>493.91999999999996</v>
      </c>
      <c r="F548" s="1">
        <v>45654</v>
      </c>
      <c r="G548" t="s">
        <v>79</v>
      </c>
      <c r="H548" s="12">
        <v>493.91999999999996</v>
      </c>
    </row>
    <row r="549" spans="1:8" x14ac:dyDescent="0.3">
      <c r="A549" s="1">
        <v>45514</v>
      </c>
      <c r="B549" t="s">
        <v>28</v>
      </c>
      <c r="C549" s="12">
        <v>493.8</v>
      </c>
      <c r="F549" s="1">
        <v>45514</v>
      </c>
      <c r="G549" t="s">
        <v>51</v>
      </c>
      <c r="H549" s="12">
        <v>493.8</v>
      </c>
    </row>
    <row r="550" spans="1:8" x14ac:dyDescent="0.3">
      <c r="A550" s="1">
        <v>45567</v>
      </c>
      <c r="B550" t="s">
        <v>24</v>
      </c>
      <c r="C550" s="12">
        <v>493.28</v>
      </c>
      <c r="F550" s="1">
        <v>45567</v>
      </c>
      <c r="G550" t="s">
        <v>65</v>
      </c>
      <c r="H550" s="12">
        <v>493.28</v>
      </c>
    </row>
    <row r="551" spans="1:8" x14ac:dyDescent="0.3">
      <c r="A551" s="1">
        <v>45477</v>
      </c>
      <c r="B551" t="s">
        <v>18</v>
      </c>
      <c r="C551" s="12">
        <v>491.22</v>
      </c>
      <c r="F551" s="1">
        <v>45477</v>
      </c>
      <c r="G551" t="s">
        <v>84</v>
      </c>
      <c r="H551" s="12">
        <v>491.22</v>
      </c>
    </row>
    <row r="552" spans="1:8" x14ac:dyDescent="0.3">
      <c r="A552" s="1">
        <v>45491</v>
      </c>
      <c r="B552" t="s">
        <v>24</v>
      </c>
      <c r="C552" s="12">
        <v>489.21</v>
      </c>
      <c r="F552" s="1">
        <v>45491</v>
      </c>
      <c r="G552" t="s">
        <v>63</v>
      </c>
      <c r="H552" s="12">
        <v>489.21</v>
      </c>
    </row>
    <row r="553" spans="1:8" x14ac:dyDescent="0.3">
      <c r="A553" s="1">
        <v>45578</v>
      </c>
      <c r="B553" t="s">
        <v>37</v>
      </c>
      <c r="C553" s="12">
        <v>489.19</v>
      </c>
      <c r="F553" s="1">
        <v>45578</v>
      </c>
      <c r="G553" t="s">
        <v>38</v>
      </c>
      <c r="H553" s="12">
        <v>489.19</v>
      </c>
    </row>
    <row r="554" spans="1:8" x14ac:dyDescent="0.3">
      <c r="A554" s="1">
        <v>45634</v>
      </c>
      <c r="B554" t="s">
        <v>28</v>
      </c>
      <c r="C554" s="12">
        <v>488.49</v>
      </c>
      <c r="F554" s="1">
        <v>45634</v>
      </c>
      <c r="G554" t="s">
        <v>72</v>
      </c>
      <c r="H554" s="12">
        <v>488.49</v>
      </c>
    </row>
    <row r="555" spans="1:8" x14ac:dyDescent="0.3">
      <c r="A555" s="1">
        <v>45653</v>
      </c>
      <c r="B555" t="s">
        <v>28</v>
      </c>
      <c r="C555" s="12">
        <v>488.09999999999997</v>
      </c>
      <c r="F555" s="1">
        <v>45653</v>
      </c>
      <c r="G555" t="s">
        <v>72</v>
      </c>
      <c r="H555" s="12">
        <v>488.09999999999997</v>
      </c>
    </row>
    <row r="556" spans="1:8" x14ac:dyDescent="0.3">
      <c r="A556" s="1">
        <v>45463</v>
      </c>
      <c r="B556" t="s">
        <v>24</v>
      </c>
      <c r="C556" s="12">
        <v>487.74</v>
      </c>
      <c r="F556" s="1">
        <v>45463</v>
      </c>
      <c r="G556" t="s">
        <v>49</v>
      </c>
      <c r="H556" s="12">
        <v>487.74</v>
      </c>
    </row>
    <row r="557" spans="1:8" x14ac:dyDescent="0.3">
      <c r="A557" s="1">
        <v>45414</v>
      </c>
      <c r="B557" t="s">
        <v>18</v>
      </c>
      <c r="C557" s="12">
        <v>486</v>
      </c>
      <c r="F557" s="1">
        <v>45414</v>
      </c>
      <c r="G557" t="s">
        <v>22</v>
      </c>
      <c r="H557" s="12">
        <v>486</v>
      </c>
    </row>
    <row r="558" spans="1:8" x14ac:dyDescent="0.3">
      <c r="A558" s="1">
        <v>45622</v>
      </c>
      <c r="B558" t="s">
        <v>24</v>
      </c>
      <c r="C558" s="12">
        <v>485.16</v>
      </c>
      <c r="F558" s="1">
        <v>45622</v>
      </c>
      <c r="G558" t="s">
        <v>65</v>
      </c>
      <c r="H558" s="12">
        <v>485.16</v>
      </c>
    </row>
    <row r="559" spans="1:8" x14ac:dyDescent="0.3">
      <c r="A559" s="1">
        <v>45562</v>
      </c>
      <c r="B559" t="s">
        <v>18</v>
      </c>
      <c r="C559" s="12">
        <v>484.7</v>
      </c>
      <c r="F559" s="1">
        <v>45562</v>
      </c>
      <c r="G559" t="s">
        <v>19</v>
      </c>
      <c r="H559" s="12">
        <v>484.7</v>
      </c>
    </row>
    <row r="560" spans="1:8" x14ac:dyDescent="0.3">
      <c r="A560" s="1">
        <v>45504</v>
      </c>
      <c r="B560" t="s">
        <v>18</v>
      </c>
      <c r="C560" s="12">
        <v>483.8</v>
      </c>
      <c r="F560" s="1">
        <v>45504</v>
      </c>
      <c r="G560" t="s">
        <v>34</v>
      </c>
      <c r="H560" s="12">
        <v>483.8</v>
      </c>
    </row>
    <row r="561" spans="1:8" x14ac:dyDescent="0.3">
      <c r="A561" s="1">
        <v>45558</v>
      </c>
      <c r="B561" t="s">
        <v>28</v>
      </c>
      <c r="C561" s="12">
        <v>483.14</v>
      </c>
      <c r="F561" s="1">
        <v>45558</v>
      </c>
      <c r="G561" t="s">
        <v>72</v>
      </c>
      <c r="H561" s="12">
        <v>483.14</v>
      </c>
    </row>
    <row r="562" spans="1:8" x14ac:dyDescent="0.3">
      <c r="A562" s="1">
        <v>45444</v>
      </c>
      <c r="B562" t="s">
        <v>18</v>
      </c>
      <c r="C562" s="12">
        <v>482.66</v>
      </c>
      <c r="F562" s="1">
        <v>45444</v>
      </c>
      <c r="G562" t="s">
        <v>22</v>
      </c>
      <c r="H562" s="12">
        <v>482.66</v>
      </c>
    </row>
    <row r="563" spans="1:8" x14ac:dyDescent="0.3">
      <c r="A563" s="1">
        <v>45416</v>
      </c>
      <c r="B563" t="s">
        <v>18</v>
      </c>
      <c r="C563" s="12">
        <v>482.29</v>
      </c>
      <c r="F563" s="1">
        <v>45416</v>
      </c>
      <c r="G563" t="s">
        <v>87</v>
      </c>
      <c r="H563" s="12">
        <v>482.29</v>
      </c>
    </row>
    <row r="564" spans="1:8" x14ac:dyDescent="0.3">
      <c r="A564" s="1">
        <v>45562</v>
      </c>
      <c r="B564" t="s">
        <v>37</v>
      </c>
      <c r="C564" s="12">
        <v>481.21</v>
      </c>
      <c r="F564" s="1">
        <v>45562</v>
      </c>
      <c r="G564" t="s">
        <v>95</v>
      </c>
      <c r="H564" s="12">
        <v>481.21</v>
      </c>
    </row>
    <row r="565" spans="1:8" x14ac:dyDescent="0.3">
      <c r="A565" s="1">
        <v>45655</v>
      </c>
      <c r="B565" t="s">
        <v>24</v>
      </c>
      <c r="C565" s="12">
        <v>480.52</v>
      </c>
      <c r="F565" s="1">
        <v>45655</v>
      </c>
      <c r="G565" t="s">
        <v>65</v>
      </c>
      <c r="H565" s="12">
        <v>480.52</v>
      </c>
    </row>
    <row r="566" spans="1:8" x14ac:dyDescent="0.3">
      <c r="A566" s="1">
        <v>45472</v>
      </c>
      <c r="B566" t="s">
        <v>28</v>
      </c>
      <c r="C566" s="12">
        <v>480.28</v>
      </c>
      <c r="F566" s="1">
        <v>45472</v>
      </c>
      <c r="G566" t="s">
        <v>72</v>
      </c>
      <c r="H566" s="12">
        <v>480.28</v>
      </c>
    </row>
    <row r="567" spans="1:8" x14ac:dyDescent="0.3">
      <c r="A567" s="1">
        <v>45661</v>
      </c>
      <c r="B567" t="s">
        <v>37</v>
      </c>
      <c r="C567" s="12">
        <v>480.28</v>
      </c>
      <c r="F567" s="1">
        <v>45661</v>
      </c>
      <c r="G567" t="s">
        <v>68</v>
      </c>
      <c r="H567" s="12">
        <v>480.28</v>
      </c>
    </row>
    <row r="568" spans="1:8" x14ac:dyDescent="0.3">
      <c r="A568" s="1">
        <v>45390</v>
      </c>
      <c r="B568" t="s">
        <v>13</v>
      </c>
      <c r="C568" s="12">
        <v>478.75</v>
      </c>
      <c r="F568" s="1">
        <v>45390</v>
      </c>
      <c r="G568" t="s">
        <v>42</v>
      </c>
      <c r="H568" s="12">
        <v>478.75</v>
      </c>
    </row>
    <row r="569" spans="1:8" x14ac:dyDescent="0.3">
      <c r="A569" s="1">
        <v>45465</v>
      </c>
      <c r="B569" t="s">
        <v>18</v>
      </c>
      <c r="C569" s="12">
        <v>476.70000000000005</v>
      </c>
      <c r="F569" s="1">
        <v>45465</v>
      </c>
      <c r="G569" t="s">
        <v>19</v>
      </c>
      <c r="H569" s="12">
        <v>476.70000000000005</v>
      </c>
    </row>
    <row r="570" spans="1:8" x14ac:dyDescent="0.3">
      <c r="A570" s="1">
        <v>45685</v>
      </c>
      <c r="B570" t="s">
        <v>37</v>
      </c>
      <c r="C570" s="12">
        <v>476.25</v>
      </c>
      <c r="F570" s="1">
        <v>45685</v>
      </c>
      <c r="G570" t="s">
        <v>40</v>
      </c>
      <c r="H570" s="12">
        <v>476.25</v>
      </c>
    </row>
    <row r="571" spans="1:8" x14ac:dyDescent="0.3">
      <c r="A571" s="1">
        <v>45712</v>
      </c>
      <c r="B571" t="s">
        <v>13</v>
      </c>
      <c r="C571" s="12">
        <v>475.07</v>
      </c>
      <c r="F571" s="1">
        <v>45712</v>
      </c>
      <c r="G571" t="s">
        <v>42</v>
      </c>
      <c r="H571" s="12">
        <v>475.07</v>
      </c>
    </row>
    <row r="572" spans="1:8" x14ac:dyDescent="0.3">
      <c r="A572" s="1">
        <v>45436</v>
      </c>
      <c r="B572" t="s">
        <v>13</v>
      </c>
      <c r="C572" s="12">
        <v>474.75</v>
      </c>
      <c r="F572" s="1">
        <v>45436</v>
      </c>
      <c r="G572" t="s">
        <v>111</v>
      </c>
      <c r="H572" s="12">
        <v>474.75</v>
      </c>
    </row>
    <row r="573" spans="1:8" x14ac:dyDescent="0.3">
      <c r="A573" s="1">
        <v>45515</v>
      </c>
      <c r="B573" t="s">
        <v>13</v>
      </c>
      <c r="C573" s="12">
        <v>474.06</v>
      </c>
      <c r="F573" s="1">
        <v>45515</v>
      </c>
      <c r="G573" t="s">
        <v>32</v>
      </c>
      <c r="H573" s="12">
        <v>474.06</v>
      </c>
    </row>
    <row r="574" spans="1:8" x14ac:dyDescent="0.3">
      <c r="A574" s="1">
        <v>45404</v>
      </c>
      <c r="B574" t="s">
        <v>18</v>
      </c>
      <c r="C574" s="12">
        <v>473.99</v>
      </c>
      <c r="F574" s="1">
        <v>45404</v>
      </c>
      <c r="G574" t="s">
        <v>87</v>
      </c>
      <c r="H574" s="12">
        <v>473.99</v>
      </c>
    </row>
    <row r="575" spans="1:8" x14ac:dyDescent="0.3">
      <c r="A575" s="1">
        <v>45622</v>
      </c>
      <c r="B575" t="s">
        <v>18</v>
      </c>
      <c r="C575" s="12">
        <v>473.22</v>
      </c>
      <c r="F575" s="1">
        <v>45622</v>
      </c>
      <c r="G575" t="s">
        <v>34</v>
      </c>
      <c r="H575" s="12">
        <v>473.22</v>
      </c>
    </row>
    <row r="576" spans="1:8" x14ac:dyDescent="0.3">
      <c r="A576" s="1">
        <v>45437</v>
      </c>
      <c r="B576" t="s">
        <v>18</v>
      </c>
      <c r="C576" s="12">
        <v>470.23</v>
      </c>
      <c r="F576" s="1">
        <v>45437</v>
      </c>
      <c r="G576" t="s">
        <v>34</v>
      </c>
      <c r="H576" s="12">
        <v>470.23</v>
      </c>
    </row>
    <row r="577" spans="1:8" x14ac:dyDescent="0.3">
      <c r="A577" s="1">
        <v>45425</v>
      </c>
      <c r="B577" t="s">
        <v>24</v>
      </c>
      <c r="C577" s="12">
        <v>467.7</v>
      </c>
      <c r="F577" s="1">
        <v>45425</v>
      </c>
      <c r="G577" t="s">
        <v>44</v>
      </c>
      <c r="H577" s="12">
        <v>467.7</v>
      </c>
    </row>
    <row r="578" spans="1:8" x14ac:dyDescent="0.3">
      <c r="A578" s="1">
        <v>45685</v>
      </c>
      <c r="B578" t="s">
        <v>28</v>
      </c>
      <c r="C578" s="12">
        <v>467.54</v>
      </c>
      <c r="F578" s="1">
        <v>45685</v>
      </c>
      <c r="G578" t="s">
        <v>72</v>
      </c>
      <c r="H578" s="12">
        <v>467.54</v>
      </c>
    </row>
    <row r="579" spans="1:8" x14ac:dyDescent="0.3">
      <c r="A579" s="1">
        <v>45640</v>
      </c>
      <c r="B579" t="s">
        <v>18</v>
      </c>
      <c r="C579" s="12">
        <v>466.45000000000005</v>
      </c>
      <c r="F579" s="1">
        <v>45640</v>
      </c>
      <c r="G579" t="s">
        <v>87</v>
      </c>
      <c r="H579" s="12">
        <v>466.45000000000005</v>
      </c>
    </row>
    <row r="580" spans="1:8" x14ac:dyDescent="0.3">
      <c r="A580" s="1">
        <v>45402</v>
      </c>
      <c r="B580" t="s">
        <v>13</v>
      </c>
      <c r="C580" s="12">
        <v>465.66</v>
      </c>
      <c r="F580" s="1">
        <v>45402</v>
      </c>
      <c r="G580" t="s">
        <v>47</v>
      </c>
      <c r="H580" s="12">
        <v>465.66</v>
      </c>
    </row>
    <row r="581" spans="1:8" x14ac:dyDescent="0.3">
      <c r="A581" s="1">
        <v>45675</v>
      </c>
      <c r="B581" t="s">
        <v>37</v>
      </c>
      <c r="C581" s="12">
        <v>463.7</v>
      </c>
      <c r="F581" s="1">
        <v>45675</v>
      </c>
      <c r="G581" t="s">
        <v>95</v>
      </c>
      <c r="H581" s="12">
        <v>463.7</v>
      </c>
    </row>
    <row r="582" spans="1:8" x14ac:dyDescent="0.3">
      <c r="A582" s="1">
        <v>45693</v>
      </c>
      <c r="B582" t="s">
        <v>28</v>
      </c>
      <c r="C582" s="12">
        <v>463.67</v>
      </c>
      <c r="F582" s="1">
        <v>45693</v>
      </c>
      <c r="G582" t="s">
        <v>29</v>
      </c>
      <c r="H582" s="12">
        <v>463.67</v>
      </c>
    </row>
    <row r="583" spans="1:8" x14ac:dyDescent="0.3">
      <c r="A583" s="1">
        <v>45412</v>
      </c>
      <c r="B583" t="s">
        <v>18</v>
      </c>
      <c r="C583" s="12">
        <v>463.62</v>
      </c>
      <c r="F583" s="1">
        <v>45412</v>
      </c>
      <c r="G583" t="s">
        <v>87</v>
      </c>
      <c r="H583" s="12">
        <v>463.62</v>
      </c>
    </row>
    <row r="584" spans="1:8" x14ac:dyDescent="0.3">
      <c r="A584" s="1">
        <v>45652</v>
      </c>
      <c r="B584" t="s">
        <v>28</v>
      </c>
      <c r="C584" s="12">
        <v>461.84999999999997</v>
      </c>
      <c r="F584" s="1">
        <v>45652</v>
      </c>
      <c r="G584" t="s">
        <v>51</v>
      </c>
      <c r="H584" s="12">
        <v>461.84999999999997</v>
      </c>
    </row>
    <row r="585" spans="1:8" x14ac:dyDescent="0.3">
      <c r="A585" s="1">
        <v>45391</v>
      </c>
      <c r="B585" t="s">
        <v>18</v>
      </c>
      <c r="C585" s="12">
        <v>461.44</v>
      </c>
      <c r="F585" s="1">
        <v>45391</v>
      </c>
      <c r="G585" t="s">
        <v>19</v>
      </c>
      <c r="H585" s="12">
        <v>461.44</v>
      </c>
    </row>
    <row r="586" spans="1:8" x14ac:dyDescent="0.3">
      <c r="A586" s="1">
        <v>45724</v>
      </c>
      <c r="B586" t="s">
        <v>28</v>
      </c>
      <c r="C586" s="12">
        <v>461</v>
      </c>
      <c r="F586" s="1">
        <v>45724</v>
      </c>
      <c r="G586" t="s">
        <v>29</v>
      </c>
      <c r="H586" s="12">
        <v>461</v>
      </c>
    </row>
    <row r="587" spans="1:8" x14ac:dyDescent="0.3">
      <c r="A587" s="1">
        <v>45593</v>
      </c>
      <c r="B587" t="s">
        <v>24</v>
      </c>
      <c r="C587" s="12">
        <v>460.22</v>
      </c>
      <c r="F587" s="1">
        <v>45593</v>
      </c>
      <c r="G587" t="s">
        <v>25</v>
      </c>
      <c r="H587" s="12">
        <v>460.22</v>
      </c>
    </row>
    <row r="588" spans="1:8" x14ac:dyDescent="0.3">
      <c r="A588" s="1">
        <v>45567</v>
      </c>
      <c r="B588" t="s">
        <v>13</v>
      </c>
      <c r="C588" s="12">
        <v>459.45000000000005</v>
      </c>
      <c r="F588" s="1">
        <v>45567</v>
      </c>
      <c r="G588" t="s">
        <v>42</v>
      </c>
      <c r="H588" s="12">
        <v>459.45000000000005</v>
      </c>
    </row>
    <row r="589" spans="1:8" x14ac:dyDescent="0.3">
      <c r="A589" s="1">
        <v>45681</v>
      </c>
      <c r="B589" t="s">
        <v>37</v>
      </c>
      <c r="C589" s="12">
        <v>459.4</v>
      </c>
      <c r="F589" s="1">
        <v>45681</v>
      </c>
      <c r="G589" t="s">
        <v>68</v>
      </c>
      <c r="H589" s="12">
        <v>459.4</v>
      </c>
    </row>
    <row r="590" spans="1:8" x14ac:dyDescent="0.3">
      <c r="A590" s="1">
        <v>45475</v>
      </c>
      <c r="B590" t="s">
        <v>13</v>
      </c>
      <c r="C590" s="12">
        <v>459.36</v>
      </c>
      <c r="F590" s="1">
        <v>45475</v>
      </c>
      <c r="G590" t="s">
        <v>47</v>
      </c>
      <c r="H590" s="12">
        <v>459.36</v>
      </c>
    </row>
    <row r="591" spans="1:8" x14ac:dyDescent="0.3">
      <c r="A591" s="1">
        <v>45527</v>
      </c>
      <c r="B591" t="s">
        <v>24</v>
      </c>
      <c r="C591" s="12">
        <v>459.14</v>
      </c>
      <c r="F591" s="1">
        <v>45527</v>
      </c>
      <c r="G591" t="s">
        <v>65</v>
      </c>
      <c r="H591" s="12">
        <v>459.14</v>
      </c>
    </row>
    <row r="592" spans="1:8" x14ac:dyDescent="0.3">
      <c r="A592" s="1">
        <v>45576</v>
      </c>
      <c r="B592" t="s">
        <v>13</v>
      </c>
      <c r="C592" s="12">
        <v>458.04</v>
      </c>
      <c r="F592" s="1">
        <v>45576</v>
      </c>
      <c r="G592" t="s">
        <v>47</v>
      </c>
      <c r="H592" s="12">
        <v>458.04</v>
      </c>
    </row>
    <row r="593" spans="1:8" x14ac:dyDescent="0.3">
      <c r="A593" s="1">
        <v>45540</v>
      </c>
      <c r="B593" t="s">
        <v>24</v>
      </c>
      <c r="C593" s="12">
        <v>458.02</v>
      </c>
      <c r="F593" s="1">
        <v>45540</v>
      </c>
      <c r="G593" t="s">
        <v>44</v>
      </c>
      <c r="H593" s="12">
        <v>458.02</v>
      </c>
    </row>
    <row r="594" spans="1:8" x14ac:dyDescent="0.3">
      <c r="A594" s="1">
        <v>45387</v>
      </c>
      <c r="B594" t="s">
        <v>28</v>
      </c>
      <c r="C594" s="12">
        <v>457.29</v>
      </c>
      <c r="F594" s="1">
        <v>45387</v>
      </c>
      <c r="G594" t="s">
        <v>29</v>
      </c>
      <c r="H594" s="12">
        <v>457.29</v>
      </c>
    </row>
    <row r="595" spans="1:8" x14ac:dyDescent="0.3">
      <c r="A595" s="1">
        <v>45619</v>
      </c>
      <c r="B595" t="s">
        <v>13</v>
      </c>
      <c r="C595" s="12">
        <v>455.42</v>
      </c>
      <c r="F595" s="1">
        <v>45619</v>
      </c>
      <c r="G595" t="s">
        <v>32</v>
      </c>
      <c r="H595" s="12">
        <v>455.42</v>
      </c>
    </row>
    <row r="596" spans="1:8" x14ac:dyDescent="0.3">
      <c r="A596" s="1">
        <v>45708</v>
      </c>
      <c r="B596" t="s">
        <v>18</v>
      </c>
      <c r="C596" s="12">
        <v>454.56</v>
      </c>
      <c r="F596" s="1">
        <v>45708</v>
      </c>
      <c r="G596" t="s">
        <v>34</v>
      </c>
      <c r="H596" s="12">
        <v>454.56</v>
      </c>
    </row>
    <row r="597" spans="1:8" x14ac:dyDescent="0.3">
      <c r="A597" s="1">
        <v>45425</v>
      </c>
      <c r="B597" t="s">
        <v>28</v>
      </c>
      <c r="C597" s="12">
        <v>454.26</v>
      </c>
      <c r="F597" s="1">
        <v>45425</v>
      </c>
      <c r="G597" t="s">
        <v>79</v>
      </c>
      <c r="H597" s="12">
        <v>454.26</v>
      </c>
    </row>
    <row r="598" spans="1:8" x14ac:dyDescent="0.3">
      <c r="A598" s="1">
        <v>45688</v>
      </c>
      <c r="B598" t="s">
        <v>37</v>
      </c>
      <c r="C598" s="12">
        <v>452.96</v>
      </c>
      <c r="F598" s="1">
        <v>45688</v>
      </c>
      <c r="G598" t="s">
        <v>68</v>
      </c>
      <c r="H598" s="12">
        <v>452.96</v>
      </c>
    </row>
    <row r="599" spans="1:8" x14ac:dyDescent="0.3">
      <c r="A599" s="1">
        <v>45476</v>
      </c>
      <c r="B599" t="s">
        <v>28</v>
      </c>
      <c r="C599" s="12">
        <v>451.26</v>
      </c>
      <c r="F599" s="1">
        <v>45476</v>
      </c>
      <c r="G599" t="s">
        <v>77</v>
      </c>
      <c r="H599" s="12">
        <v>451.26</v>
      </c>
    </row>
    <row r="600" spans="1:8" x14ac:dyDescent="0.3">
      <c r="A600" s="1">
        <v>45668</v>
      </c>
      <c r="B600" t="s">
        <v>37</v>
      </c>
      <c r="C600" s="12">
        <v>450.81</v>
      </c>
      <c r="F600" s="1">
        <v>45668</v>
      </c>
      <c r="G600" t="s">
        <v>68</v>
      </c>
      <c r="H600" s="12">
        <v>450.81</v>
      </c>
    </row>
    <row r="601" spans="1:8" x14ac:dyDescent="0.3">
      <c r="A601" s="1">
        <v>45487</v>
      </c>
      <c r="B601" t="s">
        <v>37</v>
      </c>
      <c r="C601" s="12">
        <v>449.54999999999995</v>
      </c>
      <c r="F601" s="1">
        <v>45487</v>
      </c>
      <c r="G601" t="s">
        <v>95</v>
      </c>
      <c r="H601" s="12">
        <v>449.54999999999995</v>
      </c>
    </row>
    <row r="602" spans="1:8" x14ac:dyDescent="0.3">
      <c r="A602" s="1">
        <v>45508</v>
      </c>
      <c r="B602" t="s">
        <v>24</v>
      </c>
      <c r="C602" s="12">
        <v>448.83000000000004</v>
      </c>
      <c r="F602" s="1">
        <v>45508</v>
      </c>
      <c r="G602" t="s">
        <v>65</v>
      </c>
      <c r="H602" s="12">
        <v>448.83000000000004</v>
      </c>
    </row>
    <row r="603" spans="1:8" x14ac:dyDescent="0.3">
      <c r="A603" s="1">
        <v>45610</v>
      </c>
      <c r="B603" t="s">
        <v>18</v>
      </c>
      <c r="C603" s="12">
        <v>448.47</v>
      </c>
      <c r="F603" s="1">
        <v>45610</v>
      </c>
      <c r="G603" t="s">
        <v>34</v>
      </c>
      <c r="H603" s="12">
        <v>448.47</v>
      </c>
    </row>
    <row r="604" spans="1:8" x14ac:dyDescent="0.3">
      <c r="A604" s="1">
        <v>45601</v>
      </c>
      <c r="B604" t="s">
        <v>24</v>
      </c>
      <c r="C604" s="12">
        <v>447.49</v>
      </c>
      <c r="F604" s="1">
        <v>45601</v>
      </c>
      <c r="G604" t="s">
        <v>65</v>
      </c>
      <c r="H604" s="12">
        <v>447.49</v>
      </c>
    </row>
    <row r="605" spans="1:8" x14ac:dyDescent="0.3">
      <c r="A605" s="1">
        <v>45495</v>
      </c>
      <c r="B605" t="s">
        <v>13</v>
      </c>
      <c r="C605" s="12">
        <v>447.13</v>
      </c>
      <c r="F605" s="1">
        <v>45495</v>
      </c>
      <c r="G605" t="s">
        <v>14</v>
      </c>
      <c r="H605" s="12">
        <v>447.13</v>
      </c>
    </row>
    <row r="606" spans="1:8" x14ac:dyDescent="0.3">
      <c r="A606" s="1">
        <v>45631</v>
      </c>
      <c r="B606" t="s">
        <v>18</v>
      </c>
      <c r="C606" s="12">
        <v>442.84999999999997</v>
      </c>
      <c r="F606" s="1">
        <v>45631</v>
      </c>
      <c r="G606" t="s">
        <v>22</v>
      </c>
      <c r="H606" s="12">
        <v>442.84999999999997</v>
      </c>
    </row>
    <row r="607" spans="1:8" x14ac:dyDescent="0.3">
      <c r="A607" s="1">
        <v>45452</v>
      </c>
      <c r="B607" t="s">
        <v>13</v>
      </c>
      <c r="C607" s="12">
        <v>442.68</v>
      </c>
      <c r="F607" s="1">
        <v>45452</v>
      </c>
      <c r="G607" t="s">
        <v>111</v>
      </c>
      <c r="H607" s="12">
        <v>442.68</v>
      </c>
    </row>
    <row r="608" spans="1:8" x14ac:dyDescent="0.3">
      <c r="A608" s="1">
        <v>45711</v>
      </c>
      <c r="B608" t="s">
        <v>28</v>
      </c>
      <c r="C608" s="12">
        <v>440.01</v>
      </c>
      <c r="F608" s="1">
        <v>45711</v>
      </c>
      <c r="G608" t="s">
        <v>79</v>
      </c>
      <c r="H608" s="12">
        <v>440.01</v>
      </c>
    </row>
    <row r="609" spans="1:8" x14ac:dyDescent="0.3">
      <c r="A609" s="1">
        <v>45543</v>
      </c>
      <c r="B609" t="s">
        <v>18</v>
      </c>
      <c r="C609" s="12">
        <v>439.96</v>
      </c>
      <c r="F609" s="1">
        <v>45543</v>
      </c>
      <c r="G609" t="s">
        <v>34</v>
      </c>
      <c r="H609" s="12">
        <v>439.96</v>
      </c>
    </row>
    <row r="610" spans="1:8" x14ac:dyDescent="0.3">
      <c r="A610" s="1">
        <v>45537</v>
      </c>
      <c r="B610" t="s">
        <v>13</v>
      </c>
      <c r="C610" s="12">
        <v>436.34999999999997</v>
      </c>
      <c r="F610" s="1">
        <v>45537</v>
      </c>
      <c r="G610" t="s">
        <v>47</v>
      </c>
      <c r="H610" s="12">
        <v>436.34999999999997</v>
      </c>
    </row>
    <row r="611" spans="1:8" x14ac:dyDescent="0.3">
      <c r="A611" s="1">
        <v>45680</v>
      </c>
      <c r="B611" t="s">
        <v>18</v>
      </c>
      <c r="C611" s="12">
        <v>436.24</v>
      </c>
      <c r="F611" s="1">
        <v>45680</v>
      </c>
      <c r="G611" t="s">
        <v>22</v>
      </c>
      <c r="H611" s="12">
        <v>436.24</v>
      </c>
    </row>
    <row r="612" spans="1:8" x14ac:dyDescent="0.3">
      <c r="A612" s="1">
        <v>45631</v>
      </c>
      <c r="B612" t="s">
        <v>28</v>
      </c>
      <c r="C612" s="12">
        <v>436.08000000000004</v>
      </c>
      <c r="F612" s="1">
        <v>45631</v>
      </c>
      <c r="G612" t="s">
        <v>79</v>
      </c>
      <c r="H612" s="12">
        <v>436.08000000000004</v>
      </c>
    </row>
    <row r="613" spans="1:8" x14ac:dyDescent="0.3">
      <c r="A613" s="1">
        <v>45378</v>
      </c>
      <c r="B613" t="s">
        <v>37</v>
      </c>
      <c r="C613" s="12">
        <v>435.34</v>
      </c>
      <c r="F613" s="1">
        <v>45378</v>
      </c>
      <c r="G613" t="s">
        <v>95</v>
      </c>
      <c r="H613" s="12">
        <v>435.34</v>
      </c>
    </row>
    <row r="614" spans="1:8" x14ac:dyDescent="0.3">
      <c r="A614" s="1">
        <v>45726</v>
      </c>
      <c r="B614" t="s">
        <v>13</v>
      </c>
      <c r="C614" s="12">
        <v>433.99</v>
      </c>
      <c r="F614" s="1">
        <v>45726</v>
      </c>
      <c r="G614" t="s">
        <v>32</v>
      </c>
      <c r="H614" s="12">
        <v>433.99</v>
      </c>
    </row>
    <row r="615" spans="1:8" x14ac:dyDescent="0.3">
      <c r="A615" s="1">
        <v>45645</v>
      </c>
      <c r="B615" t="s">
        <v>18</v>
      </c>
      <c r="C615" s="12">
        <v>432.67</v>
      </c>
      <c r="F615" s="1">
        <v>45645</v>
      </c>
      <c r="G615" t="s">
        <v>87</v>
      </c>
      <c r="H615" s="12">
        <v>432.67</v>
      </c>
    </row>
    <row r="616" spans="1:8" x14ac:dyDescent="0.3">
      <c r="A616" s="1">
        <v>45550</v>
      </c>
      <c r="B616" t="s">
        <v>28</v>
      </c>
      <c r="C616" s="12">
        <v>431.8</v>
      </c>
      <c r="F616" s="1">
        <v>45550</v>
      </c>
      <c r="G616" t="s">
        <v>29</v>
      </c>
      <c r="H616" s="12">
        <v>431.8</v>
      </c>
    </row>
    <row r="617" spans="1:8" x14ac:dyDescent="0.3">
      <c r="A617" s="1">
        <v>45443</v>
      </c>
      <c r="B617" t="s">
        <v>24</v>
      </c>
      <c r="C617" s="12">
        <v>430.26</v>
      </c>
      <c r="F617" s="1">
        <v>45443</v>
      </c>
      <c r="G617" t="s">
        <v>65</v>
      </c>
      <c r="H617" s="12">
        <v>430.26</v>
      </c>
    </row>
    <row r="618" spans="1:8" x14ac:dyDescent="0.3">
      <c r="A618" s="1">
        <v>45422</v>
      </c>
      <c r="B618" t="s">
        <v>28</v>
      </c>
      <c r="C618" s="12">
        <v>429.6</v>
      </c>
      <c r="F618" s="1">
        <v>45422</v>
      </c>
      <c r="G618" t="s">
        <v>77</v>
      </c>
      <c r="H618" s="12">
        <v>429.6</v>
      </c>
    </row>
    <row r="619" spans="1:8" x14ac:dyDescent="0.3">
      <c r="A619" s="1">
        <v>45407</v>
      </c>
      <c r="B619" t="s">
        <v>18</v>
      </c>
      <c r="C619" s="12">
        <v>429.25</v>
      </c>
      <c r="F619" s="1">
        <v>45407</v>
      </c>
      <c r="G619" t="s">
        <v>84</v>
      </c>
      <c r="H619" s="12">
        <v>429.25</v>
      </c>
    </row>
    <row r="620" spans="1:8" x14ac:dyDescent="0.3">
      <c r="A620" s="1">
        <v>45669</v>
      </c>
      <c r="B620" t="s">
        <v>37</v>
      </c>
      <c r="C620" s="12">
        <v>428.62</v>
      </c>
      <c r="F620" s="1">
        <v>45669</v>
      </c>
      <c r="G620" t="s">
        <v>95</v>
      </c>
      <c r="H620" s="12">
        <v>428.62</v>
      </c>
    </row>
    <row r="621" spans="1:8" x14ac:dyDescent="0.3">
      <c r="A621" s="1">
        <v>45439</v>
      </c>
      <c r="B621" t="s">
        <v>18</v>
      </c>
      <c r="C621" s="12">
        <v>428.52</v>
      </c>
      <c r="F621" s="1">
        <v>45439</v>
      </c>
      <c r="G621" t="s">
        <v>84</v>
      </c>
      <c r="H621" s="12">
        <v>428.52</v>
      </c>
    </row>
    <row r="622" spans="1:8" x14ac:dyDescent="0.3">
      <c r="A622" s="1">
        <v>45555</v>
      </c>
      <c r="B622" t="s">
        <v>37</v>
      </c>
      <c r="C622" s="12">
        <v>427.94</v>
      </c>
      <c r="F622" s="1">
        <v>45555</v>
      </c>
      <c r="G622" t="s">
        <v>40</v>
      </c>
      <c r="H622" s="12">
        <v>427.94</v>
      </c>
    </row>
    <row r="623" spans="1:8" x14ac:dyDescent="0.3">
      <c r="A623" s="1">
        <v>45468</v>
      </c>
      <c r="B623" t="s">
        <v>13</v>
      </c>
      <c r="C623" s="12">
        <v>425.54</v>
      </c>
      <c r="F623" s="1">
        <v>45468</v>
      </c>
      <c r="G623" t="s">
        <v>111</v>
      </c>
      <c r="H623" s="12">
        <v>425.54</v>
      </c>
    </row>
    <row r="624" spans="1:8" x14ac:dyDescent="0.3">
      <c r="A624" s="1">
        <v>45702</v>
      </c>
      <c r="B624" t="s">
        <v>24</v>
      </c>
      <c r="C624" s="12">
        <v>424.96</v>
      </c>
      <c r="F624" s="1">
        <v>45702</v>
      </c>
      <c r="G624" t="s">
        <v>25</v>
      </c>
      <c r="H624" s="12">
        <v>424.96</v>
      </c>
    </row>
    <row r="625" spans="1:8" x14ac:dyDescent="0.3">
      <c r="A625" s="1">
        <v>45673</v>
      </c>
      <c r="B625" t="s">
        <v>28</v>
      </c>
      <c r="C625" s="12">
        <v>424.55</v>
      </c>
      <c r="F625" s="1">
        <v>45673</v>
      </c>
      <c r="G625" t="s">
        <v>51</v>
      </c>
      <c r="H625" s="12">
        <v>424.55</v>
      </c>
    </row>
    <row r="626" spans="1:8" x14ac:dyDescent="0.3">
      <c r="A626" s="1">
        <v>45438</v>
      </c>
      <c r="B626" t="s">
        <v>28</v>
      </c>
      <c r="C626" s="12">
        <v>424.5</v>
      </c>
      <c r="F626" s="1">
        <v>45438</v>
      </c>
      <c r="G626" t="s">
        <v>77</v>
      </c>
      <c r="H626" s="12">
        <v>424.5</v>
      </c>
    </row>
    <row r="627" spans="1:8" x14ac:dyDescent="0.3">
      <c r="A627" s="1">
        <v>45370</v>
      </c>
      <c r="B627" t="s">
        <v>13</v>
      </c>
      <c r="C627" s="12">
        <v>424.45</v>
      </c>
      <c r="F627" s="1">
        <v>45370</v>
      </c>
      <c r="G627" t="s">
        <v>14</v>
      </c>
      <c r="H627" s="12">
        <v>424.45</v>
      </c>
    </row>
    <row r="628" spans="1:8" x14ac:dyDescent="0.3">
      <c r="A628" s="1">
        <v>45496</v>
      </c>
      <c r="B628" t="s">
        <v>18</v>
      </c>
      <c r="C628" s="12">
        <v>423.98</v>
      </c>
      <c r="F628" s="1">
        <v>45496</v>
      </c>
      <c r="G628" t="s">
        <v>34</v>
      </c>
      <c r="H628" s="12">
        <v>423.98</v>
      </c>
    </row>
    <row r="629" spans="1:8" x14ac:dyDescent="0.3">
      <c r="A629" s="1">
        <v>45694</v>
      </c>
      <c r="B629" t="s">
        <v>13</v>
      </c>
      <c r="C629" s="12">
        <v>420.63</v>
      </c>
      <c r="F629" s="1">
        <v>45694</v>
      </c>
      <c r="G629" t="s">
        <v>42</v>
      </c>
      <c r="H629" s="12">
        <v>420.63</v>
      </c>
    </row>
    <row r="630" spans="1:8" x14ac:dyDescent="0.3">
      <c r="A630" s="1">
        <v>45393</v>
      </c>
      <c r="B630" t="s">
        <v>28</v>
      </c>
      <c r="C630" s="12">
        <v>419.84999999999997</v>
      </c>
      <c r="F630" s="1">
        <v>45393</v>
      </c>
      <c r="G630" t="s">
        <v>51</v>
      </c>
      <c r="H630" s="12">
        <v>419.84999999999997</v>
      </c>
    </row>
    <row r="631" spans="1:8" x14ac:dyDescent="0.3">
      <c r="A631" s="1">
        <v>45622</v>
      </c>
      <c r="B631" t="s">
        <v>28</v>
      </c>
      <c r="C631" s="12">
        <v>419.8</v>
      </c>
      <c r="F631" s="1">
        <v>45622</v>
      </c>
      <c r="G631" t="s">
        <v>77</v>
      </c>
      <c r="H631" s="12">
        <v>419.8</v>
      </c>
    </row>
    <row r="632" spans="1:8" x14ac:dyDescent="0.3">
      <c r="A632" s="1">
        <v>45609</v>
      </c>
      <c r="B632" t="s">
        <v>24</v>
      </c>
      <c r="C632" s="12">
        <v>419.6</v>
      </c>
      <c r="F632" s="1">
        <v>45609</v>
      </c>
      <c r="G632" t="s">
        <v>65</v>
      </c>
      <c r="H632" s="12">
        <v>419.6</v>
      </c>
    </row>
    <row r="633" spans="1:8" x14ac:dyDescent="0.3">
      <c r="A633" s="1">
        <v>45476</v>
      </c>
      <c r="B633" t="s">
        <v>37</v>
      </c>
      <c r="C633" s="12">
        <v>415.86</v>
      </c>
      <c r="F633" s="1">
        <v>45476</v>
      </c>
      <c r="G633" t="s">
        <v>58</v>
      </c>
      <c r="H633" s="12">
        <v>415.86</v>
      </c>
    </row>
    <row r="634" spans="1:8" x14ac:dyDescent="0.3">
      <c r="A634" s="1">
        <v>45704</v>
      </c>
      <c r="B634" t="s">
        <v>18</v>
      </c>
      <c r="C634" s="12">
        <v>415.49</v>
      </c>
      <c r="F634" s="1">
        <v>45704</v>
      </c>
      <c r="G634" t="s">
        <v>22</v>
      </c>
      <c r="H634" s="12">
        <v>415.49</v>
      </c>
    </row>
    <row r="635" spans="1:8" x14ac:dyDescent="0.3">
      <c r="A635" s="1">
        <v>45390</v>
      </c>
      <c r="B635" t="s">
        <v>18</v>
      </c>
      <c r="C635" s="12">
        <v>414.90000000000003</v>
      </c>
      <c r="F635" s="1">
        <v>45390</v>
      </c>
      <c r="G635" t="s">
        <v>84</v>
      </c>
      <c r="H635" s="12">
        <v>414.90000000000003</v>
      </c>
    </row>
    <row r="636" spans="1:8" x14ac:dyDescent="0.3">
      <c r="A636" s="1">
        <v>45682</v>
      </c>
      <c r="B636" t="s">
        <v>37</v>
      </c>
      <c r="C636" s="12">
        <v>414.51</v>
      </c>
      <c r="F636" s="1">
        <v>45682</v>
      </c>
      <c r="G636" t="s">
        <v>95</v>
      </c>
      <c r="H636" s="12">
        <v>414.51</v>
      </c>
    </row>
    <row r="637" spans="1:8" x14ac:dyDescent="0.3">
      <c r="A637" s="1">
        <v>45604</v>
      </c>
      <c r="B637" t="s">
        <v>28</v>
      </c>
      <c r="C637" s="12">
        <v>413.66999999999996</v>
      </c>
      <c r="F637" s="1">
        <v>45604</v>
      </c>
      <c r="G637" t="s">
        <v>72</v>
      </c>
      <c r="H637" s="12">
        <v>413.66999999999996</v>
      </c>
    </row>
    <row r="638" spans="1:8" x14ac:dyDescent="0.3">
      <c r="A638" s="1">
        <v>45494</v>
      </c>
      <c r="B638" t="s">
        <v>18</v>
      </c>
      <c r="C638" s="12">
        <v>412.04999999999995</v>
      </c>
      <c r="F638" s="1">
        <v>45494</v>
      </c>
      <c r="G638" t="s">
        <v>84</v>
      </c>
      <c r="H638" s="12">
        <v>412.04999999999995</v>
      </c>
    </row>
    <row r="639" spans="1:8" x14ac:dyDescent="0.3">
      <c r="A639" s="1">
        <v>45408</v>
      </c>
      <c r="B639" t="s">
        <v>24</v>
      </c>
      <c r="C639" s="12">
        <v>410.45</v>
      </c>
      <c r="F639" s="1">
        <v>45408</v>
      </c>
      <c r="G639" t="s">
        <v>44</v>
      </c>
      <c r="H639" s="12">
        <v>410.45</v>
      </c>
    </row>
    <row r="640" spans="1:8" x14ac:dyDescent="0.3">
      <c r="A640" s="1">
        <v>45588</v>
      </c>
      <c r="B640" t="s">
        <v>28</v>
      </c>
      <c r="C640" s="12">
        <v>409.92</v>
      </c>
      <c r="F640" s="1">
        <v>45588</v>
      </c>
      <c r="G640" t="s">
        <v>72</v>
      </c>
      <c r="H640" s="12">
        <v>409.92</v>
      </c>
    </row>
    <row r="641" spans="1:8" x14ac:dyDescent="0.3">
      <c r="A641" s="1">
        <v>45438</v>
      </c>
      <c r="B641" t="s">
        <v>18</v>
      </c>
      <c r="C641" s="12">
        <v>409.85</v>
      </c>
      <c r="F641" s="1">
        <v>45438</v>
      </c>
      <c r="G641" t="s">
        <v>22</v>
      </c>
      <c r="H641" s="12">
        <v>409.85</v>
      </c>
    </row>
    <row r="642" spans="1:8" x14ac:dyDescent="0.3">
      <c r="A642" s="1">
        <v>45521</v>
      </c>
      <c r="B642" t="s">
        <v>28</v>
      </c>
      <c r="C642" s="12">
        <v>408.63</v>
      </c>
      <c r="F642" s="1">
        <v>45521</v>
      </c>
      <c r="G642" t="s">
        <v>77</v>
      </c>
      <c r="H642" s="12">
        <v>408.63</v>
      </c>
    </row>
    <row r="643" spans="1:8" x14ac:dyDescent="0.3">
      <c r="A643" s="1">
        <v>45706</v>
      </c>
      <c r="B643" t="s">
        <v>24</v>
      </c>
      <c r="C643" s="12">
        <v>407.88</v>
      </c>
      <c r="F643" s="1">
        <v>45706</v>
      </c>
      <c r="G643" t="s">
        <v>63</v>
      </c>
      <c r="H643" s="12">
        <v>407.88</v>
      </c>
    </row>
    <row r="644" spans="1:8" x14ac:dyDescent="0.3">
      <c r="A644" s="1">
        <v>45435</v>
      </c>
      <c r="B644" t="s">
        <v>24</v>
      </c>
      <c r="C644" s="12">
        <v>407.22</v>
      </c>
      <c r="F644" s="1">
        <v>45435</v>
      </c>
      <c r="G644" t="s">
        <v>49</v>
      </c>
      <c r="H644" s="12">
        <v>407.22</v>
      </c>
    </row>
    <row r="645" spans="1:8" x14ac:dyDescent="0.3">
      <c r="A645" s="1">
        <v>45461</v>
      </c>
      <c r="B645" t="s">
        <v>24</v>
      </c>
      <c r="C645" s="12">
        <v>405.91</v>
      </c>
      <c r="F645" s="1">
        <v>45461</v>
      </c>
      <c r="G645" t="s">
        <v>49</v>
      </c>
      <c r="H645" s="12">
        <v>405.91</v>
      </c>
    </row>
    <row r="646" spans="1:8" x14ac:dyDescent="0.3">
      <c r="A646" s="1">
        <v>45488</v>
      </c>
      <c r="B646" t="s">
        <v>24</v>
      </c>
      <c r="C646" s="12">
        <v>405.65</v>
      </c>
      <c r="F646" s="1">
        <v>45488</v>
      </c>
      <c r="G646" t="s">
        <v>65</v>
      </c>
      <c r="H646" s="12">
        <v>405.65</v>
      </c>
    </row>
    <row r="647" spans="1:8" x14ac:dyDescent="0.3">
      <c r="A647" s="1">
        <v>45380</v>
      </c>
      <c r="B647" t="s">
        <v>24</v>
      </c>
      <c r="C647" s="12">
        <v>405.16</v>
      </c>
      <c r="F647" s="1">
        <v>45380</v>
      </c>
      <c r="G647" t="s">
        <v>49</v>
      </c>
      <c r="H647" s="12">
        <v>405.16</v>
      </c>
    </row>
    <row r="648" spans="1:8" x14ac:dyDescent="0.3">
      <c r="A648" s="1">
        <v>45467</v>
      </c>
      <c r="B648" t="s">
        <v>37</v>
      </c>
      <c r="C648" s="12">
        <v>404.83</v>
      </c>
      <c r="F648" s="1">
        <v>45467</v>
      </c>
      <c r="G648" t="s">
        <v>40</v>
      </c>
      <c r="H648" s="12">
        <v>404.83</v>
      </c>
    </row>
    <row r="649" spans="1:8" x14ac:dyDescent="0.3">
      <c r="A649" s="1">
        <v>45630</v>
      </c>
      <c r="B649" t="s">
        <v>37</v>
      </c>
      <c r="C649" s="12">
        <v>404.07</v>
      </c>
      <c r="F649" s="1">
        <v>45630</v>
      </c>
      <c r="G649" t="s">
        <v>95</v>
      </c>
      <c r="H649" s="12">
        <v>404.07</v>
      </c>
    </row>
    <row r="650" spans="1:8" x14ac:dyDescent="0.3">
      <c r="A650" s="1">
        <v>45732</v>
      </c>
      <c r="B650" t="s">
        <v>24</v>
      </c>
      <c r="C650" s="12">
        <v>404.04</v>
      </c>
      <c r="F650" s="1">
        <v>45732</v>
      </c>
      <c r="G650" t="s">
        <v>49</v>
      </c>
      <c r="H650" s="12">
        <v>404.04</v>
      </c>
    </row>
    <row r="651" spans="1:8" x14ac:dyDescent="0.3">
      <c r="A651" s="1">
        <v>45602</v>
      </c>
      <c r="B651" t="s">
        <v>18</v>
      </c>
      <c r="C651" s="12">
        <v>401.05</v>
      </c>
      <c r="F651" s="1">
        <v>45602</v>
      </c>
      <c r="G651" t="s">
        <v>34</v>
      </c>
      <c r="H651" s="12">
        <v>401.05</v>
      </c>
    </row>
    <row r="652" spans="1:8" x14ac:dyDescent="0.3">
      <c r="A652" s="1">
        <v>45374</v>
      </c>
      <c r="B652" t="s">
        <v>13</v>
      </c>
      <c r="C652" s="12">
        <v>400.34</v>
      </c>
      <c r="F652" s="1">
        <v>45374</v>
      </c>
      <c r="G652" t="s">
        <v>14</v>
      </c>
      <c r="H652" s="12">
        <v>400.34</v>
      </c>
    </row>
    <row r="653" spans="1:8" x14ac:dyDescent="0.3">
      <c r="A653" s="1">
        <v>45534</v>
      </c>
      <c r="B653" t="s">
        <v>24</v>
      </c>
      <c r="C653" s="12">
        <v>399.18</v>
      </c>
      <c r="F653" s="1">
        <v>45534</v>
      </c>
      <c r="G653" t="s">
        <v>44</v>
      </c>
      <c r="H653" s="12">
        <v>399.18</v>
      </c>
    </row>
    <row r="654" spans="1:8" x14ac:dyDescent="0.3">
      <c r="A654" s="1">
        <v>45657</v>
      </c>
      <c r="B654" t="s">
        <v>24</v>
      </c>
      <c r="C654" s="12">
        <v>398.29999999999995</v>
      </c>
      <c r="F654" s="1">
        <v>45657</v>
      </c>
      <c r="G654" t="s">
        <v>49</v>
      </c>
      <c r="H654" s="12">
        <v>398.29999999999995</v>
      </c>
    </row>
    <row r="655" spans="1:8" x14ac:dyDescent="0.3">
      <c r="A655" s="1">
        <v>45400</v>
      </c>
      <c r="B655" t="s">
        <v>18</v>
      </c>
      <c r="C655" s="12">
        <v>398.24</v>
      </c>
      <c r="F655" s="1">
        <v>45400</v>
      </c>
      <c r="G655" t="s">
        <v>34</v>
      </c>
      <c r="H655" s="12">
        <v>398.24</v>
      </c>
    </row>
    <row r="656" spans="1:8" x14ac:dyDescent="0.3">
      <c r="A656" s="1">
        <v>45645</v>
      </c>
      <c r="B656" t="s">
        <v>13</v>
      </c>
      <c r="C656" s="12">
        <v>395.92</v>
      </c>
      <c r="F656" s="1">
        <v>45645</v>
      </c>
      <c r="G656" t="s">
        <v>14</v>
      </c>
      <c r="H656" s="12">
        <v>395.92</v>
      </c>
    </row>
    <row r="657" spans="1:8" x14ac:dyDescent="0.3">
      <c r="A657" s="1">
        <v>45492</v>
      </c>
      <c r="B657" t="s">
        <v>28</v>
      </c>
      <c r="C657" s="12">
        <v>394.75</v>
      </c>
      <c r="F657" s="1">
        <v>45492</v>
      </c>
      <c r="G657" t="s">
        <v>29</v>
      </c>
      <c r="H657" s="12">
        <v>394.75</v>
      </c>
    </row>
    <row r="658" spans="1:8" x14ac:dyDescent="0.3">
      <c r="A658" s="1">
        <v>45454</v>
      </c>
      <c r="B658" t="s">
        <v>18</v>
      </c>
      <c r="C658" s="12">
        <v>394.31</v>
      </c>
      <c r="F658" s="1">
        <v>45454</v>
      </c>
      <c r="G658" t="s">
        <v>84</v>
      </c>
      <c r="H658" s="12">
        <v>394.31</v>
      </c>
    </row>
    <row r="659" spans="1:8" x14ac:dyDescent="0.3">
      <c r="A659" s="1">
        <v>45403</v>
      </c>
      <c r="B659" t="s">
        <v>37</v>
      </c>
      <c r="C659" s="12">
        <v>394.06</v>
      </c>
      <c r="F659" s="1">
        <v>45403</v>
      </c>
      <c r="G659" t="s">
        <v>38</v>
      </c>
      <c r="H659" s="12">
        <v>394.06</v>
      </c>
    </row>
    <row r="660" spans="1:8" x14ac:dyDescent="0.3">
      <c r="A660" s="1">
        <v>45489</v>
      </c>
      <c r="B660" t="s">
        <v>13</v>
      </c>
      <c r="C660" s="12">
        <v>393.9</v>
      </c>
      <c r="F660" s="1">
        <v>45489</v>
      </c>
      <c r="G660" t="s">
        <v>42</v>
      </c>
      <c r="H660" s="12">
        <v>393.9</v>
      </c>
    </row>
    <row r="661" spans="1:8" x14ac:dyDescent="0.3">
      <c r="A661" s="1">
        <v>45699</v>
      </c>
      <c r="B661" t="s">
        <v>13</v>
      </c>
      <c r="C661" s="12">
        <v>391.58</v>
      </c>
      <c r="F661" s="1">
        <v>45699</v>
      </c>
      <c r="G661" t="s">
        <v>47</v>
      </c>
      <c r="H661" s="12">
        <v>391.58</v>
      </c>
    </row>
    <row r="662" spans="1:8" x14ac:dyDescent="0.3">
      <c r="A662" s="1">
        <v>45484</v>
      </c>
      <c r="B662" t="s">
        <v>24</v>
      </c>
      <c r="C662" s="12">
        <v>390.35</v>
      </c>
      <c r="F662" s="1">
        <v>45484</v>
      </c>
      <c r="G662" t="s">
        <v>49</v>
      </c>
      <c r="H662" s="12">
        <v>390.35</v>
      </c>
    </row>
    <row r="663" spans="1:8" x14ac:dyDescent="0.3">
      <c r="A663" s="1">
        <v>45684</v>
      </c>
      <c r="B663" t="s">
        <v>24</v>
      </c>
      <c r="C663" s="12">
        <v>389.49</v>
      </c>
      <c r="F663" s="1">
        <v>45684</v>
      </c>
      <c r="G663" t="s">
        <v>49</v>
      </c>
      <c r="H663" s="12">
        <v>389.49</v>
      </c>
    </row>
    <row r="664" spans="1:8" x14ac:dyDescent="0.3">
      <c r="A664" s="1">
        <v>45500</v>
      </c>
      <c r="B664" t="s">
        <v>18</v>
      </c>
      <c r="C664" s="12">
        <v>388.35</v>
      </c>
      <c r="F664" s="1">
        <v>45500</v>
      </c>
      <c r="G664" t="s">
        <v>19</v>
      </c>
      <c r="H664" s="12">
        <v>388.35</v>
      </c>
    </row>
    <row r="665" spans="1:8" x14ac:dyDescent="0.3">
      <c r="A665" s="1">
        <v>45561</v>
      </c>
      <c r="B665" t="s">
        <v>13</v>
      </c>
      <c r="C665" s="12">
        <v>388.04999999999995</v>
      </c>
      <c r="F665" s="1">
        <v>45561</v>
      </c>
      <c r="G665" t="s">
        <v>111</v>
      </c>
      <c r="H665" s="12">
        <v>388.04999999999995</v>
      </c>
    </row>
    <row r="666" spans="1:8" x14ac:dyDescent="0.3">
      <c r="A666" s="1">
        <v>45389</v>
      </c>
      <c r="B666" t="s">
        <v>37</v>
      </c>
      <c r="C666" s="12">
        <v>387.76</v>
      </c>
      <c r="F666" s="1">
        <v>45389</v>
      </c>
      <c r="G666" t="s">
        <v>68</v>
      </c>
      <c r="H666" s="12">
        <v>387.76</v>
      </c>
    </row>
    <row r="667" spans="1:8" x14ac:dyDescent="0.3">
      <c r="A667" s="1">
        <v>45453</v>
      </c>
      <c r="B667" t="s">
        <v>18</v>
      </c>
      <c r="C667" s="12">
        <v>386.91</v>
      </c>
      <c r="F667" s="1">
        <v>45453</v>
      </c>
      <c r="G667" t="s">
        <v>84</v>
      </c>
      <c r="H667" s="12">
        <v>386.91</v>
      </c>
    </row>
    <row r="668" spans="1:8" x14ac:dyDescent="0.3">
      <c r="A668" s="1">
        <v>45422</v>
      </c>
      <c r="B668" t="s">
        <v>37</v>
      </c>
      <c r="C668" s="12">
        <v>385.88</v>
      </c>
      <c r="F668" s="1">
        <v>45422</v>
      </c>
      <c r="G668" t="s">
        <v>58</v>
      </c>
      <c r="H668" s="12">
        <v>385.88</v>
      </c>
    </row>
    <row r="669" spans="1:8" x14ac:dyDescent="0.3">
      <c r="A669" s="1">
        <v>45671</v>
      </c>
      <c r="B669" t="s">
        <v>28</v>
      </c>
      <c r="C669" s="12">
        <v>383.34000000000003</v>
      </c>
      <c r="F669" s="1">
        <v>45671</v>
      </c>
      <c r="G669" t="s">
        <v>29</v>
      </c>
      <c r="H669" s="12">
        <v>383.34000000000003</v>
      </c>
    </row>
    <row r="670" spans="1:8" x14ac:dyDescent="0.3">
      <c r="A670" s="1">
        <v>45449</v>
      </c>
      <c r="B670" t="s">
        <v>13</v>
      </c>
      <c r="C670" s="12">
        <v>381.36</v>
      </c>
      <c r="F670" s="1">
        <v>45449</v>
      </c>
      <c r="G670" t="s">
        <v>14</v>
      </c>
      <c r="H670" s="12">
        <v>381.36</v>
      </c>
    </row>
    <row r="671" spans="1:8" x14ac:dyDescent="0.3">
      <c r="A671" s="1">
        <v>45728</v>
      </c>
      <c r="B671" t="s">
        <v>24</v>
      </c>
      <c r="C671" s="12">
        <v>381</v>
      </c>
      <c r="F671" s="1">
        <v>45728</v>
      </c>
      <c r="G671" t="s">
        <v>63</v>
      </c>
      <c r="H671" s="12">
        <v>381</v>
      </c>
    </row>
    <row r="672" spans="1:8" x14ac:dyDescent="0.3">
      <c r="A672" s="1">
        <v>45383</v>
      </c>
      <c r="B672" t="s">
        <v>28</v>
      </c>
      <c r="C672" s="12">
        <v>380.08</v>
      </c>
      <c r="F672" s="1">
        <v>45383</v>
      </c>
      <c r="G672" t="s">
        <v>51</v>
      </c>
      <c r="H672" s="12">
        <v>380.08</v>
      </c>
    </row>
    <row r="673" spans="1:8" x14ac:dyDescent="0.3">
      <c r="A673" s="1">
        <v>45377</v>
      </c>
      <c r="B673" t="s">
        <v>18</v>
      </c>
      <c r="C673" s="12">
        <v>376.94</v>
      </c>
      <c r="F673" s="1">
        <v>45377</v>
      </c>
      <c r="G673" t="s">
        <v>87</v>
      </c>
      <c r="H673" s="12">
        <v>376.94</v>
      </c>
    </row>
    <row r="674" spans="1:8" x14ac:dyDescent="0.3">
      <c r="A674" s="1">
        <v>45520</v>
      </c>
      <c r="B674" t="s">
        <v>18</v>
      </c>
      <c r="C674" s="12">
        <v>376.51</v>
      </c>
      <c r="F674" s="1">
        <v>45520</v>
      </c>
      <c r="G674" t="s">
        <v>19</v>
      </c>
      <c r="H674" s="12">
        <v>376.51</v>
      </c>
    </row>
    <row r="675" spans="1:8" x14ac:dyDescent="0.3">
      <c r="A675" s="1">
        <v>45528</v>
      </c>
      <c r="B675" t="s">
        <v>37</v>
      </c>
      <c r="C675" s="12">
        <v>375.92</v>
      </c>
      <c r="F675" s="1">
        <v>45528</v>
      </c>
      <c r="G675" t="s">
        <v>40</v>
      </c>
      <c r="H675" s="12">
        <v>375.92</v>
      </c>
    </row>
    <row r="676" spans="1:8" x14ac:dyDescent="0.3">
      <c r="A676" s="1">
        <v>45651</v>
      </c>
      <c r="B676" t="s">
        <v>24</v>
      </c>
      <c r="C676" s="12">
        <v>373.83</v>
      </c>
      <c r="F676" s="1">
        <v>45651</v>
      </c>
      <c r="G676" t="s">
        <v>65</v>
      </c>
      <c r="H676" s="12">
        <v>373.83</v>
      </c>
    </row>
    <row r="677" spans="1:8" x14ac:dyDescent="0.3">
      <c r="A677" s="1">
        <v>45474</v>
      </c>
      <c r="B677" t="s">
        <v>24</v>
      </c>
      <c r="C677" s="12">
        <v>372.43</v>
      </c>
      <c r="F677" s="1">
        <v>45474</v>
      </c>
      <c r="G677" t="s">
        <v>25</v>
      </c>
      <c r="H677" s="12">
        <v>372.43</v>
      </c>
    </row>
    <row r="678" spans="1:8" x14ac:dyDescent="0.3">
      <c r="A678" s="1">
        <v>45730</v>
      </c>
      <c r="B678" t="s">
        <v>13</v>
      </c>
      <c r="C678" s="12">
        <v>370.8</v>
      </c>
      <c r="F678" s="1">
        <v>45730</v>
      </c>
      <c r="G678" t="s">
        <v>42</v>
      </c>
      <c r="H678" s="12">
        <v>370.8</v>
      </c>
    </row>
    <row r="679" spans="1:8" x14ac:dyDescent="0.3">
      <c r="A679" s="1">
        <v>45671</v>
      </c>
      <c r="B679" t="s">
        <v>13</v>
      </c>
      <c r="C679" s="12">
        <v>368.4</v>
      </c>
      <c r="F679" s="1">
        <v>45671</v>
      </c>
      <c r="G679" t="s">
        <v>14</v>
      </c>
      <c r="H679" s="12">
        <v>368.4</v>
      </c>
    </row>
    <row r="680" spans="1:8" x14ac:dyDescent="0.3">
      <c r="A680" s="1">
        <v>45544</v>
      </c>
      <c r="B680" t="s">
        <v>13</v>
      </c>
      <c r="C680" s="12">
        <v>366.61</v>
      </c>
      <c r="F680" s="1">
        <v>45544</v>
      </c>
      <c r="G680" t="s">
        <v>47</v>
      </c>
      <c r="H680" s="12">
        <v>366.61</v>
      </c>
    </row>
    <row r="681" spans="1:8" x14ac:dyDescent="0.3">
      <c r="A681" s="1">
        <v>45735</v>
      </c>
      <c r="B681" t="s">
        <v>37</v>
      </c>
      <c r="C681" s="12">
        <v>366.27</v>
      </c>
      <c r="F681" s="1">
        <v>45735</v>
      </c>
      <c r="G681" t="s">
        <v>40</v>
      </c>
      <c r="H681" s="12">
        <v>366.27</v>
      </c>
    </row>
    <row r="682" spans="1:8" x14ac:dyDescent="0.3">
      <c r="A682" s="1">
        <v>45664</v>
      </c>
      <c r="B682" t="s">
        <v>37</v>
      </c>
      <c r="C682" s="12">
        <v>365.95</v>
      </c>
      <c r="F682" s="1">
        <v>45664</v>
      </c>
      <c r="G682" t="s">
        <v>68</v>
      </c>
      <c r="H682" s="12">
        <v>365.95</v>
      </c>
    </row>
    <row r="683" spans="1:8" x14ac:dyDescent="0.3">
      <c r="A683" s="1">
        <v>45641</v>
      </c>
      <c r="B683" t="s">
        <v>13</v>
      </c>
      <c r="C683" s="12">
        <v>364.12</v>
      </c>
      <c r="F683" s="1">
        <v>45641</v>
      </c>
      <c r="G683" t="s">
        <v>111</v>
      </c>
      <c r="H683" s="12">
        <v>364.12</v>
      </c>
    </row>
    <row r="684" spans="1:8" x14ac:dyDescent="0.3">
      <c r="A684" s="1">
        <v>45576</v>
      </c>
      <c r="B684" t="s">
        <v>37</v>
      </c>
      <c r="C684" s="12">
        <v>363.16</v>
      </c>
      <c r="F684" s="1">
        <v>45576</v>
      </c>
      <c r="G684" t="s">
        <v>40</v>
      </c>
      <c r="H684" s="12">
        <v>363.16</v>
      </c>
    </row>
    <row r="685" spans="1:8" x14ac:dyDescent="0.3">
      <c r="A685" s="1">
        <v>45426</v>
      </c>
      <c r="B685" t="s">
        <v>24</v>
      </c>
      <c r="C685" s="12">
        <v>361.34</v>
      </c>
      <c r="F685" s="1">
        <v>45426</v>
      </c>
      <c r="G685" t="s">
        <v>44</v>
      </c>
      <c r="H685" s="12">
        <v>361.34</v>
      </c>
    </row>
    <row r="686" spans="1:8" x14ac:dyDescent="0.3">
      <c r="A686" s="1">
        <v>45426</v>
      </c>
      <c r="B686" t="s">
        <v>18</v>
      </c>
      <c r="C686" s="12">
        <v>358.26</v>
      </c>
      <c r="F686" s="1">
        <v>45426</v>
      </c>
      <c r="G686" t="s">
        <v>19</v>
      </c>
      <c r="H686" s="12">
        <v>358.26</v>
      </c>
    </row>
    <row r="687" spans="1:8" x14ac:dyDescent="0.3">
      <c r="A687" s="1">
        <v>45557</v>
      </c>
      <c r="B687" t="s">
        <v>24</v>
      </c>
      <c r="C687" s="12">
        <v>357.97</v>
      </c>
      <c r="F687" s="1">
        <v>45557</v>
      </c>
      <c r="G687" t="s">
        <v>49</v>
      </c>
      <c r="H687" s="12">
        <v>357.97</v>
      </c>
    </row>
    <row r="688" spans="1:8" x14ac:dyDescent="0.3">
      <c r="A688" s="1">
        <v>45524</v>
      </c>
      <c r="B688" t="s">
        <v>37</v>
      </c>
      <c r="C688" s="12">
        <v>357.67</v>
      </c>
      <c r="F688" s="1">
        <v>45524</v>
      </c>
      <c r="G688" t="s">
        <v>95</v>
      </c>
      <c r="H688" s="12">
        <v>357.67</v>
      </c>
    </row>
    <row r="689" spans="1:8" x14ac:dyDescent="0.3">
      <c r="A689" s="1">
        <v>45557</v>
      </c>
      <c r="B689" t="s">
        <v>13</v>
      </c>
      <c r="C689" s="12">
        <v>354.98</v>
      </c>
      <c r="F689" s="1">
        <v>45557</v>
      </c>
      <c r="G689" t="s">
        <v>14</v>
      </c>
      <c r="H689" s="12">
        <v>354.98</v>
      </c>
    </row>
    <row r="690" spans="1:8" x14ac:dyDescent="0.3">
      <c r="A690" s="1">
        <v>45734</v>
      </c>
      <c r="B690" t="s">
        <v>28</v>
      </c>
      <c r="C690" s="12">
        <v>354.32</v>
      </c>
      <c r="F690" s="1">
        <v>45734</v>
      </c>
      <c r="G690" t="s">
        <v>72</v>
      </c>
      <c r="H690" s="12">
        <v>354.32</v>
      </c>
    </row>
    <row r="691" spans="1:8" x14ac:dyDescent="0.3">
      <c r="A691" s="1">
        <v>45455</v>
      </c>
      <c r="B691" t="s">
        <v>24</v>
      </c>
      <c r="C691" s="12">
        <v>352.26</v>
      </c>
      <c r="F691" s="1">
        <v>45455</v>
      </c>
      <c r="G691" t="s">
        <v>49</v>
      </c>
      <c r="H691" s="12">
        <v>352.26</v>
      </c>
    </row>
    <row r="692" spans="1:8" x14ac:dyDescent="0.3">
      <c r="A692" s="1">
        <v>45487</v>
      </c>
      <c r="B692" t="s">
        <v>28</v>
      </c>
      <c r="C692" s="12">
        <v>352.08</v>
      </c>
      <c r="F692" s="1">
        <v>45487</v>
      </c>
      <c r="G692" t="s">
        <v>29</v>
      </c>
      <c r="H692" s="12">
        <v>352.08</v>
      </c>
    </row>
    <row r="693" spans="1:8" x14ac:dyDescent="0.3">
      <c r="A693" s="1">
        <v>45620</v>
      </c>
      <c r="B693" t="s">
        <v>18</v>
      </c>
      <c r="C693" s="12">
        <v>350.21999999999997</v>
      </c>
      <c r="F693" s="1">
        <v>45620</v>
      </c>
      <c r="G693" t="s">
        <v>84</v>
      </c>
      <c r="H693" s="12">
        <v>350.21999999999997</v>
      </c>
    </row>
    <row r="694" spans="1:8" x14ac:dyDescent="0.3">
      <c r="A694" s="1">
        <v>45526</v>
      </c>
      <c r="B694" t="s">
        <v>37</v>
      </c>
      <c r="C694" s="12">
        <v>348.39</v>
      </c>
      <c r="F694" s="1">
        <v>45526</v>
      </c>
      <c r="G694" t="s">
        <v>38</v>
      </c>
      <c r="H694" s="12">
        <v>348.39</v>
      </c>
    </row>
    <row r="695" spans="1:8" x14ac:dyDescent="0.3">
      <c r="A695" s="1">
        <v>45680</v>
      </c>
      <c r="B695" t="s">
        <v>13</v>
      </c>
      <c r="C695" s="12">
        <v>344.92</v>
      </c>
      <c r="F695" s="1">
        <v>45680</v>
      </c>
      <c r="G695" t="s">
        <v>14</v>
      </c>
      <c r="H695" s="12">
        <v>344.92</v>
      </c>
    </row>
    <row r="696" spans="1:8" x14ac:dyDescent="0.3">
      <c r="A696" s="1">
        <v>45441</v>
      </c>
      <c r="B696" t="s">
        <v>28</v>
      </c>
      <c r="C696" s="12">
        <v>344.44</v>
      </c>
      <c r="F696" s="1">
        <v>45441</v>
      </c>
      <c r="G696" t="s">
        <v>72</v>
      </c>
      <c r="H696" s="12">
        <v>344.44</v>
      </c>
    </row>
    <row r="697" spans="1:8" x14ac:dyDescent="0.3">
      <c r="A697" s="1">
        <v>45602</v>
      </c>
      <c r="B697" t="s">
        <v>18</v>
      </c>
      <c r="C697" s="12">
        <v>342.32</v>
      </c>
      <c r="F697" s="1">
        <v>45602</v>
      </c>
      <c r="G697" t="s">
        <v>84</v>
      </c>
      <c r="H697" s="12">
        <v>342.32</v>
      </c>
    </row>
    <row r="698" spans="1:8" x14ac:dyDescent="0.3">
      <c r="A698" s="1">
        <v>45377</v>
      </c>
      <c r="B698" t="s">
        <v>24</v>
      </c>
      <c r="C698" s="12">
        <v>341.89</v>
      </c>
      <c r="F698" s="1">
        <v>45377</v>
      </c>
      <c r="G698" t="s">
        <v>49</v>
      </c>
      <c r="H698" s="12">
        <v>341.89</v>
      </c>
    </row>
    <row r="699" spans="1:8" x14ac:dyDescent="0.3">
      <c r="A699" s="1">
        <v>45393</v>
      </c>
      <c r="B699" t="s">
        <v>18</v>
      </c>
      <c r="C699" s="12">
        <v>340.27</v>
      </c>
      <c r="F699" s="1">
        <v>45393</v>
      </c>
      <c r="G699" t="s">
        <v>87</v>
      </c>
      <c r="H699" s="12">
        <v>340.27</v>
      </c>
    </row>
    <row r="700" spans="1:8" x14ac:dyDescent="0.3">
      <c r="A700" s="1">
        <v>45516</v>
      </c>
      <c r="B700" t="s">
        <v>28</v>
      </c>
      <c r="C700" s="12">
        <v>339.6</v>
      </c>
      <c r="F700" s="1">
        <v>45516</v>
      </c>
      <c r="G700" t="s">
        <v>79</v>
      </c>
      <c r="H700" s="12">
        <v>339.6</v>
      </c>
    </row>
    <row r="701" spans="1:8" x14ac:dyDescent="0.3">
      <c r="A701" s="1">
        <v>45516</v>
      </c>
      <c r="B701" t="s">
        <v>28</v>
      </c>
      <c r="C701" s="12">
        <v>337.3</v>
      </c>
      <c r="F701" s="1">
        <v>45516</v>
      </c>
      <c r="G701" t="s">
        <v>51</v>
      </c>
      <c r="H701" s="12">
        <v>337.3</v>
      </c>
    </row>
    <row r="702" spans="1:8" x14ac:dyDescent="0.3">
      <c r="A702" s="1">
        <v>45397</v>
      </c>
      <c r="B702" t="s">
        <v>28</v>
      </c>
      <c r="C702" s="12">
        <v>335.18</v>
      </c>
      <c r="F702" s="1">
        <v>45397</v>
      </c>
      <c r="G702" t="s">
        <v>51</v>
      </c>
      <c r="H702" s="12">
        <v>335.18</v>
      </c>
    </row>
    <row r="703" spans="1:8" x14ac:dyDescent="0.3">
      <c r="A703" s="1">
        <v>45615</v>
      </c>
      <c r="B703" t="s">
        <v>18</v>
      </c>
      <c r="C703" s="12">
        <v>334.79999999999995</v>
      </c>
      <c r="F703" s="1">
        <v>45615</v>
      </c>
      <c r="G703" t="s">
        <v>84</v>
      </c>
      <c r="H703" s="12">
        <v>334.79999999999995</v>
      </c>
    </row>
    <row r="704" spans="1:8" x14ac:dyDescent="0.3">
      <c r="A704" s="1">
        <v>45561</v>
      </c>
      <c r="B704" t="s">
        <v>18</v>
      </c>
      <c r="C704" s="12">
        <v>333.66</v>
      </c>
      <c r="F704" s="1">
        <v>45561</v>
      </c>
      <c r="G704" t="s">
        <v>84</v>
      </c>
      <c r="H704" s="12">
        <v>333.66</v>
      </c>
    </row>
    <row r="705" spans="1:8" x14ac:dyDescent="0.3">
      <c r="A705" s="1">
        <v>45515</v>
      </c>
      <c r="B705" t="s">
        <v>28</v>
      </c>
      <c r="C705" s="12">
        <v>332.78</v>
      </c>
      <c r="F705" s="1">
        <v>45515</v>
      </c>
      <c r="G705" t="s">
        <v>77</v>
      </c>
      <c r="H705" s="12">
        <v>332.78</v>
      </c>
    </row>
    <row r="706" spans="1:8" x14ac:dyDescent="0.3">
      <c r="A706" s="1">
        <v>45626</v>
      </c>
      <c r="B706" t="s">
        <v>18</v>
      </c>
      <c r="C706" s="12">
        <v>332.32</v>
      </c>
      <c r="F706" s="1">
        <v>45626</v>
      </c>
      <c r="G706" t="s">
        <v>84</v>
      </c>
      <c r="H706" s="12">
        <v>332.32</v>
      </c>
    </row>
    <row r="707" spans="1:8" x14ac:dyDescent="0.3">
      <c r="A707" s="1">
        <v>45412</v>
      </c>
      <c r="B707" t="s">
        <v>37</v>
      </c>
      <c r="C707" s="12">
        <v>331.65</v>
      </c>
      <c r="F707" s="1">
        <v>45412</v>
      </c>
      <c r="G707" t="s">
        <v>38</v>
      </c>
      <c r="H707" s="12">
        <v>331.65</v>
      </c>
    </row>
    <row r="708" spans="1:8" x14ac:dyDescent="0.3">
      <c r="A708" s="1">
        <v>45619</v>
      </c>
      <c r="B708" t="s">
        <v>13</v>
      </c>
      <c r="C708" s="12">
        <v>330.94</v>
      </c>
      <c r="F708" s="1">
        <v>45619</v>
      </c>
      <c r="G708" t="s">
        <v>111</v>
      </c>
      <c r="H708" s="12">
        <v>330.94</v>
      </c>
    </row>
    <row r="709" spans="1:8" x14ac:dyDescent="0.3">
      <c r="A709" s="1">
        <v>45618</v>
      </c>
      <c r="B709" t="s">
        <v>37</v>
      </c>
      <c r="C709" s="12">
        <v>329.35</v>
      </c>
      <c r="F709" s="1">
        <v>45618</v>
      </c>
      <c r="G709" t="s">
        <v>68</v>
      </c>
      <c r="H709" s="12">
        <v>329.35</v>
      </c>
    </row>
    <row r="710" spans="1:8" x14ac:dyDescent="0.3">
      <c r="A710" s="1">
        <v>45648</v>
      </c>
      <c r="B710" t="s">
        <v>18</v>
      </c>
      <c r="C710" s="12">
        <v>329.05</v>
      </c>
      <c r="F710" s="1">
        <v>45648</v>
      </c>
      <c r="G710" t="s">
        <v>34</v>
      </c>
      <c r="H710" s="12">
        <v>329.05</v>
      </c>
    </row>
    <row r="711" spans="1:8" x14ac:dyDescent="0.3">
      <c r="A711" s="1">
        <v>45518</v>
      </c>
      <c r="B711" t="s">
        <v>24</v>
      </c>
      <c r="C711" s="12">
        <v>328.22</v>
      </c>
      <c r="F711" s="1">
        <v>45518</v>
      </c>
      <c r="G711" t="s">
        <v>63</v>
      </c>
      <c r="H711" s="12">
        <v>328.22</v>
      </c>
    </row>
    <row r="712" spans="1:8" x14ac:dyDescent="0.3">
      <c r="A712" s="1">
        <v>45408</v>
      </c>
      <c r="B712" t="s">
        <v>37</v>
      </c>
      <c r="C712" s="12">
        <v>324.51</v>
      </c>
      <c r="F712" s="1">
        <v>45408</v>
      </c>
      <c r="G712" t="s">
        <v>38</v>
      </c>
      <c r="H712" s="12">
        <v>324.51</v>
      </c>
    </row>
    <row r="713" spans="1:8" x14ac:dyDescent="0.3">
      <c r="A713" s="1">
        <v>45448</v>
      </c>
      <c r="B713" t="s">
        <v>28</v>
      </c>
      <c r="C713" s="12">
        <v>323.83</v>
      </c>
      <c r="F713" s="1">
        <v>45448</v>
      </c>
      <c r="G713" t="s">
        <v>77</v>
      </c>
      <c r="H713" s="12">
        <v>323.83</v>
      </c>
    </row>
    <row r="714" spans="1:8" x14ac:dyDescent="0.3">
      <c r="A714" s="1">
        <v>45454</v>
      </c>
      <c r="B714" t="s">
        <v>18</v>
      </c>
      <c r="C714" s="12">
        <v>323.43</v>
      </c>
      <c r="F714" s="1">
        <v>45454</v>
      </c>
      <c r="G714" t="s">
        <v>87</v>
      </c>
      <c r="H714" s="12">
        <v>323.43</v>
      </c>
    </row>
    <row r="715" spans="1:8" x14ac:dyDescent="0.3">
      <c r="A715" s="1">
        <v>45687</v>
      </c>
      <c r="B715" t="s">
        <v>24</v>
      </c>
      <c r="C715" s="12">
        <v>321.88</v>
      </c>
      <c r="F715" s="1">
        <v>45687</v>
      </c>
      <c r="G715" t="s">
        <v>25</v>
      </c>
      <c r="H715" s="12">
        <v>321.88</v>
      </c>
    </row>
    <row r="716" spans="1:8" x14ac:dyDescent="0.3">
      <c r="A716" s="1">
        <v>45547</v>
      </c>
      <c r="B716" t="s">
        <v>28</v>
      </c>
      <c r="C716" s="12">
        <v>319.98</v>
      </c>
      <c r="F716" s="1">
        <v>45547</v>
      </c>
      <c r="G716" t="s">
        <v>72</v>
      </c>
      <c r="H716" s="12">
        <v>319.98</v>
      </c>
    </row>
    <row r="717" spans="1:8" x14ac:dyDescent="0.3">
      <c r="A717" s="1">
        <v>45674</v>
      </c>
      <c r="B717" t="s">
        <v>37</v>
      </c>
      <c r="C717" s="12">
        <v>317.60000000000002</v>
      </c>
      <c r="F717" s="1">
        <v>45674</v>
      </c>
      <c r="G717" t="s">
        <v>40</v>
      </c>
      <c r="H717" s="12">
        <v>317.60000000000002</v>
      </c>
    </row>
    <row r="718" spans="1:8" x14ac:dyDescent="0.3">
      <c r="A718" s="1">
        <v>45405</v>
      </c>
      <c r="B718" t="s">
        <v>13</v>
      </c>
      <c r="C718" s="12">
        <v>317.08</v>
      </c>
      <c r="F718" s="1">
        <v>45405</v>
      </c>
      <c r="G718" t="s">
        <v>14</v>
      </c>
      <c r="H718" s="12">
        <v>317.08</v>
      </c>
    </row>
    <row r="719" spans="1:8" x14ac:dyDescent="0.3">
      <c r="A719" s="1">
        <v>45432</v>
      </c>
      <c r="B719" t="s">
        <v>28</v>
      </c>
      <c r="C719" s="12">
        <v>316.41000000000003</v>
      </c>
      <c r="F719" s="1">
        <v>45432</v>
      </c>
      <c r="G719" t="s">
        <v>51</v>
      </c>
      <c r="H719" s="12">
        <v>316.41000000000003</v>
      </c>
    </row>
    <row r="720" spans="1:8" x14ac:dyDescent="0.3">
      <c r="A720" s="1">
        <v>45532</v>
      </c>
      <c r="B720" t="s">
        <v>18</v>
      </c>
      <c r="C720" s="12">
        <v>316.29000000000002</v>
      </c>
      <c r="F720" s="1">
        <v>45532</v>
      </c>
      <c r="G720" t="s">
        <v>34</v>
      </c>
      <c r="H720" s="12">
        <v>316.29000000000002</v>
      </c>
    </row>
    <row r="721" spans="1:8" x14ac:dyDescent="0.3">
      <c r="A721" s="1">
        <v>45644</v>
      </c>
      <c r="B721" t="s">
        <v>28</v>
      </c>
      <c r="C721" s="12">
        <v>316.10000000000002</v>
      </c>
      <c r="F721" s="1">
        <v>45644</v>
      </c>
      <c r="G721" t="s">
        <v>29</v>
      </c>
      <c r="H721" s="12">
        <v>316.10000000000002</v>
      </c>
    </row>
    <row r="722" spans="1:8" x14ac:dyDescent="0.3">
      <c r="A722" s="1">
        <v>45574</v>
      </c>
      <c r="B722" t="s">
        <v>37</v>
      </c>
      <c r="C722" s="12">
        <v>315.12</v>
      </c>
      <c r="F722" s="1">
        <v>45574</v>
      </c>
      <c r="G722" t="s">
        <v>40</v>
      </c>
      <c r="H722" s="12">
        <v>315.12</v>
      </c>
    </row>
    <row r="723" spans="1:8" x14ac:dyDescent="0.3">
      <c r="A723" s="1">
        <v>45692</v>
      </c>
      <c r="B723" t="s">
        <v>18</v>
      </c>
      <c r="C723" s="12">
        <v>315.08999999999997</v>
      </c>
      <c r="F723" s="1">
        <v>45692</v>
      </c>
      <c r="G723" t="s">
        <v>34</v>
      </c>
      <c r="H723" s="12">
        <v>315.08999999999997</v>
      </c>
    </row>
    <row r="724" spans="1:8" x14ac:dyDescent="0.3">
      <c r="A724" s="1">
        <v>45581</v>
      </c>
      <c r="B724" t="s">
        <v>13</v>
      </c>
      <c r="C724" s="12">
        <v>312.3</v>
      </c>
      <c r="F724" s="1">
        <v>45581</v>
      </c>
      <c r="G724" t="s">
        <v>47</v>
      </c>
      <c r="H724" s="12">
        <v>312.3</v>
      </c>
    </row>
    <row r="725" spans="1:8" x14ac:dyDescent="0.3">
      <c r="A725" s="1">
        <v>45639</v>
      </c>
      <c r="B725" t="s">
        <v>24</v>
      </c>
      <c r="C725" s="12">
        <v>312.01</v>
      </c>
      <c r="F725" s="1">
        <v>45639</v>
      </c>
      <c r="G725" t="s">
        <v>44</v>
      </c>
      <c r="H725" s="12">
        <v>312.01</v>
      </c>
    </row>
    <row r="726" spans="1:8" x14ac:dyDescent="0.3">
      <c r="A726" s="1">
        <v>45508</v>
      </c>
      <c r="B726" t="s">
        <v>13</v>
      </c>
      <c r="C726" s="12">
        <v>311.67</v>
      </c>
      <c r="F726" s="1">
        <v>45508</v>
      </c>
      <c r="G726" t="s">
        <v>32</v>
      </c>
      <c r="H726" s="12">
        <v>311.67</v>
      </c>
    </row>
    <row r="727" spans="1:8" x14ac:dyDescent="0.3">
      <c r="A727" s="1">
        <v>45656</v>
      </c>
      <c r="B727" t="s">
        <v>24</v>
      </c>
      <c r="C727" s="12">
        <v>309.55</v>
      </c>
      <c r="F727" s="1">
        <v>45656</v>
      </c>
      <c r="G727" t="s">
        <v>25</v>
      </c>
      <c r="H727" s="12">
        <v>309.55</v>
      </c>
    </row>
    <row r="728" spans="1:8" x14ac:dyDescent="0.3">
      <c r="A728" s="1">
        <v>45544</v>
      </c>
      <c r="B728" t="s">
        <v>13</v>
      </c>
      <c r="C728" s="12">
        <v>306.52999999999997</v>
      </c>
      <c r="F728" s="1">
        <v>45544</v>
      </c>
      <c r="G728" t="s">
        <v>111</v>
      </c>
      <c r="H728" s="12">
        <v>306.52999999999997</v>
      </c>
    </row>
    <row r="729" spans="1:8" x14ac:dyDescent="0.3">
      <c r="A729" s="1">
        <v>45379</v>
      </c>
      <c r="B729" t="s">
        <v>18</v>
      </c>
      <c r="C729" s="12">
        <v>306.5</v>
      </c>
      <c r="F729" s="1">
        <v>45379</v>
      </c>
      <c r="G729" t="s">
        <v>19</v>
      </c>
      <c r="H729" s="12">
        <v>306.5</v>
      </c>
    </row>
    <row r="730" spans="1:8" x14ac:dyDescent="0.3">
      <c r="A730" s="1">
        <v>45482</v>
      </c>
      <c r="B730" t="s">
        <v>24</v>
      </c>
      <c r="C730" s="12">
        <v>305.82</v>
      </c>
      <c r="F730" s="1">
        <v>45482</v>
      </c>
      <c r="G730" t="s">
        <v>44</v>
      </c>
      <c r="H730" s="12">
        <v>305.82</v>
      </c>
    </row>
    <row r="731" spans="1:8" x14ac:dyDescent="0.3">
      <c r="A731" s="1">
        <v>45488</v>
      </c>
      <c r="B731" t="s">
        <v>28</v>
      </c>
      <c r="C731" s="12">
        <v>304.35000000000002</v>
      </c>
      <c r="F731" s="1">
        <v>45488</v>
      </c>
      <c r="G731" t="s">
        <v>51</v>
      </c>
      <c r="H731" s="12">
        <v>304.35000000000002</v>
      </c>
    </row>
    <row r="732" spans="1:8" x14ac:dyDescent="0.3">
      <c r="A732" s="1">
        <v>45597</v>
      </c>
      <c r="B732" t="s">
        <v>13</v>
      </c>
      <c r="C732" s="12">
        <v>304.10000000000002</v>
      </c>
      <c r="F732" s="1">
        <v>45597</v>
      </c>
      <c r="G732" t="s">
        <v>47</v>
      </c>
      <c r="H732" s="12">
        <v>304.10000000000002</v>
      </c>
    </row>
    <row r="733" spans="1:8" x14ac:dyDescent="0.3">
      <c r="A733" s="1">
        <v>45578</v>
      </c>
      <c r="B733" t="s">
        <v>18</v>
      </c>
      <c r="C733" s="12">
        <v>304</v>
      </c>
      <c r="F733" s="1">
        <v>45578</v>
      </c>
      <c r="G733" t="s">
        <v>22</v>
      </c>
      <c r="H733" s="12">
        <v>304</v>
      </c>
    </row>
    <row r="734" spans="1:8" x14ac:dyDescent="0.3">
      <c r="A734" s="1">
        <v>45570</v>
      </c>
      <c r="B734" t="s">
        <v>24</v>
      </c>
      <c r="C734" s="12">
        <v>301.5</v>
      </c>
      <c r="F734" s="1">
        <v>45570</v>
      </c>
      <c r="G734" t="s">
        <v>63</v>
      </c>
      <c r="H734" s="12">
        <v>301.5</v>
      </c>
    </row>
    <row r="735" spans="1:8" x14ac:dyDescent="0.3">
      <c r="A735" s="1">
        <v>45583</v>
      </c>
      <c r="B735" t="s">
        <v>28</v>
      </c>
      <c r="C735" s="12">
        <v>301.02</v>
      </c>
      <c r="F735" s="1">
        <v>45583</v>
      </c>
      <c r="G735" t="s">
        <v>72</v>
      </c>
      <c r="H735" s="12">
        <v>301.02</v>
      </c>
    </row>
    <row r="736" spans="1:8" x14ac:dyDescent="0.3">
      <c r="A736" s="1">
        <v>45543</v>
      </c>
      <c r="B736" t="s">
        <v>18</v>
      </c>
      <c r="C736" s="12">
        <v>300.74</v>
      </c>
      <c r="F736" s="1">
        <v>45543</v>
      </c>
      <c r="G736" t="s">
        <v>22</v>
      </c>
      <c r="H736" s="12">
        <v>300.74</v>
      </c>
    </row>
    <row r="737" spans="1:8" x14ac:dyDescent="0.3">
      <c r="A737" s="1">
        <v>45472</v>
      </c>
      <c r="B737" t="s">
        <v>24</v>
      </c>
      <c r="C737" s="12">
        <v>300.45000000000005</v>
      </c>
      <c r="F737" s="1">
        <v>45472</v>
      </c>
      <c r="G737" t="s">
        <v>44</v>
      </c>
      <c r="H737" s="12">
        <v>300.45000000000005</v>
      </c>
    </row>
    <row r="738" spans="1:8" x14ac:dyDescent="0.3">
      <c r="A738" s="1">
        <v>45452</v>
      </c>
      <c r="B738" t="s">
        <v>37</v>
      </c>
      <c r="C738" s="12">
        <v>299.54000000000002</v>
      </c>
      <c r="F738" s="1">
        <v>45452</v>
      </c>
      <c r="G738" t="s">
        <v>68</v>
      </c>
      <c r="H738" s="12">
        <v>299.54000000000002</v>
      </c>
    </row>
    <row r="739" spans="1:8" x14ac:dyDescent="0.3">
      <c r="A739" s="1">
        <v>45502</v>
      </c>
      <c r="B739" t="s">
        <v>24</v>
      </c>
      <c r="C739" s="12">
        <v>299.39</v>
      </c>
      <c r="F739" s="1">
        <v>45502</v>
      </c>
      <c r="G739" t="s">
        <v>65</v>
      </c>
      <c r="H739" s="12">
        <v>299.39</v>
      </c>
    </row>
    <row r="740" spans="1:8" x14ac:dyDescent="0.3">
      <c r="A740" s="1">
        <v>45371</v>
      </c>
      <c r="B740" t="s">
        <v>28</v>
      </c>
      <c r="C740" s="12">
        <v>298.14</v>
      </c>
      <c r="F740" s="1">
        <v>45371</v>
      </c>
      <c r="G740" t="s">
        <v>79</v>
      </c>
      <c r="H740" s="12">
        <v>298.14</v>
      </c>
    </row>
    <row r="741" spans="1:8" x14ac:dyDescent="0.3">
      <c r="A741" s="1">
        <v>45579</v>
      </c>
      <c r="B741" t="s">
        <v>18</v>
      </c>
      <c r="C741" s="12">
        <v>297.8</v>
      </c>
      <c r="F741" s="1">
        <v>45579</v>
      </c>
      <c r="G741" t="s">
        <v>84</v>
      </c>
      <c r="H741" s="12">
        <v>297.8</v>
      </c>
    </row>
    <row r="742" spans="1:8" x14ac:dyDescent="0.3">
      <c r="A742" s="1">
        <v>45678</v>
      </c>
      <c r="B742" t="s">
        <v>18</v>
      </c>
      <c r="C742" s="12">
        <v>297.48</v>
      </c>
      <c r="F742" s="1">
        <v>45678</v>
      </c>
      <c r="G742" t="s">
        <v>22</v>
      </c>
      <c r="H742" s="12">
        <v>297.48</v>
      </c>
    </row>
    <row r="743" spans="1:8" x14ac:dyDescent="0.3">
      <c r="A743" s="1">
        <v>45719</v>
      </c>
      <c r="B743" t="s">
        <v>18</v>
      </c>
      <c r="C743" s="12">
        <v>297.33999999999997</v>
      </c>
      <c r="F743" s="1">
        <v>45719</v>
      </c>
      <c r="G743" t="s">
        <v>22</v>
      </c>
      <c r="H743" s="12">
        <v>297.33999999999997</v>
      </c>
    </row>
    <row r="744" spans="1:8" x14ac:dyDescent="0.3">
      <c r="A744" s="1">
        <v>45407</v>
      </c>
      <c r="B744" t="s">
        <v>13</v>
      </c>
      <c r="C744" s="12">
        <v>297.2</v>
      </c>
      <c r="F744" s="1">
        <v>45407</v>
      </c>
      <c r="G744" t="s">
        <v>42</v>
      </c>
      <c r="H744" s="12">
        <v>297.2</v>
      </c>
    </row>
    <row r="745" spans="1:8" x14ac:dyDescent="0.3">
      <c r="A745" s="1">
        <v>45549</v>
      </c>
      <c r="B745" t="s">
        <v>37</v>
      </c>
      <c r="C745" s="12">
        <v>297.18</v>
      </c>
      <c r="F745" s="1">
        <v>45549</v>
      </c>
      <c r="G745" t="s">
        <v>38</v>
      </c>
      <c r="H745" s="12">
        <v>297.18</v>
      </c>
    </row>
    <row r="746" spans="1:8" x14ac:dyDescent="0.3">
      <c r="A746" s="1">
        <v>45604</v>
      </c>
      <c r="B746" t="s">
        <v>24</v>
      </c>
      <c r="C746" s="12">
        <v>296.62</v>
      </c>
      <c r="F746" s="1">
        <v>45604</v>
      </c>
      <c r="G746" t="s">
        <v>25</v>
      </c>
      <c r="H746" s="12">
        <v>296.62</v>
      </c>
    </row>
    <row r="747" spans="1:8" x14ac:dyDescent="0.3">
      <c r="A747" s="1">
        <v>45421</v>
      </c>
      <c r="B747" t="s">
        <v>18</v>
      </c>
      <c r="C747" s="12">
        <v>294.45</v>
      </c>
      <c r="F747" s="1">
        <v>45421</v>
      </c>
      <c r="G747" t="s">
        <v>22</v>
      </c>
      <c r="H747" s="12">
        <v>294.45</v>
      </c>
    </row>
    <row r="748" spans="1:8" x14ac:dyDescent="0.3">
      <c r="A748" s="1">
        <v>45427</v>
      </c>
      <c r="B748" t="s">
        <v>24</v>
      </c>
      <c r="C748" s="12">
        <v>294.36</v>
      </c>
      <c r="F748" s="1">
        <v>45427</v>
      </c>
      <c r="G748" t="s">
        <v>65</v>
      </c>
      <c r="H748" s="12">
        <v>294.36</v>
      </c>
    </row>
    <row r="749" spans="1:8" x14ac:dyDescent="0.3">
      <c r="A749" s="1">
        <v>45375</v>
      </c>
      <c r="B749" t="s">
        <v>37</v>
      </c>
      <c r="C749" s="12">
        <v>293</v>
      </c>
      <c r="F749" s="1">
        <v>45375</v>
      </c>
      <c r="G749" t="s">
        <v>38</v>
      </c>
      <c r="H749" s="12">
        <v>293</v>
      </c>
    </row>
    <row r="750" spans="1:8" x14ac:dyDescent="0.3">
      <c r="A750" s="1">
        <v>45727</v>
      </c>
      <c r="B750" t="s">
        <v>18</v>
      </c>
      <c r="C750" s="12">
        <v>292.66000000000003</v>
      </c>
      <c r="F750" s="1">
        <v>45727</v>
      </c>
      <c r="G750" t="s">
        <v>87</v>
      </c>
      <c r="H750" s="12">
        <v>292.66000000000003</v>
      </c>
    </row>
    <row r="751" spans="1:8" x14ac:dyDescent="0.3">
      <c r="A751" s="1">
        <v>45676</v>
      </c>
      <c r="B751" t="s">
        <v>13</v>
      </c>
      <c r="C751" s="12">
        <v>287.76</v>
      </c>
      <c r="F751" s="1">
        <v>45676</v>
      </c>
      <c r="G751" t="s">
        <v>111</v>
      </c>
      <c r="H751" s="12">
        <v>287.76</v>
      </c>
    </row>
    <row r="752" spans="1:8" x14ac:dyDescent="0.3">
      <c r="A752" s="1">
        <v>45544</v>
      </c>
      <c r="B752" t="s">
        <v>37</v>
      </c>
      <c r="C752" s="12">
        <v>286.33999999999997</v>
      </c>
      <c r="F752" s="1">
        <v>45544</v>
      </c>
      <c r="G752" t="s">
        <v>40</v>
      </c>
      <c r="H752" s="12">
        <v>286.33999999999997</v>
      </c>
    </row>
    <row r="753" spans="1:8" x14ac:dyDescent="0.3">
      <c r="A753" s="1">
        <v>45372</v>
      </c>
      <c r="B753" t="s">
        <v>28</v>
      </c>
      <c r="C753" s="12">
        <v>284.33</v>
      </c>
      <c r="F753" s="1">
        <v>45372</v>
      </c>
      <c r="G753" t="s">
        <v>72</v>
      </c>
      <c r="H753" s="12">
        <v>284.33</v>
      </c>
    </row>
    <row r="754" spans="1:8" x14ac:dyDescent="0.3">
      <c r="A754" s="1">
        <v>45577</v>
      </c>
      <c r="B754" t="s">
        <v>24</v>
      </c>
      <c r="C754" s="12">
        <v>283.62</v>
      </c>
      <c r="F754" s="1">
        <v>45577</v>
      </c>
      <c r="G754" t="s">
        <v>65</v>
      </c>
      <c r="H754" s="12">
        <v>283.62</v>
      </c>
    </row>
    <row r="755" spans="1:8" x14ac:dyDescent="0.3">
      <c r="A755" s="1">
        <v>45476</v>
      </c>
      <c r="B755" t="s">
        <v>24</v>
      </c>
      <c r="C755" s="12">
        <v>282.92</v>
      </c>
      <c r="F755" s="1">
        <v>45476</v>
      </c>
      <c r="G755" t="s">
        <v>49</v>
      </c>
      <c r="H755" s="12">
        <v>282.92</v>
      </c>
    </row>
    <row r="756" spans="1:8" x14ac:dyDescent="0.3">
      <c r="A756" s="1">
        <v>45690</v>
      </c>
      <c r="B756" t="s">
        <v>24</v>
      </c>
      <c r="C756" s="12">
        <v>281.72000000000003</v>
      </c>
      <c r="F756" s="1">
        <v>45690</v>
      </c>
      <c r="G756" t="s">
        <v>44</v>
      </c>
      <c r="H756" s="12">
        <v>281.72000000000003</v>
      </c>
    </row>
    <row r="757" spans="1:8" x14ac:dyDescent="0.3">
      <c r="A757" s="1">
        <v>45664</v>
      </c>
      <c r="B757" t="s">
        <v>28</v>
      </c>
      <c r="C757" s="12">
        <v>280.12</v>
      </c>
      <c r="F757" s="1">
        <v>45664</v>
      </c>
      <c r="G757" t="s">
        <v>29</v>
      </c>
      <c r="H757" s="12">
        <v>280.12</v>
      </c>
    </row>
    <row r="758" spans="1:8" x14ac:dyDescent="0.3">
      <c r="A758" s="1">
        <v>45440</v>
      </c>
      <c r="B758" t="s">
        <v>37</v>
      </c>
      <c r="C758" s="12">
        <v>278.86</v>
      </c>
      <c r="F758" s="1">
        <v>45440</v>
      </c>
      <c r="G758" t="s">
        <v>68</v>
      </c>
      <c r="H758" s="12">
        <v>278.86</v>
      </c>
    </row>
    <row r="759" spans="1:8" x14ac:dyDescent="0.3">
      <c r="A759" s="1">
        <v>45653</v>
      </c>
      <c r="B759" t="s">
        <v>28</v>
      </c>
      <c r="C759" s="12">
        <v>275.82</v>
      </c>
      <c r="F759" s="1">
        <v>45653</v>
      </c>
      <c r="G759" t="s">
        <v>51</v>
      </c>
      <c r="H759" s="12">
        <v>275.82</v>
      </c>
    </row>
    <row r="760" spans="1:8" x14ac:dyDescent="0.3">
      <c r="A760" s="1">
        <v>45707</v>
      </c>
      <c r="B760" t="s">
        <v>13</v>
      </c>
      <c r="C760" s="12">
        <v>275.37</v>
      </c>
      <c r="F760" s="1">
        <v>45707</v>
      </c>
      <c r="G760" t="s">
        <v>47</v>
      </c>
      <c r="H760" s="12">
        <v>275.37</v>
      </c>
    </row>
    <row r="761" spans="1:8" x14ac:dyDescent="0.3">
      <c r="A761" s="1">
        <v>45426</v>
      </c>
      <c r="B761" t="s">
        <v>37</v>
      </c>
      <c r="C761" s="12">
        <v>275.16000000000003</v>
      </c>
      <c r="F761" s="1">
        <v>45426</v>
      </c>
      <c r="G761" t="s">
        <v>95</v>
      </c>
      <c r="H761" s="12">
        <v>275.16000000000003</v>
      </c>
    </row>
    <row r="762" spans="1:8" x14ac:dyDescent="0.3">
      <c r="A762" s="1">
        <v>45516</v>
      </c>
      <c r="B762" t="s">
        <v>37</v>
      </c>
      <c r="C762" s="12">
        <v>274.74</v>
      </c>
      <c r="F762" s="1">
        <v>45516</v>
      </c>
      <c r="G762" t="s">
        <v>68</v>
      </c>
      <c r="H762" s="12">
        <v>274.74</v>
      </c>
    </row>
    <row r="763" spans="1:8" x14ac:dyDescent="0.3">
      <c r="A763" s="1">
        <v>45652</v>
      </c>
      <c r="B763" t="s">
        <v>37</v>
      </c>
      <c r="C763" s="12">
        <v>274.58999999999997</v>
      </c>
      <c r="F763" s="1">
        <v>45652</v>
      </c>
      <c r="G763" t="s">
        <v>58</v>
      </c>
      <c r="H763" s="12">
        <v>274.58999999999997</v>
      </c>
    </row>
    <row r="764" spans="1:8" x14ac:dyDescent="0.3">
      <c r="A764" s="1">
        <v>45506</v>
      </c>
      <c r="B764" t="s">
        <v>13</v>
      </c>
      <c r="C764" s="12">
        <v>274.56</v>
      </c>
      <c r="F764" s="1">
        <v>45506</v>
      </c>
      <c r="G764" t="s">
        <v>32</v>
      </c>
      <c r="H764" s="12">
        <v>274.56</v>
      </c>
    </row>
    <row r="765" spans="1:8" x14ac:dyDescent="0.3">
      <c r="A765" s="1">
        <v>45380</v>
      </c>
      <c r="B765" t="s">
        <v>24</v>
      </c>
      <c r="C765" s="12">
        <v>274.24</v>
      </c>
      <c r="F765" s="1">
        <v>45380</v>
      </c>
      <c r="G765" t="s">
        <v>44</v>
      </c>
      <c r="H765" s="12">
        <v>274.24</v>
      </c>
    </row>
    <row r="766" spans="1:8" x14ac:dyDescent="0.3">
      <c r="A766" s="1">
        <v>45543</v>
      </c>
      <c r="B766" t="s">
        <v>28</v>
      </c>
      <c r="C766" s="12">
        <v>273.56</v>
      </c>
      <c r="F766" s="1">
        <v>45543</v>
      </c>
      <c r="G766" t="s">
        <v>51</v>
      </c>
      <c r="H766" s="12">
        <v>273.56</v>
      </c>
    </row>
    <row r="767" spans="1:8" x14ac:dyDescent="0.3">
      <c r="A767" s="1">
        <v>45669</v>
      </c>
      <c r="B767" t="s">
        <v>24</v>
      </c>
      <c r="C767" s="12">
        <v>272.73</v>
      </c>
      <c r="F767" s="1">
        <v>45669</v>
      </c>
      <c r="G767" t="s">
        <v>65</v>
      </c>
      <c r="H767" s="12">
        <v>272.73</v>
      </c>
    </row>
    <row r="768" spans="1:8" x14ac:dyDescent="0.3">
      <c r="A768" s="1">
        <v>45527</v>
      </c>
      <c r="B768" t="s">
        <v>37</v>
      </c>
      <c r="C768" s="12">
        <v>268.26</v>
      </c>
      <c r="F768" s="1">
        <v>45527</v>
      </c>
      <c r="G768" t="s">
        <v>95</v>
      </c>
      <c r="H768" s="12">
        <v>268.26</v>
      </c>
    </row>
    <row r="769" spans="1:8" x14ac:dyDescent="0.3">
      <c r="A769" s="1">
        <v>45401</v>
      </c>
      <c r="B769" t="s">
        <v>24</v>
      </c>
      <c r="C769" s="12">
        <v>267.64999999999998</v>
      </c>
      <c r="F769" s="1">
        <v>45401</v>
      </c>
      <c r="G769" t="s">
        <v>49</v>
      </c>
      <c r="H769" s="12">
        <v>267.64999999999998</v>
      </c>
    </row>
    <row r="770" spans="1:8" x14ac:dyDescent="0.3">
      <c r="A770" s="1">
        <v>45442</v>
      </c>
      <c r="B770" t="s">
        <v>28</v>
      </c>
      <c r="C770" s="12">
        <v>266.24</v>
      </c>
      <c r="F770" s="1">
        <v>45442</v>
      </c>
      <c r="G770" t="s">
        <v>72</v>
      </c>
      <c r="H770" s="12">
        <v>266.24</v>
      </c>
    </row>
    <row r="771" spans="1:8" x14ac:dyDescent="0.3">
      <c r="A771" s="1">
        <v>45609</v>
      </c>
      <c r="B771" t="s">
        <v>37</v>
      </c>
      <c r="C771" s="12">
        <v>263.15999999999997</v>
      </c>
      <c r="F771" s="1">
        <v>45609</v>
      </c>
      <c r="G771" t="s">
        <v>95</v>
      </c>
      <c r="H771" s="12">
        <v>263.15999999999997</v>
      </c>
    </row>
    <row r="772" spans="1:8" x14ac:dyDescent="0.3">
      <c r="A772" s="1">
        <v>45382</v>
      </c>
      <c r="B772" t="s">
        <v>37</v>
      </c>
      <c r="C772" s="12">
        <v>262.44</v>
      </c>
      <c r="F772" s="1">
        <v>45382</v>
      </c>
      <c r="G772" t="s">
        <v>40</v>
      </c>
      <c r="H772" s="12">
        <v>262.44</v>
      </c>
    </row>
    <row r="773" spans="1:8" x14ac:dyDescent="0.3">
      <c r="A773" s="1">
        <v>45709</v>
      </c>
      <c r="B773" t="s">
        <v>13</v>
      </c>
      <c r="C773" s="12">
        <v>261.69</v>
      </c>
      <c r="F773" s="1">
        <v>45709</v>
      </c>
      <c r="G773" t="s">
        <v>14</v>
      </c>
      <c r="H773" s="12">
        <v>261.69</v>
      </c>
    </row>
    <row r="774" spans="1:8" x14ac:dyDescent="0.3">
      <c r="A774" s="1">
        <v>45528</v>
      </c>
      <c r="B774" t="s">
        <v>37</v>
      </c>
      <c r="C774" s="12">
        <v>261.60000000000002</v>
      </c>
      <c r="F774" s="1">
        <v>45528</v>
      </c>
      <c r="G774" t="s">
        <v>68</v>
      </c>
      <c r="H774" s="12">
        <v>261.60000000000002</v>
      </c>
    </row>
    <row r="775" spans="1:8" x14ac:dyDescent="0.3">
      <c r="A775" s="1">
        <v>45445</v>
      </c>
      <c r="B775" t="s">
        <v>37</v>
      </c>
      <c r="C775" s="12">
        <v>260.52</v>
      </c>
      <c r="F775" s="1">
        <v>45445</v>
      </c>
      <c r="G775" t="s">
        <v>58</v>
      </c>
      <c r="H775" s="12">
        <v>260.52</v>
      </c>
    </row>
    <row r="776" spans="1:8" x14ac:dyDescent="0.3">
      <c r="A776" s="1">
        <v>45399</v>
      </c>
      <c r="B776" t="s">
        <v>18</v>
      </c>
      <c r="C776" s="12">
        <v>258.7</v>
      </c>
      <c r="F776" s="1">
        <v>45399</v>
      </c>
      <c r="G776" t="s">
        <v>34</v>
      </c>
      <c r="H776" s="12">
        <v>258.7</v>
      </c>
    </row>
    <row r="777" spans="1:8" x14ac:dyDescent="0.3">
      <c r="A777" s="1">
        <v>45559</v>
      </c>
      <c r="B777" t="s">
        <v>37</v>
      </c>
      <c r="C777" s="12">
        <v>257.23</v>
      </c>
      <c r="F777" s="1">
        <v>45559</v>
      </c>
      <c r="G777" t="s">
        <v>38</v>
      </c>
      <c r="H777" s="12">
        <v>257.23</v>
      </c>
    </row>
    <row r="778" spans="1:8" x14ac:dyDescent="0.3">
      <c r="A778" s="1">
        <v>45608</v>
      </c>
      <c r="B778" t="s">
        <v>18</v>
      </c>
      <c r="C778" s="12">
        <v>257.10000000000002</v>
      </c>
      <c r="F778" s="1">
        <v>45608</v>
      </c>
      <c r="G778" t="s">
        <v>22</v>
      </c>
      <c r="H778" s="12">
        <v>257.10000000000002</v>
      </c>
    </row>
    <row r="779" spans="1:8" x14ac:dyDescent="0.3">
      <c r="A779" s="1">
        <v>45657</v>
      </c>
      <c r="B779" t="s">
        <v>37</v>
      </c>
      <c r="C779" s="12">
        <v>255.9</v>
      </c>
      <c r="F779" s="1">
        <v>45657</v>
      </c>
      <c r="G779" t="s">
        <v>58</v>
      </c>
      <c r="H779" s="12">
        <v>255.9</v>
      </c>
    </row>
    <row r="780" spans="1:8" x14ac:dyDescent="0.3">
      <c r="A780" s="1">
        <v>45419</v>
      </c>
      <c r="B780" t="s">
        <v>28</v>
      </c>
      <c r="C780" s="12">
        <v>255.32</v>
      </c>
      <c r="F780" s="1">
        <v>45419</v>
      </c>
      <c r="G780" t="s">
        <v>77</v>
      </c>
      <c r="H780" s="12">
        <v>255.32</v>
      </c>
    </row>
    <row r="781" spans="1:8" x14ac:dyDescent="0.3">
      <c r="A781" s="1">
        <v>45582</v>
      </c>
      <c r="B781" t="s">
        <v>28</v>
      </c>
      <c r="C781" s="12">
        <v>254.46</v>
      </c>
      <c r="F781" s="1">
        <v>45582</v>
      </c>
      <c r="G781" t="s">
        <v>72</v>
      </c>
      <c r="H781" s="12">
        <v>254.46</v>
      </c>
    </row>
    <row r="782" spans="1:8" x14ac:dyDescent="0.3">
      <c r="A782" s="1">
        <v>45628</v>
      </c>
      <c r="B782" t="s">
        <v>37</v>
      </c>
      <c r="C782" s="12">
        <v>250.41</v>
      </c>
      <c r="F782" s="1">
        <v>45628</v>
      </c>
      <c r="G782" t="s">
        <v>40</v>
      </c>
      <c r="H782" s="12">
        <v>250.41</v>
      </c>
    </row>
    <row r="783" spans="1:8" x14ac:dyDescent="0.3">
      <c r="A783" s="1">
        <v>45439</v>
      </c>
      <c r="B783" t="s">
        <v>13</v>
      </c>
      <c r="C783" s="12">
        <v>249.51</v>
      </c>
      <c r="F783" s="1">
        <v>45439</v>
      </c>
      <c r="G783" t="s">
        <v>111</v>
      </c>
      <c r="H783" s="12">
        <v>249.51</v>
      </c>
    </row>
    <row r="784" spans="1:8" x14ac:dyDescent="0.3">
      <c r="A784" s="1">
        <v>45488</v>
      </c>
      <c r="B784" t="s">
        <v>24</v>
      </c>
      <c r="C784" s="12">
        <v>247.97</v>
      </c>
      <c r="F784" s="1">
        <v>45488</v>
      </c>
      <c r="G784" t="s">
        <v>49</v>
      </c>
      <c r="H784" s="12">
        <v>247.97</v>
      </c>
    </row>
    <row r="785" spans="1:8" x14ac:dyDescent="0.3">
      <c r="A785" s="1">
        <v>45452</v>
      </c>
      <c r="B785" t="s">
        <v>13</v>
      </c>
      <c r="C785" s="12">
        <v>247.95000000000002</v>
      </c>
      <c r="F785" s="1">
        <v>45452</v>
      </c>
      <c r="G785" t="s">
        <v>47</v>
      </c>
      <c r="H785" s="12">
        <v>247.95000000000002</v>
      </c>
    </row>
    <row r="786" spans="1:8" x14ac:dyDescent="0.3">
      <c r="A786" s="1">
        <v>45650</v>
      </c>
      <c r="B786" t="s">
        <v>37</v>
      </c>
      <c r="C786" s="12">
        <v>247.64</v>
      </c>
      <c r="F786" s="1">
        <v>45650</v>
      </c>
      <c r="G786" t="s">
        <v>68</v>
      </c>
      <c r="H786" s="12">
        <v>247.64</v>
      </c>
    </row>
    <row r="787" spans="1:8" x14ac:dyDescent="0.3">
      <c r="A787" s="1">
        <v>45556</v>
      </c>
      <c r="B787" t="s">
        <v>37</v>
      </c>
      <c r="C787" s="12">
        <v>247.59</v>
      </c>
      <c r="F787" s="1">
        <v>45556</v>
      </c>
      <c r="G787" t="s">
        <v>68</v>
      </c>
      <c r="H787" s="12">
        <v>247.59</v>
      </c>
    </row>
    <row r="788" spans="1:8" x14ac:dyDescent="0.3">
      <c r="A788" s="1">
        <v>45696</v>
      </c>
      <c r="B788" t="s">
        <v>37</v>
      </c>
      <c r="C788" s="12">
        <v>247.45</v>
      </c>
      <c r="F788" s="1">
        <v>45696</v>
      </c>
      <c r="G788" t="s">
        <v>58</v>
      </c>
      <c r="H788" s="12">
        <v>247.45</v>
      </c>
    </row>
    <row r="789" spans="1:8" x14ac:dyDescent="0.3">
      <c r="A789" s="1">
        <v>45567</v>
      </c>
      <c r="B789" t="s">
        <v>13</v>
      </c>
      <c r="C789" s="12">
        <v>245.88</v>
      </c>
      <c r="F789" s="1">
        <v>45567</v>
      </c>
      <c r="G789" t="s">
        <v>42</v>
      </c>
      <c r="H789" s="12">
        <v>245.88</v>
      </c>
    </row>
    <row r="790" spans="1:8" x14ac:dyDescent="0.3">
      <c r="A790" s="1">
        <v>45734</v>
      </c>
      <c r="B790" t="s">
        <v>37</v>
      </c>
      <c r="C790" s="12">
        <v>243.04</v>
      </c>
      <c r="F790" s="1">
        <v>45734</v>
      </c>
      <c r="G790" t="s">
        <v>95</v>
      </c>
      <c r="H790" s="12">
        <v>243.04</v>
      </c>
    </row>
    <row r="791" spans="1:8" x14ac:dyDescent="0.3">
      <c r="A791" s="1">
        <v>45628</v>
      </c>
      <c r="B791" t="s">
        <v>28</v>
      </c>
      <c r="C791" s="12">
        <v>242.04</v>
      </c>
      <c r="F791" s="1">
        <v>45628</v>
      </c>
      <c r="G791" t="s">
        <v>77</v>
      </c>
      <c r="H791" s="12">
        <v>242.04</v>
      </c>
    </row>
    <row r="792" spans="1:8" x14ac:dyDescent="0.3">
      <c r="A792" s="1">
        <v>45620</v>
      </c>
      <c r="B792" t="s">
        <v>18</v>
      </c>
      <c r="C792" s="12">
        <v>241.61</v>
      </c>
      <c r="F792" s="1">
        <v>45620</v>
      </c>
      <c r="G792" t="s">
        <v>22</v>
      </c>
      <c r="H792" s="12">
        <v>241.61</v>
      </c>
    </row>
    <row r="793" spans="1:8" x14ac:dyDescent="0.3">
      <c r="A793" s="1">
        <v>45612</v>
      </c>
      <c r="B793" t="s">
        <v>24</v>
      </c>
      <c r="C793" s="12">
        <v>240.56</v>
      </c>
      <c r="F793" s="1">
        <v>45612</v>
      </c>
      <c r="G793" t="s">
        <v>63</v>
      </c>
      <c r="H793" s="12">
        <v>240.56</v>
      </c>
    </row>
    <row r="794" spans="1:8" x14ac:dyDescent="0.3">
      <c r="A794" s="1">
        <v>45692</v>
      </c>
      <c r="B794" t="s">
        <v>28</v>
      </c>
      <c r="C794" s="12">
        <v>239.88</v>
      </c>
      <c r="F794" s="1">
        <v>45692</v>
      </c>
      <c r="G794" t="s">
        <v>79</v>
      </c>
      <c r="H794" s="12">
        <v>239.88</v>
      </c>
    </row>
    <row r="795" spans="1:8" x14ac:dyDescent="0.3">
      <c r="A795" s="1">
        <v>45660</v>
      </c>
      <c r="B795" t="s">
        <v>13</v>
      </c>
      <c r="C795" s="12">
        <v>239.72</v>
      </c>
      <c r="F795" s="1">
        <v>45660</v>
      </c>
      <c r="G795" t="s">
        <v>32</v>
      </c>
      <c r="H795" s="12">
        <v>239.72</v>
      </c>
    </row>
    <row r="796" spans="1:8" x14ac:dyDescent="0.3">
      <c r="A796" s="1">
        <v>45726</v>
      </c>
      <c r="B796" t="s">
        <v>24</v>
      </c>
      <c r="C796" s="12">
        <v>239.35</v>
      </c>
      <c r="F796" s="1">
        <v>45726</v>
      </c>
      <c r="G796" t="s">
        <v>63</v>
      </c>
      <c r="H796" s="12">
        <v>239.35</v>
      </c>
    </row>
    <row r="797" spans="1:8" x14ac:dyDescent="0.3">
      <c r="A797" s="1">
        <v>45549</v>
      </c>
      <c r="B797" t="s">
        <v>28</v>
      </c>
      <c r="C797" s="12">
        <v>239.33</v>
      </c>
      <c r="F797" s="1">
        <v>45549</v>
      </c>
      <c r="G797" t="s">
        <v>51</v>
      </c>
      <c r="H797" s="12">
        <v>239.33</v>
      </c>
    </row>
    <row r="798" spans="1:8" x14ac:dyDescent="0.3">
      <c r="A798" s="1">
        <v>45476</v>
      </c>
      <c r="B798" t="s">
        <v>18</v>
      </c>
      <c r="C798" s="12">
        <v>236.22</v>
      </c>
      <c r="F798" s="1">
        <v>45476</v>
      </c>
      <c r="G798" t="s">
        <v>84</v>
      </c>
      <c r="H798" s="12">
        <v>236.22</v>
      </c>
    </row>
    <row r="799" spans="1:8" x14ac:dyDescent="0.3">
      <c r="A799" s="1">
        <v>45664</v>
      </c>
      <c r="B799" t="s">
        <v>37</v>
      </c>
      <c r="C799" s="12">
        <v>235.88</v>
      </c>
      <c r="F799" s="1">
        <v>45664</v>
      </c>
      <c r="G799" t="s">
        <v>58</v>
      </c>
      <c r="H799" s="12">
        <v>235.88</v>
      </c>
    </row>
    <row r="800" spans="1:8" x14ac:dyDescent="0.3">
      <c r="A800" s="1">
        <v>45712</v>
      </c>
      <c r="B800" t="s">
        <v>13</v>
      </c>
      <c r="C800" s="12">
        <v>235.82999999999998</v>
      </c>
      <c r="F800" s="1">
        <v>45712</v>
      </c>
      <c r="G800" t="s">
        <v>14</v>
      </c>
      <c r="H800" s="12">
        <v>235.82999999999998</v>
      </c>
    </row>
    <row r="801" spans="1:8" x14ac:dyDescent="0.3">
      <c r="A801" s="1">
        <v>45685</v>
      </c>
      <c r="B801" t="s">
        <v>37</v>
      </c>
      <c r="C801" s="12">
        <v>235.56</v>
      </c>
      <c r="F801" s="1">
        <v>45685</v>
      </c>
      <c r="G801" t="s">
        <v>58</v>
      </c>
      <c r="H801" s="12">
        <v>235.56</v>
      </c>
    </row>
    <row r="802" spans="1:8" x14ac:dyDescent="0.3">
      <c r="A802" s="1">
        <v>45558</v>
      </c>
      <c r="B802" t="s">
        <v>13</v>
      </c>
      <c r="C802" s="12">
        <v>234.56</v>
      </c>
      <c r="F802" s="1">
        <v>45558</v>
      </c>
      <c r="G802" t="s">
        <v>14</v>
      </c>
      <c r="H802" s="12">
        <v>234.56</v>
      </c>
    </row>
    <row r="803" spans="1:8" x14ac:dyDescent="0.3">
      <c r="A803" s="1">
        <v>45708</v>
      </c>
      <c r="B803" t="s">
        <v>24</v>
      </c>
      <c r="C803" s="12">
        <v>234.18</v>
      </c>
      <c r="F803" s="1">
        <v>45708</v>
      </c>
      <c r="G803" t="s">
        <v>65</v>
      </c>
      <c r="H803" s="12">
        <v>234.18</v>
      </c>
    </row>
    <row r="804" spans="1:8" x14ac:dyDescent="0.3">
      <c r="A804" s="1">
        <v>45663</v>
      </c>
      <c r="B804" t="s">
        <v>24</v>
      </c>
      <c r="C804" s="12">
        <v>233.24</v>
      </c>
      <c r="F804" s="1">
        <v>45663</v>
      </c>
      <c r="G804" t="s">
        <v>63</v>
      </c>
      <c r="H804" s="12">
        <v>233.24</v>
      </c>
    </row>
    <row r="805" spans="1:8" x14ac:dyDescent="0.3">
      <c r="A805" s="1">
        <v>45478</v>
      </c>
      <c r="B805" t="s">
        <v>24</v>
      </c>
      <c r="C805" s="12">
        <v>232.24</v>
      </c>
      <c r="F805" s="1">
        <v>45478</v>
      </c>
      <c r="G805" t="s">
        <v>44</v>
      </c>
      <c r="H805" s="12">
        <v>232.24</v>
      </c>
    </row>
    <row r="806" spans="1:8" x14ac:dyDescent="0.3">
      <c r="A806" s="1">
        <v>45663</v>
      </c>
      <c r="B806" t="s">
        <v>13</v>
      </c>
      <c r="C806" s="12">
        <v>231.51</v>
      </c>
      <c r="F806" s="1">
        <v>45663</v>
      </c>
      <c r="G806" t="s">
        <v>14</v>
      </c>
      <c r="H806" s="12">
        <v>231.51</v>
      </c>
    </row>
    <row r="807" spans="1:8" x14ac:dyDescent="0.3">
      <c r="A807" s="1">
        <v>45521</v>
      </c>
      <c r="B807" t="s">
        <v>37</v>
      </c>
      <c r="C807" s="12">
        <v>231.36</v>
      </c>
      <c r="F807" s="1">
        <v>45521</v>
      </c>
      <c r="G807" t="s">
        <v>68</v>
      </c>
      <c r="H807" s="12">
        <v>231.36</v>
      </c>
    </row>
    <row r="808" spans="1:8" x14ac:dyDescent="0.3">
      <c r="A808" s="1">
        <v>45593</v>
      </c>
      <c r="B808" t="s">
        <v>28</v>
      </c>
      <c r="C808" s="12">
        <v>230.16</v>
      </c>
      <c r="F808" s="1">
        <v>45593</v>
      </c>
      <c r="G808" t="s">
        <v>79</v>
      </c>
      <c r="H808" s="12">
        <v>230.16</v>
      </c>
    </row>
    <row r="809" spans="1:8" x14ac:dyDescent="0.3">
      <c r="A809" s="1">
        <v>45672</v>
      </c>
      <c r="B809" t="s">
        <v>18</v>
      </c>
      <c r="C809" s="12">
        <v>230.09</v>
      </c>
      <c r="F809" s="1">
        <v>45672</v>
      </c>
      <c r="G809" t="s">
        <v>34</v>
      </c>
      <c r="H809" s="12">
        <v>230.09</v>
      </c>
    </row>
    <row r="810" spans="1:8" x14ac:dyDescent="0.3">
      <c r="A810" s="1">
        <v>45649</v>
      </c>
      <c r="B810" t="s">
        <v>18</v>
      </c>
      <c r="C810" s="12">
        <v>229.32</v>
      </c>
      <c r="F810" s="1">
        <v>45649</v>
      </c>
      <c r="G810" t="s">
        <v>19</v>
      </c>
      <c r="H810" s="12">
        <v>229.32</v>
      </c>
    </row>
    <row r="811" spans="1:8" x14ac:dyDescent="0.3">
      <c r="A811" s="1">
        <v>45556</v>
      </c>
      <c r="B811" t="s">
        <v>24</v>
      </c>
      <c r="C811" s="12">
        <v>226.48</v>
      </c>
      <c r="F811" s="1">
        <v>45556</v>
      </c>
      <c r="G811" t="s">
        <v>49</v>
      </c>
      <c r="H811" s="12">
        <v>226.48</v>
      </c>
    </row>
    <row r="812" spans="1:8" x14ac:dyDescent="0.3">
      <c r="A812" s="1">
        <v>45550</v>
      </c>
      <c r="B812" t="s">
        <v>37</v>
      </c>
      <c r="C812" s="12">
        <v>226.42</v>
      </c>
      <c r="F812" s="1">
        <v>45550</v>
      </c>
      <c r="G812" t="s">
        <v>58</v>
      </c>
      <c r="H812" s="12">
        <v>226.42</v>
      </c>
    </row>
    <row r="813" spans="1:8" x14ac:dyDescent="0.3">
      <c r="A813" s="1">
        <v>45416</v>
      </c>
      <c r="B813" t="s">
        <v>24</v>
      </c>
      <c r="C813" s="12">
        <v>225.06</v>
      </c>
      <c r="F813" s="1">
        <v>45416</v>
      </c>
      <c r="G813" t="s">
        <v>63</v>
      </c>
      <c r="H813" s="12">
        <v>225.06</v>
      </c>
    </row>
    <row r="814" spans="1:8" x14ac:dyDescent="0.3">
      <c r="A814" s="1">
        <v>45391</v>
      </c>
      <c r="B814" t="s">
        <v>24</v>
      </c>
      <c r="C814" s="12">
        <v>220.22</v>
      </c>
      <c r="F814" s="1">
        <v>45391</v>
      </c>
      <c r="G814" t="s">
        <v>49</v>
      </c>
      <c r="H814" s="12">
        <v>220.22</v>
      </c>
    </row>
    <row r="815" spans="1:8" x14ac:dyDescent="0.3">
      <c r="A815" s="1">
        <v>45371</v>
      </c>
      <c r="B815" t="s">
        <v>24</v>
      </c>
      <c r="C815" s="12">
        <v>219.94</v>
      </c>
      <c r="F815" s="1">
        <v>45371</v>
      </c>
      <c r="G815" t="s">
        <v>49</v>
      </c>
      <c r="H815" s="12">
        <v>219.94</v>
      </c>
    </row>
    <row r="816" spans="1:8" x14ac:dyDescent="0.3">
      <c r="A816" s="1">
        <v>45470</v>
      </c>
      <c r="B816" t="s">
        <v>37</v>
      </c>
      <c r="C816" s="12">
        <v>218.74</v>
      </c>
      <c r="F816" s="1">
        <v>45470</v>
      </c>
      <c r="G816" t="s">
        <v>95</v>
      </c>
      <c r="H816" s="12">
        <v>218.74</v>
      </c>
    </row>
    <row r="817" spans="1:8" x14ac:dyDescent="0.3">
      <c r="A817" s="1">
        <v>45651</v>
      </c>
      <c r="B817" t="s">
        <v>28</v>
      </c>
      <c r="C817" s="12">
        <v>218.72</v>
      </c>
      <c r="F817" s="1">
        <v>45651</v>
      </c>
      <c r="G817" t="s">
        <v>79</v>
      </c>
      <c r="H817" s="12">
        <v>218.72</v>
      </c>
    </row>
    <row r="818" spans="1:8" x14ac:dyDescent="0.3">
      <c r="A818" s="1">
        <v>45547</v>
      </c>
      <c r="B818" t="s">
        <v>28</v>
      </c>
      <c r="C818" s="12">
        <v>217.98</v>
      </c>
      <c r="F818" s="1">
        <v>45547</v>
      </c>
      <c r="G818" t="s">
        <v>79</v>
      </c>
      <c r="H818" s="12">
        <v>217.98</v>
      </c>
    </row>
    <row r="819" spans="1:8" x14ac:dyDescent="0.3">
      <c r="A819" s="1">
        <v>45668</v>
      </c>
      <c r="B819" t="s">
        <v>13</v>
      </c>
      <c r="C819" s="12">
        <v>216.68</v>
      </c>
      <c r="F819" s="1">
        <v>45668</v>
      </c>
      <c r="G819" t="s">
        <v>111</v>
      </c>
      <c r="H819" s="12">
        <v>216.68</v>
      </c>
    </row>
    <row r="820" spans="1:8" x14ac:dyDescent="0.3">
      <c r="A820" s="1">
        <v>45539</v>
      </c>
      <c r="B820" t="s">
        <v>18</v>
      </c>
      <c r="C820" s="12">
        <v>215.68</v>
      </c>
      <c r="F820" s="1">
        <v>45539</v>
      </c>
      <c r="G820" t="s">
        <v>84</v>
      </c>
      <c r="H820" s="12">
        <v>215.68</v>
      </c>
    </row>
    <row r="821" spans="1:8" x14ac:dyDescent="0.3">
      <c r="A821" s="1">
        <v>45570</v>
      </c>
      <c r="B821" t="s">
        <v>28</v>
      </c>
      <c r="C821" s="12">
        <v>215.08</v>
      </c>
      <c r="F821" s="1">
        <v>45570</v>
      </c>
      <c r="G821" t="s">
        <v>29</v>
      </c>
      <c r="H821" s="12">
        <v>215.08</v>
      </c>
    </row>
    <row r="822" spans="1:8" x14ac:dyDescent="0.3">
      <c r="A822" s="1">
        <v>45479</v>
      </c>
      <c r="B822" t="s">
        <v>13</v>
      </c>
      <c r="C822" s="12">
        <v>213.83</v>
      </c>
      <c r="F822" s="1">
        <v>45479</v>
      </c>
      <c r="G822" t="s">
        <v>111</v>
      </c>
      <c r="H822" s="12">
        <v>213.83</v>
      </c>
    </row>
    <row r="823" spans="1:8" x14ac:dyDescent="0.3">
      <c r="A823" s="1">
        <v>45578</v>
      </c>
      <c r="B823" t="s">
        <v>18</v>
      </c>
      <c r="C823" s="12">
        <v>206.4</v>
      </c>
      <c r="F823" s="1">
        <v>45578</v>
      </c>
      <c r="G823" t="s">
        <v>87</v>
      </c>
      <c r="H823" s="12">
        <v>206.4</v>
      </c>
    </row>
    <row r="824" spans="1:8" x14ac:dyDescent="0.3">
      <c r="A824" s="1">
        <v>45643</v>
      </c>
      <c r="B824" t="s">
        <v>18</v>
      </c>
      <c r="C824" s="12">
        <v>204.66</v>
      </c>
      <c r="F824" s="1">
        <v>45643</v>
      </c>
      <c r="G824" t="s">
        <v>22</v>
      </c>
      <c r="H824" s="12">
        <v>204.66</v>
      </c>
    </row>
    <row r="825" spans="1:8" x14ac:dyDescent="0.3">
      <c r="A825" s="1">
        <v>45396</v>
      </c>
      <c r="B825" t="s">
        <v>18</v>
      </c>
      <c r="C825" s="12">
        <v>203.4</v>
      </c>
      <c r="F825" s="1">
        <v>45396</v>
      </c>
      <c r="G825" t="s">
        <v>34</v>
      </c>
      <c r="H825" s="12">
        <v>203.4</v>
      </c>
    </row>
    <row r="826" spans="1:8" x14ac:dyDescent="0.3">
      <c r="A826" s="1">
        <v>45709</v>
      </c>
      <c r="B826" t="s">
        <v>37</v>
      </c>
      <c r="C826" s="12">
        <v>202.55</v>
      </c>
      <c r="F826" s="1">
        <v>45709</v>
      </c>
      <c r="G826" t="s">
        <v>40</v>
      </c>
      <c r="H826" s="12">
        <v>202.55</v>
      </c>
    </row>
    <row r="827" spans="1:8" x14ac:dyDescent="0.3">
      <c r="A827" s="1">
        <v>45390</v>
      </c>
      <c r="B827" t="s">
        <v>18</v>
      </c>
      <c r="C827" s="12">
        <v>200.44</v>
      </c>
      <c r="F827" s="1">
        <v>45390</v>
      </c>
      <c r="G827" t="s">
        <v>87</v>
      </c>
      <c r="H827" s="12">
        <v>200.44</v>
      </c>
    </row>
    <row r="828" spans="1:8" x14ac:dyDescent="0.3">
      <c r="A828" s="1">
        <v>45616</v>
      </c>
      <c r="B828" t="s">
        <v>18</v>
      </c>
      <c r="C828" s="12">
        <v>198.08</v>
      </c>
      <c r="F828" s="1">
        <v>45616</v>
      </c>
      <c r="G828" t="s">
        <v>34</v>
      </c>
      <c r="H828" s="12">
        <v>198.08</v>
      </c>
    </row>
    <row r="829" spans="1:8" x14ac:dyDescent="0.3">
      <c r="A829" s="1">
        <v>45612</v>
      </c>
      <c r="B829" t="s">
        <v>28</v>
      </c>
      <c r="C829" s="12">
        <v>197.69</v>
      </c>
      <c r="F829" s="1">
        <v>45612</v>
      </c>
      <c r="G829" t="s">
        <v>77</v>
      </c>
      <c r="H829" s="12">
        <v>197.69</v>
      </c>
    </row>
    <row r="830" spans="1:8" x14ac:dyDescent="0.3">
      <c r="A830" s="1">
        <v>45474</v>
      </c>
      <c r="B830" t="s">
        <v>24</v>
      </c>
      <c r="C830" s="12">
        <v>197.28</v>
      </c>
      <c r="F830" s="1">
        <v>45474</v>
      </c>
      <c r="G830" t="s">
        <v>49</v>
      </c>
      <c r="H830" s="12">
        <v>197.28</v>
      </c>
    </row>
    <row r="831" spans="1:8" x14ac:dyDescent="0.3">
      <c r="A831" s="1">
        <v>45533</v>
      </c>
      <c r="B831" t="s">
        <v>13</v>
      </c>
      <c r="C831" s="12">
        <v>197.24</v>
      </c>
      <c r="F831" s="1">
        <v>45533</v>
      </c>
      <c r="G831" t="s">
        <v>111</v>
      </c>
      <c r="H831" s="12">
        <v>197.24</v>
      </c>
    </row>
    <row r="832" spans="1:8" x14ac:dyDescent="0.3">
      <c r="A832" s="1">
        <v>45385</v>
      </c>
      <c r="B832" t="s">
        <v>28</v>
      </c>
      <c r="C832" s="12">
        <v>195.9</v>
      </c>
      <c r="F832" s="1">
        <v>45385</v>
      </c>
      <c r="G832" t="s">
        <v>72</v>
      </c>
      <c r="H832" s="12">
        <v>195.9</v>
      </c>
    </row>
    <row r="833" spans="1:8" x14ac:dyDescent="0.3">
      <c r="A833" s="1">
        <v>45405</v>
      </c>
      <c r="B833" t="s">
        <v>24</v>
      </c>
      <c r="C833" s="12">
        <v>195.85</v>
      </c>
      <c r="F833" s="1">
        <v>45405</v>
      </c>
      <c r="G833" t="s">
        <v>65</v>
      </c>
      <c r="H833" s="12">
        <v>195.85</v>
      </c>
    </row>
    <row r="834" spans="1:8" x14ac:dyDescent="0.3">
      <c r="A834" s="1">
        <v>45472</v>
      </c>
      <c r="B834" t="s">
        <v>13</v>
      </c>
      <c r="C834" s="12">
        <v>195.76</v>
      </c>
      <c r="F834" s="1">
        <v>45472</v>
      </c>
      <c r="G834" t="s">
        <v>111</v>
      </c>
      <c r="H834" s="12">
        <v>195.76</v>
      </c>
    </row>
    <row r="835" spans="1:8" x14ac:dyDescent="0.3">
      <c r="A835" s="1">
        <v>45586</v>
      </c>
      <c r="B835" t="s">
        <v>37</v>
      </c>
      <c r="C835" s="12">
        <v>194.9</v>
      </c>
      <c r="F835" s="1">
        <v>45586</v>
      </c>
      <c r="G835" t="s">
        <v>38</v>
      </c>
      <c r="H835" s="12">
        <v>194.9</v>
      </c>
    </row>
    <row r="836" spans="1:8" x14ac:dyDescent="0.3">
      <c r="A836" s="1">
        <v>45522</v>
      </c>
      <c r="B836" t="s">
        <v>13</v>
      </c>
      <c r="C836" s="12">
        <v>194.81</v>
      </c>
      <c r="F836" s="1">
        <v>45522</v>
      </c>
      <c r="G836" t="s">
        <v>111</v>
      </c>
      <c r="H836" s="12">
        <v>194.81</v>
      </c>
    </row>
    <row r="837" spans="1:8" x14ac:dyDescent="0.3">
      <c r="A837" s="1">
        <v>45512</v>
      </c>
      <c r="B837" t="s">
        <v>37</v>
      </c>
      <c r="C837" s="12">
        <v>194.16</v>
      </c>
      <c r="F837" s="1">
        <v>45512</v>
      </c>
      <c r="G837" t="s">
        <v>40</v>
      </c>
      <c r="H837" s="12">
        <v>194.16</v>
      </c>
    </row>
    <row r="838" spans="1:8" x14ac:dyDescent="0.3">
      <c r="A838" s="1">
        <v>45620</v>
      </c>
      <c r="B838" t="s">
        <v>28</v>
      </c>
      <c r="C838" s="12">
        <v>192.62</v>
      </c>
      <c r="F838" s="1">
        <v>45620</v>
      </c>
      <c r="G838" t="s">
        <v>29</v>
      </c>
      <c r="H838" s="12">
        <v>192.62</v>
      </c>
    </row>
    <row r="839" spans="1:8" x14ac:dyDescent="0.3">
      <c r="A839" s="1">
        <v>45721</v>
      </c>
      <c r="B839" t="s">
        <v>18</v>
      </c>
      <c r="C839" s="12">
        <v>191.98</v>
      </c>
      <c r="F839" s="1">
        <v>45721</v>
      </c>
      <c r="G839" t="s">
        <v>87</v>
      </c>
      <c r="H839" s="12">
        <v>191.98</v>
      </c>
    </row>
    <row r="840" spans="1:8" x14ac:dyDescent="0.3">
      <c r="A840" s="1">
        <v>45709</v>
      </c>
      <c r="B840" t="s">
        <v>13</v>
      </c>
      <c r="C840" s="12">
        <v>191.54</v>
      </c>
      <c r="F840" s="1">
        <v>45709</v>
      </c>
      <c r="G840" t="s">
        <v>111</v>
      </c>
      <c r="H840" s="12">
        <v>191.54</v>
      </c>
    </row>
    <row r="841" spans="1:8" x14ac:dyDescent="0.3">
      <c r="A841" s="1">
        <v>45730</v>
      </c>
      <c r="B841" t="s">
        <v>13</v>
      </c>
      <c r="C841" s="12">
        <v>191.02</v>
      </c>
      <c r="F841" s="1">
        <v>45730</v>
      </c>
      <c r="G841" t="s">
        <v>111</v>
      </c>
      <c r="H841" s="12">
        <v>191.02</v>
      </c>
    </row>
    <row r="842" spans="1:8" x14ac:dyDescent="0.3">
      <c r="A842" s="1">
        <v>45665</v>
      </c>
      <c r="B842" t="s">
        <v>18</v>
      </c>
      <c r="C842" s="12">
        <v>190.77</v>
      </c>
      <c r="F842" s="1">
        <v>45665</v>
      </c>
      <c r="G842" t="s">
        <v>19</v>
      </c>
      <c r="H842" s="12">
        <v>190.77</v>
      </c>
    </row>
    <row r="843" spans="1:8" x14ac:dyDescent="0.3">
      <c r="A843" s="1">
        <v>45594</v>
      </c>
      <c r="B843" t="s">
        <v>37</v>
      </c>
      <c r="C843" s="12">
        <v>189.89</v>
      </c>
      <c r="F843" s="1">
        <v>45594</v>
      </c>
      <c r="G843" t="s">
        <v>58</v>
      </c>
      <c r="H843" s="12">
        <v>189.89</v>
      </c>
    </row>
    <row r="844" spans="1:8" x14ac:dyDescent="0.3">
      <c r="A844" s="1">
        <v>45442</v>
      </c>
      <c r="B844" t="s">
        <v>18</v>
      </c>
      <c r="C844" s="12">
        <v>189.35</v>
      </c>
      <c r="F844" s="1">
        <v>45442</v>
      </c>
      <c r="G844" t="s">
        <v>87</v>
      </c>
      <c r="H844" s="12">
        <v>189.35</v>
      </c>
    </row>
    <row r="845" spans="1:8" x14ac:dyDescent="0.3">
      <c r="A845" s="1">
        <v>45728</v>
      </c>
      <c r="B845" t="s">
        <v>28</v>
      </c>
      <c r="C845" s="12">
        <v>188.43</v>
      </c>
      <c r="F845" s="1">
        <v>45728</v>
      </c>
      <c r="G845" t="s">
        <v>72</v>
      </c>
      <c r="H845" s="12">
        <v>188.43</v>
      </c>
    </row>
    <row r="846" spans="1:8" x14ac:dyDescent="0.3">
      <c r="A846" s="1">
        <v>45585</v>
      </c>
      <c r="B846" t="s">
        <v>13</v>
      </c>
      <c r="C846" s="12">
        <v>187.60000000000002</v>
      </c>
      <c r="F846" s="1">
        <v>45585</v>
      </c>
      <c r="G846" t="s">
        <v>14</v>
      </c>
      <c r="H846" s="12">
        <v>187.60000000000002</v>
      </c>
    </row>
    <row r="847" spans="1:8" x14ac:dyDescent="0.3">
      <c r="A847" s="1">
        <v>45616</v>
      </c>
      <c r="B847" t="s">
        <v>37</v>
      </c>
      <c r="C847" s="12">
        <v>187.51</v>
      </c>
      <c r="F847" s="1">
        <v>45616</v>
      </c>
      <c r="G847" t="s">
        <v>68</v>
      </c>
      <c r="H847" s="12">
        <v>187.51</v>
      </c>
    </row>
    <row r="848" spans="1:8" x14ac:dyDescent="0.3">
      <c r="A848" s="1">
        <v>45536</v>
      </c>
      <c r="B848" t="s">
        <v>13</v>
      </c>
      <c r="C848" s="12">
        <v>183.61</v>
      </c>
      <c r="F848" s="1">
        <v>45536</v>
      </c>
      <c r="G848" t="s">
        <v>32</v>
      </c>
      <c r="H848" s="12">
        <v>183.61</v>
      </c>
    </row>
    <row r="849" spans="1:8" x14ac:dyDescent="0.3">
      <c r="A849" s="1">
        <v>45595</v>
      </c>
      <c r="B849" t="s">
        <v>28</v>
      </c>
      <c r="C849" s="12">
        <v>183.52</v>
      </c>
      <c r="F849" s="1">
        <v>45595</v>
      </c>
      <c r="G849" t="s">
        <v>51</v>
      </c>
      <c r="H849" s="12">
        <v>183.52</v>
      </c>
    </row>
    <row r="850" spans="1:8" x14ac:dyDescent="0.3">
      <c r="A850" s="1">
        <v>45487</v>
      </c>
      <c r="B850" t="s">
        <v>28</v>
      </c>
      <c r="C850" s="12">
        <v>183.3</v>
      </c>
      <c r="F850" s="1">
        <v>45487</v>
      </c>
      <c r="G850" t="s">
        <v>79</v>
      </c>
      <c r="H850" s="12">
        <v>183.3</v>
      </c>
    </row>
    <row r="851" spans="1:8" x14ac:dyDescent="0.3">
      <c r="A851" s="1">
        <v>45443</v>
      </c>
      <c r="B851" t="s">
        <v>28</v>
      </c>
      <c r="C851" s="12">
        <v>181.56</v>
      </c>
      <c r="F851" s="1">
        <v>45443</v>
      </c>
      <c r="G851" t="s">
        <v>79</v>
      </c>
      <c r="H851" s="12">
        <v>181.56</v>
      </c>
    </row>
    <row r="852" spans="1:8" x14ac:dyDescent="0.3">
      <c r="A852" s="1">
        <v>45700</v>
      </c>
      <c r="B852" t="s">
        <v>24</v>
      </c>
      <c r="C852" s="12">
        <v>176.73</v>
      </c>
      <c r="F852" s="1">
        <v>45700</v>
      </c>
      <c r="G852" t="s">
        <v>63</v>
      </c>
      <c r="H852" s="12">
        <v>176.73</v>
      </c>
    </row>
    <row r="853" spans="1:8" x14ac:dyDescent="0.3">
      <c r="A853" s="1">
        <v>45677</v>
      </c>
      <c r="B853" t="s">
        <v>37</v>
      </c>
      <c r="C853" s="12">
        <v>174.6</v>
      </c>
      <c r="F853" s="1">
        <v>45677</v>
      </c>
      <c r="G853" t="s">
        <v>95</v>
      </c>
      <c r="H853" s="12">
        <v>174.6</v>
      </c>
    </row>
    <row r="854" spans="1:8" x14ac:dyDescent="0.3">
      <c r="A854" s="1">
        <v>45392</v>
      </c>
      <c r="B854" t="s">
        <v>28</v>
      </c>
      <c r="C854" s="12">
        <v>172.92</v>
      </c>
      <c r="F854" s="1">
        <v>45392</v>
      </c>
      <c r="G854" t="s">
        <v>72</v>
      </c>
      <c r="H854" s="12">
        <v>172.92</v>
      </c>
    </row>
    <row r="855" spans="1:8" x14ac:dyDescent="0.3">
      <c r="A855" s="1">
        <v>45559</v>
      </c>
      <c r="B855" t="s">
        <v>18</v>
      </c>
      <c r="C855" s="12">
        <v>172.3</v>
      </c>
      <c r="F855" s="1">
        <v>45559</v>
      </c>
      <c r="G855" t="s">
        <v>19</v>
      </c>
      <c r="H855" s="12">
        <v>172.3</v>
      </c>
    </row>
    <row r="856" spans="1:8" x14ac:dyDescent="0.3">
      <c r="A856" s="1">
        <v>45439</v>
      </c>
      <c r="B856" t="s">
        <v>13</v>
      </c>
      <c r="C856" s="12">
        <v>171.96</v>
      </c>
      <c r="F856" s="1">
        <v>45439</v>
      </c>
      <c r="G856" t="s">
        <v>32</v>
      </c>
      <c r="H856" s="12">
        <v>171.96</v>
      </c>
    </row>
    <row r="857" spans="1:8" x14ac:dyDescent="0.3">
      <c r="A857" s="1">
        <v>45395</v>
      </c>
      <c r="B857" t="s">
        <v>28</v>
      </c>
      <c r="C857" s="12">
        <v>170.62</v>
      </c>
      <c r="F857" s="1">
        <v>45395</v>
      </c>
      <c r="G857" t="s">
        <v>79</v>
      </c>
      <c r="H857" s="12">
        <v>170.62</v>
      </c>
    </row>
    <row r="858" spans="1:8" x14ac:dyDescent="0.3">
      <c r="A858" s="1">
        <v>45558</v>
      </c>
      <c r="B858" t="s">
        <v>37</v>
      </c>
      <c r="C858" s="12">
        <v>169.29</v>
      </c>
      <c r="F858" s="1">
        <v>45558</v>
      </c>
      <c r="G858" t="s">
        <v>95</v>
      </c>
      <c r="H858" s="12">
        <v>169.29</v>
      </c>
    </row>
    <row r="859" spans="1:8" x14ac:dyDescent="0.3">
      <c r="A859" s="1">
        <v>45610</v>
      </c>
      <c r="B859" t="s">
        <v>37</v>
      </c>
      <c r="C859" s="12">
        <v>168.47</v>
      </c>
      <c r="F859" s="1">
        <v>45610</v>
      </c>
      <c r="G859" t="s">
        <v>68</v>
      </c>
      <c r="H859" s="12">
        <v>168.47</v>
      </c>
    </row>
    <row r="860" spans="1:8" x14ac:dyDescent="0.3">
      <c r="A860" s="1">
        <v>45542</v>
      </c>
      <c r="B860" t="s">
        <v>37</v>
      </c>
      <c r="C860" s="12">
        <v>167.94</v>
      </c>
      <c r="F860" s="1">
        <v>45542</v>
      </c>
      <c r="G860" t="s">
        <v>95</v>
      </c>
      <c r="H860" s="12">
        <v>167.94</v>
      </c>
    </row>
    <row r="861" spans="1:8" x14ac:dyDescent="0.3">
      <c r="A861" s="1">
        <v>45493</v>
      </c>
      <c r="B861" t="s">
        <v>28</v>
      </c>
      <c r="C861" s="12">
        <v>166.74</v>
      </c>
      <c r="F861" s="1">
        <v>45493</v>
      </c>
      <c r="G861" t="s">
        <v>72</v>
      </c>
      <c r="H861" s="12">
        <v>166.74</v>
      </c>
    </row>
    <row r="862" spans="1:8" x14ac:dyDescent="0.3">
      <c r="A862" s="1">
        <v>45578</v>
      </c>
      <c r="B862" t="s">
        <v>18</v>
      </c>
      <c r="C862" s="12">
        <v>163.12</v>
      </c>
      <c r="F862" s="1">
        <v>45578</v>
      </c>
      <c r="G862" t="s">
        <v>84</v>
      </c>
      <c r="H862" s="12">
        <v>163.12</v>
      </c>
    </row>
    <row r="863" spans="1:8" x14ac:dyDescent="0.3">
      <c r="A863" s="1">
        <v>45374</v>
      </c>
      <c r="B863" t="s">
        <v>13</v>
      </c>
      <c r="C863" s="12">
        <v>162.38</v>
      </c>
      <c r="F863" s="1">
        <v>45374</v>
      </c>
      <c r="G863" t="s">
        <v>14</v>
      </c>
      <c r="H863" s="12">
        <v>162.38</v>
      </c>
    </row>
    <row r="864" spans="1:8" x14ac:dyDescent="0.3">
      <c r="A864" s="1">
        <v>45448</v>
      </c>
      <c r="B864" t="s">
        <v>37</v>
      </c>
      <c r="C864" s="12">
        <v>158.11000000000001</v>
      </c>
      <c r="F864" s="1">
        <v>45448</v>
      </c>
      <c r="G864" t="s">
        <v>40</v>
      </c>
      <c r="H864" s="12">
        <v>158.11000000000001</v>
      </c>
    </row>
    <row r="865" spans="1:8" x14ac:dyDescent="0.3">
      <c r="A865" s="1">
        <v>45452</v>
      </c>
      <c r="B865" t="s">
        <v>28</v>
      </c>
      <c r="C865" s="12">
        <v>157.05000000000001</v>
      </c>
      <c r="F865" s="1">
        <v>45452</v>
      </c>
      <c r="G865" t="s">
        <v>29</v>
      </c>
      <c r="H865" s="12">
        <v>157.05000000000001</v>
      </c>
    </row>
    <row r="866" spans="1:8" x14ac:dyDescent="0.3">
      <c r="A866" s="1">
        <v>45605</v>
      </c>
      <c r="B866" t="s">
        <v>28</v>
      </c>
      <c r="C866" s="12">
        <v>156.88</v>
      </c>
      <c r="F866" s="1">
        <v>45605</v>
      </c>
      <c r="G866" t="s">
        <v>79</v>
      </c>
      <c r="H866" s="12">
        <v>156.88</v>
      </c>
    </row>
    <row r="867" spans="1:8" x14ac:dyDescent="0.3">
      <c r="A867" s="1">
        <v>45713</v>
      </c>
      <c r="B867" t="s">
        <v>13</v>
      </c>
      <c r="C867" s="12">
        <v>154.74</v>
      </c>
      <c r="F867" s="1">
        <v>45713</v>
      </c>
      <c r="G867" t="s">
        <v>32</v>
      </c>
      <c r="H867" s="12">
        <v>154.74</v>
      </c>
    </row>
    <row r="868" spans="1:8" x14ac:dyDescent="0.3">
      <c r="A868" s="1">
        <v>45475</v>
      </c>
      <c r="B868" t="s">
        <v>18</v>
      </c>
      <c r="C868" s="12">
        <v>154.59</v>
      </c>
      <c r="F868" s="1">
        <v>45475</v>
      </c>
      <c r="G868" t="s">
        <v>22</v>
      </c>
      <c r="H868" s="12">
        <v>154.59</v>
      </c>
    </row>
    <row r="869" spans="1:8" x14ac:dyDescent="0.3">
      <c r="A869" s="1">
        <v>45631</v>
      </c>
      <c r="B869" t="s">
        <v>37</v>
      </c>
      <c r="C869" s="12">
        <v>153.82</v>
      </c>
      <c r="F869" s="1">
        <v>45631</v>
      </c>
      <c r="G869" t="s">
        <v>38</v>
      </c>
      <c r="H869" s="12">
        <v>153.82</v>
      </c>
    </row>
    <row r="870" spans="1:8" x14ac:dyDescent="0.3">
      <c r="A870" s="1">
        <v>45507</v>
      </c>
      <c r="B870" t="s">
        <v>13</v>
      </c>
      <c r="C870" s="12">
        <v>152.19999999999999</v>
      </c>
      <c r="F870" s="1">
        <v>45507</v>
      </c>
      <c r="G870" t="s">
        <v>14</v>
      </c>
      <c r="H870" s="12">
        <v>152.19999999999999</v>
      </c>
    </row>
    <row r="871" spans="1:8" x14ac:dyDescent="0.3">
      <c r="A871" s="1">
        <v>45695</v>
      </c>
      <c r="B871" t="s">
        <v>24</v>
      </c>
      <c r="C871" s="12">
        <v>151.94</v>
      </c>
      <c r="F871" s="1">
        <v>45695</v>
      </c>
      <c r="G871" t="s">
        <v>65</v>
      </c>
      <c r="H871" s="12">
        <v>151.94</v>
      </c>
    </row>
    <row r="872" spans="1:8" x14ac:dyDescent="0.3">
      <c r="A872" s="1">
        <v>45426</v>
      </c>
      <c r="B872" t="s">
        <v>18</v>
      </c>
      <c r="C872" s="12">
        <v>151.19999999999999</v>
      </c>
      <c r="F872" s="1">
        <v>45426</v>
      </c>
      <c r="G872" t="s">
        <v>34</v>
      </c>
      <c r="H872" s="12">
        <v>151.19999999999999</v>
      </c>
    </row>
    <row r="873" spans="1:8" x14ac:dyDescent="0.3">
      <c r="A873" s="1">
        <v>45713</v>
      </c>
      <c r="B873" t="s">
        <v>37</v>
      </c>
      <c r="C873" s="12">
        <v>150.08000000000001</v>
      </c>
      <c r="F873" s="1">
        <v>45713</v>
      </c>
      <c r="G873" t="s">
        <v>58</v>
      </c>
      <c r="H873" s="12">
        <v>150.08000000000001</v>
      </c>
    </row>
    <row r="874" spans="1:8" x14ac:dyDescent="0.3">
      <c r="A874" s="1">
        <v>45415</v>
      </c>
      <c r="B874" t="s">
        <v>28</v>
      </c>
      <c r="C874" s="12">
        <v>149.72</v>
      </c>
      <c r="F874" s="1">
        <v>45415</v>
      </c>
      <c r="G874" t="s">
        <v>79</v>
      </c>
      <c r="H874" s="12">
        <v>149.72</v>
      </c>
    </row>
    <row r="875" spans="1:8" x14ac:dyDescent="0.3">
      <c r="A875" s="1">
        <v>45379</v>
      </c>
      <c r="B875" t="s">
        <v>28</v>
      </c>
      <c r="C875" s="12">
        <v>148.91999999999999</v>
      </c>
      <c r="F875" s="1">
        <v>45379</v>
      </c>
      <c r="G875" t="s">
        <v>79</v>
      </c>
      <c r="H875" s="12">
        <v>148.91999999999999</v>
      </c>
    </row>
    <row r="876" spans="1:8" x14ac:dyDescent="0.3">
      <c r="A876" s="1">
        <v>45414</v>
      </c>
      <c r="B876" t="s">
        <v>18</v>
      </c>
      <c r="C876" s="12">
        <v>148.68</v>
      </c>
      <c r="F876" s="1">
        <v>45414</v>
      </c>
      <c r="G876" t="s">
        <v>34</v>
      </c>
      <c r="H876" s="12">
        <v>148.68</v>
      </c>
    </row>
    <row r="877" spans="1:8" x14ac:dyDescent="0.3">
      <c r="A877" s="1">
        <v>45599</v>
      </c>
      <c r="B877" t="s">
        <v>24</v>
      </c>
      <c r="C877" s="12">
        <v>146.84</v>
      </c>
      <c r="F877" s="1">
        <v>45599</v>
      </c>
      <c r="G877" t="s">
        <v>25</v>
      </c>
      <c r="H877" s="12">
        <v>146.84</v>
      </c>
    </row>
    <row r="878" spans="1:8" x14ac:dyDescent="0.3">
      <c r="A878" s="1">
        <v>45457</v>
      </c>
      <c r="B878" t="s">
        <v>37</v>
      </c>
      <c r="C878" s="12">
        <v>146.35</v>
      </c>
      <c r="F878" s="1">
        <v>45457</v>
      </c>
      <c r="G878" t="s">
        <v>68</v>
      </c>
      <c r="H878" s="12">
        <v>146.35</v>
      </c>
    </row>
    <row r="879" spans="1:8" x14ac:dyDescent="0.3">
      <c r="A879" s="1">
        <v>45490</v>
      </c>
      <c r="B879" t="s">
        <v>28</v>
      </c>
      <c r="C879" s="12">
        <v>146.28</v>
      </c>
      <c r="F879" s="1">
        <v>45490</v>
      </c>
      <c r="G879" t="s">
        <v>51</v>
      </c>
      <c r="H879" s="12">
        <v>146.28</v>
      </c>
    </row>
    <row r="880" spans="1:8" x14ac:dyDescent="0.3">
      <c r="A880" s="1">
        <v>45670</v>
      </c>
      <c r="B880" t="s">
        <v>28</v>
      </c>
      <c r="C880" s="12">
        <v>145.57</v>
      </c>
      <c r="F880" s="1">
        <v>45670</v>
      </c>
      <c r="G880" t="s">
        <v>29</v>
      </c>
      <c r="H880" s="12">
        <v>145.57</v>
      </c>
    </row>
    <row r="881" spans="1:8" x14ac:dyDescent="0.3">
      <c r="A881" s="1">
        <v>45685</v>
      </c>
      <c r="B881" t="s">
        <v>24</v>
      </c>
      <c r="C881" s="12">
        <v>145.08000000000001</v>
      </c>
      <c r="F881" s="1">
        <v>45685</v>
      </c>
      <c r="G881" t="s">
        <v>65</v>
      </c>
      <c r="H881" s="12">
        <v>145.08000000000001</v>
      </c>
    </row>
    <row r="882" spans="1:8" x14ac:dyDescent="0.3">
      <c r="A882" s="1">
        <v>45490</v>
      </c>
      <c r="B882" t="s">
        <v>13</v>
      </c>
      <c r="C882" s="12">
        <v>144.4</v>
      </c>
      <c r="F882" s="1">
        <v>45490</v>
      </c>
      <c r="G882" t="s">
        <v>32</v>
      </c>
      <c r="H882" s="12">
        <v>144.4</v>
      </c>
    </row>
    <row r="883" spans="1:8" x14ac:dyDescent="0.3">
      <c r="A883" s="1">
        <v>45371</v>
      </c>
      <c r="B883" t="s">
        <v>18</v>
      </c>
      <c r="C883" s="12">
        <v>142.5</v>
      </c>
      <c r="F883" s="1">
        <v>45371</v>
      </c>
      <c r="G883" t="s">
        <v>22</v>
      </c>
      <c r="H883" s="12">
        <v>142.5</v>
      </c>
    </row>
    <row r="884" spans="1:8" x14ac:dyDescent="0.3">
      <c r="A884" s="1">
        <v>45572</v>
      </c>
      <c r="B884" t="s">
        <v>13</v>
      </c>
      <c r="C884" s="12">
        <v>142.29</v>
      </c>
      <c r="F884" s="1">
        <v>45572</v>
      </c>
      <c r="G884" t="s">
        <v>42</v>
      </c>
      <c r="H884" s="12">
        <v>142.29</v>
      </c>
    </row>
    <row r="885" spans="1:8" x14ac:dyDescent="0.3">
      <c r="A885" s="1">
        <v>45377</v>
      </c>
      <c r="B885" t="s">
        <v>18</v>
      </c>
      <c r="C885" s="12">
        <v>138.85</v>
      </c>
      <c r="F885" s="1">
        <v>45377</v>
      </c>
      <c r="G885" t="s">
        <v>19</v>
      </c>
      <c r="H885" s="12">
        <v>138.85</v>
      </c>
    </row>
    <row r="886" spans="1:8" x14ac:dyDescent="0.3">
      <c r="A886" s="1">
        <v>45413</v>
      </c>
      <c r="B886" t="s">
        <v>24</v>
      </c>
      <c r="C886" s="12">
        <v>138.72</v>
      </c>
      <c r="F886" s="1">
        <v>45413</v>
      </c>
      <c r="G886" t="s">
        <v>49</v>
      </c>
      <c r="H886" s="12">
        <v>138.72</v>
      </c>
    </row>
    <row r="887" spans="1:8" x14ac:dyDescent="0.3">
      <c r="A887" s="1">
        <v>45429</v>
      </c>
      <c r="B887" t="s">
        <v>24</v>
      </c>
      <c r="C887" s="12">
        <v>138.55000000000001</v>
      </c>
      <c r="F887" s="1">
        <v>45429</v>
      </c>
      <c r="G887" t="s">
        <v>63</v>
      </c>
      <c r="H887" s="12">
        <v>138.55000000000001</v>
      </c>
    </row>
    <row r="888" spans="1:8" x14ac:dyDescent="0.3">
      <c r="A888" s="1">
        <v>45444</v>
      </c>
      <c r="B888" t="s">
        <v>18</v>
      </c>
      <c r="C888" s="12">
        <v>137.88</v>
      </c>
      <c r="F888" s="1">
        <v>45444</v>
      </c>
      <c r="G888" t="s">
        <v>87</v>
      </c>
      <c r="H888" s="12">
        <v>137.88</v>
      </c>
    </row>
    <row r="889" spans="1:8" x14ac:dyDescent="0.3">
      <c r="A889" s="1">
        <v>45438</v>
      </c>
      <c r="B889" t="s">
        <v>37</v>
      </c>
      <c r="C889" s="12">
        <v>137.06</v>
      </c>
      <c r="F889" s="1">
        <v>45438</v>
      </c>
      <c r="G889" t="s">
        <v>40</v>
      </c>
      <c r="H889" s="12">
        <v>137.06</v>
      </c>
    </row>
    <row r="890" spans="1:8" x14ac:dyDescent="0.3">
      <c r="A890" s="1">
        <v>45647</v>
      </c>
      <c r="B890" t="s">
        <v>18</v>
      </c>
      <c r="C890" s="12">
        <v>137.02000000000001</v>
      </c>
      <c r="F890" s="1">
        <v>45647</v>
      </c>
      <c r="G890" t="s">
        <v>34</v>
      </c>
      <c r="H890" s="12">
        <v>137.02000000000001</v>
      </c>
    </row>
    <row r="891" spans="1:8" x14ac:dyDescent="0.3">
      <c r="A891" s="1">
        <v>45371</v>
      </c>
      <c r="B891" t="s">
        <v>28</v>
      </c>
      <c r="C891" s="12">
        <v>135.56</v>
      </c>
      <c r="F891" s="1">
        <v>45371</v>
      </c>
      <c r="G891" t="s">
        <v>77</v>
      </c>
      <c r="H891" s="12">
        <v>135.56</v>
      </c>
    </row>
    <row r="892" spans="1:8" x14ac:dyDescent="0.3">
      <c r="A892" s="1">
        <v>45529</v>
      </c>
      <c r="B892" t="s">
        <v>18</v>
      </c>
      <c r="C892" s="12">
        <v>134.35</v>
      </c>
      <c r="F892" s="1">
        <v>45529</v>
      </c>
      <c r="G892" t="s">
        <v>84</v>
      </c>
      <c r="H892" s="12">
        <v>134.35</v>
      </c>
    </row>
    <row r="893" spans="1:8" x14ac:dyDescent="0.3">
      <c r="A893" s="1">
        <v>45521</v>
      </c>
      <c r="B893" t="s">
        <v>28</v>
      </c>
      <c r="C893" s="12">
        <v>132.34</v>
      </c>
      <c r="F893" s="1">
        <v>45521</v>
      </c>
      <c r="G893" t="s">
        <v>77</v>
      </c>
      <c r="H893" s="12">
        <v>132.34</v>
      </c>
    </row>
    <row r="894" spans="1:8" x14ac:dyDescent="0.3">
      <c r="A894" s="1">
        <v>45605</v>
      </c>
      <c r="B894" t="s">
        <v>18</v>
      </c>
      <c r="C894" s="12">
        <v>130.26</v>
      </c>
      <c r="F894" s="1">
        <v>45605</v>
      </c>
      <c r="G894" t="s">
        <v>84</v>
      </c>
      <c r="H894" s="12">
        <v>130.26</v>
      </c>
    </row>
    <row r="895" spans="1:8" x14ac:dyDescent="0.3">
      <c r="A895" s="1">
        <v>45563</v>
      </c>
      <c r="B895" t="s">
        <v>24</v>
      </c>
      <c r="C895" s="12">
        <v>129.35</v>
      </c>
      <c r="F895" s="1">
        <v>45563</v>
      </c>
      <c r="G895" t="s">
        <v>65</v>
      </c>
      <c r="H895" s="12">
        <v>129.35</v>
      </c>
    </row>
    <row r="896" spans="1:8" x14ac:dyDescent="0.3">
      <c r="A896" s="1">
        <v>45603</v>
      </c>
      <c r="B896" t="s">
        <v>13</v>
      </c>
      <c r="C896" s="12">
        <v>127.75</v>
      </c>
      <c r="F896" s="1">
        <v>45603</v>
      </c>
      <c r="G896" t="s">
        <v>32</v>
      </c>
      <c r="H896" s="12">
        <v>127.75</v>
      </c>
    </row>
    <row r="897" spans="1:8" x14ac:dyDescent="0.3">
      <c r="A897" s="1">
        <v>45527</v>
      </c>
      <c r="B897" t="s">
        <v>13</v>
      </c>
      <c r="C897" s="12">
        <v>127.53</v>
      </c>
      <c r="F897" s="1">
        <v>45527</v>
      </c>
      <c r="G897" t="s">
        <v>47</v>
      </c>
      <c r="H897" s="12">
        <v>127.53</v>
      </c>
    </row>
    <row r="898" spans="1:8" x14ac:dyDescent="0.3">
      <c r="A898" s="1">
        <v>45693</v>
      </c>
      <c r="B898" t="s">
        <v>28</v>
      </c>
      <c r="C898" s="12">
        <v>127</v>
      </c>
      <c r="F898" s="1">
        <v>45693</v>
      </c>
      <c r="G898" t="s">
        <v>72</v>
      </c>
      <c r="H898" s="12">
        <v>127</v>
      </c>
    </row>
    <row r="899" spans="1:8" x14ac:dyDescent="0.3">
      <c r="A899" s="1">
        <v>45477</v>
      </c>
      <c r="B899" t="s">
        <v>28</v>
      </c>
      <c r="C899" s="12">
        <v>125.94</v>
      </c>
      <c r="F899" s="1">
        <v>45477</v>
      </c>
      <c r="G899" t="s">
        <v>72</v>
      </c>
      <c r="H899" s="12">
        <v>125.94</v>
      </c>
    </row>
    <row r="900" spans="1:8" x14ac:dyDescent="0.3">
      <c r="A900" s="1">
        <v>45500</v>
      </c>
      <c r="B900" t="s">
        <v>24</v>
      </c>
      <c r="C900" s="12">
        <v>124.08</v>
      </c>
      <c r="F900" s="1">
        <v>45500</v>
      </c>
      <c r="G900" t="s">
        <v>63</v>
      </c>
      <c r="H900" s="12">
        <v>124.08</v>
      </c>
    </row>
    <row r="901" spans="1:8" x14ac:dyDescent="0.3">
      <c r="A901" s="1">
        <v>45559</v>
      </c>
      <c r="B901" t="s">
        <v>37</v>
      </c>
      <c r="C901" s="12">
        <v>124.02</v>
      </c>
      <c r="F901" s="1">
        <v>45559</v>
      </c>
      <c r="G901" t="s">
        <v>58</v>
      </c>
      <c r="H901" s="12">
        <v>124.02</v>
      </c>
    </row>
    <row r="902" spans="1:8" x14ac:dyDescent="0.3">
      <c r="A902" s="1">
        <v>45670</v>
      </c>
      <c r="B902" t="s">
        <v>28</v>
      </c>
      <c r="C902" s="12">
        <v>124.01</v>
      </c>
      <c r="F902" s="1">
        <v>45670</v>
      </c>
      <c r="G902" t="s">
        <v>29</v>
      </c>
      <c r="H902" s="12">
        <v>124.01</v>
      </c>
    </row>
    <row r="903" spans="1:8" x14ac:dyDescent="0.3">
      <c r="A903" s="1">
        <v>45408</v>
      </c>
      <c r="B903" t="s">
        <v>28</v>
      </c>
      <c r="C903" s="12">
        <v>122.76</v>
      </c>
      <c r="F903" s="1">
        <v>45408</v>
      </c>
      <c r="G903" t="s">
        <v>77</v>
      </c>
      <c r="H903" s="12">
        <v>122.76</v>
      </c>
    </row>
    <row r="904" spans="1:8" x14ac:dyDescent="0.3">
      <c r="A904" s="1">
        <v>45463</v>
      </c>
      <c r="B904" t="s">
        <v>37</v>
      </c>
      <c r="C904" s="12">
        <v>121.32</v>
      </c>
      <c r="F904" s="1">
        <v>45463</v>
      </c>
      <c r="G904" t="s">
        <v>40</v>
      </c>
      <c r="H904" s="12">
        <v>121.32</v>
      </c>
    </row>
    <row r="905" spans="1:8" x14ac:dyDescent="0.3">
      <c r="A905" s="1">
        <v>45697</v>
      </c>
      <c r="B905" t="s">
        <v>18</v>
      </c>
      <c r="C905" s="12">
        <v>120.9</v>
      </c>
      <c r="F905" s="1">
        <v>45697</v>
      </c>
      <c r="G905" t="s">
        <v>22</v>
      </c>
      <c r="H905" s="12">
        <v>120.9</v>
      </c>
    </row>
    <row r="906" spans="1:8" x14ac:dyDescent="0.3">
      <c r="A906" s="1">
        <v>45550</v>
      </c>
      <c r="B906" t="s">
        <v>37</v>
      </c>
      <c r="C906" s="12">
        <v>120.66</v>
      </c>
      <c r="F906" s="1">
        <v>45550</v>
      </c>
      <c r="G906" t="s">
        <v>40</v>
      </c>
      <c r="H906" s="12">
        <v>120.66</v>
      </c>
    </row>
    <row r="907" spans="1:8" x14ac:dyDescent="0.3">
      <c r="A907" s="1">
        <v>45605</v>
      </c>
      <c r="B907" t="s">
        <v>18</v>
      </c>
      <c r="C907" s="12">
        <v>119.39</v>
      </c>
      <c r="F907" s="1">
        <v>45605</v>
      </c>
      <c r="G907" t="s">
        <v>34</v>
      </c>
      <c r="H907" s="12">
        <v>119.39</v>
      </c>
    </row>
    <row r="908" spans="1:8" x14ac:dyDescent="0.3">
      <c r="A908" s="1">
        <v>45485</v>
      </c>
      <c r="B908" t="s">
        <v>24</v>
      </c>
      <c r="C908" s="12">
        <v>119.02</v>
      </c>
      <c r="F908" s="1">
        <v>45485</v>
      </c>
      <c r="G908" t="s">
        <v>65</v>
      </c>
      <c r="H908" s="12">
        <v>119.02</v>
      </c>
    </row>
    <row r="909" spans="1:8" x14ac:dyDescent="0.3">
      <c r="A909" s="1">
        <v>45490</v>
      </c>
      <c r="B909" t="s">
        <v>18</v>
      </c>
      <c r="C909" s="12">
        <v>119.01</v>
      </c>
      <c r="F909" s="1">
        <v>45490</v>
      </c>
      <c r="G909" t="s">
        <v>34</v>
      </c>
      <c r="H909" s="12">
        <v>119.01</v>
      </c>
    </row>
    <row r="910" spans="1:8" x14ac:dyDescent="0.3">
      <c r="A910" s="1">
        <v>45463</v>
      </c>
      <c r="B910" t="s">
        <v>28</v>
      </c>
      <c r="C910" s="12">
        <v>118.31</v>
      </c>
      <c r="F910" s="1">
        <v>45463</v>
      </c>
      <c r="G910" t="s">
        <v>51</v>
      </c>
      <c r="H910" s="12">
        <v>118.31</v>
      </c>
    </row>
    <row r="911" spans="1:8" x14ac:dyDescent="0.3">
      <c r="A911" s="1">
        <v>45434</v>
      </c>
      <c r="B911" t="s">
        <v>24</v>
      </c>
      <c r="C911" s="12">
        <v>117.47</v>
      </c>
      <c r="F911" s="1">
        <v>45434</v>
      </c>
      <c r="G911" t="s">
        <v>44</v>
      </c>
      <c r="H911" s="12">
        <v>117.47</v>
      </c>
    </row>
    <row r="912" spans="1:8" x14ac:dyDescent="0.3">
      <c r="A912" s="1">
        <v>45643</v>
      </c>
      <c r="B912" t="s">
        <v>18</v>
      </c>
      <c r="C912" s="12">
        <v>117.37</v>
      </c>
      <c r="F912" s="1">
        <v>45643</v>
      </c>
      <c r="G912" t="s">
        <v>87</v>
      </c>
      <c r="H912" s="12">
        <v>117.37</v>
      </c>
    </row>
    <row r="913" spans="1:8" x14ac:dyDescent="0.3">
      <c r="A913" s="1">
        <v>45692</v>
      </c>
      <c r="B913" t="s">
        <v>18</v>
      </c>
      <c r="C913" s="12">
        <v>115</v>
      </c>
      <c r="F913" s="1">
        <v>45692</v>
      </c>
      <c r="G913" t="s">
        <v>22</v>
      </c>
      <c r="H913" s="12">
        <v>115</v>
      </c>
    </row>
    <row r="914" spans="1:8" x14ac:dyDescent="0.3">
      <c r="A914" s="1">
        <v>45523</v>
      </c>
      <c r="B914" t="s">
        <v>18</v>
      </c>
      <c r="C914" s="12">
        <v>114.3</v>
      </c>
      <c r="F914" s="1">
        <v>45523</v>
      </c>
      <c r="G914" t="s">
        <v>22</v>
      </c>
      <c r="H914" s="12">
        <v>114.3</v>
      </c>
    </row>
    <row r="915" spans="1:8" x14ac:dyDescent="0.3">
      <c r="A915" s="1">
        <v>45639</v>
      </c>
      <c r="B915" t="s">
        <v>13</v>
      </c>
      <c r="C915" s="12">
        <v>112.93</v>
      </c>
      <c r="F915" s="1">
        <v>45639</v>
      </c>
      <c r="G915" t="s">
        <v>111</v>
      </c>
      <c r="H915" s="12">
        <v>112.93</v>
      </c>
    </row>
    <row r="916" spans="1:8" x14ac:dyDescent="0.3">
      <c r="A916" s="1">
        <v>45540</v>
      </c>
      <c r="B916" t="s">
        <v>18</v>
      </c>
      <c r="C916" s="12">
        <v>111.56</v>
      </c>
      <c r="F916" s="1">
        <v>45540</v>
      </c>
      <c r="G916" t="s">
        <v>22</v>
      </c>
      <c r="H916" s="12">
        <v>111.56</v>
      </c>
    </row>
    <row r="917" spans="1:8" x14ac:dyDescent="0.3">
      <c r="A917" s="1">
        <v>45470</v>
      </c>
      <c r="B917" t="s">
        <v>37</v>
      </c>
      <c r="C917" s="12">
        <v>111.26</v>
      </c>
      <c r="F917" s="1">
        <v>45470</v>
      </c>
      <c r="G917" t="s">
        <v>38</v>
      </c>
      <c r="H917" s="12">
        <v>111.26</v>
      </c>
    </row>
    <row r="918" spans="1:8" x14ac:dyDescent="0.3">
      <c r="A918" s="1">
        <v>45641</v>
      </c>
      <c r="B918" t="s">
        <v>28</v>
      </c>
      <c r="C918" s="12">
        <v>110.75</v>
      </c>
      <c r="F918" s="1">
        <v>45641</v>
      </c>
      <c r="G918" t="s">
        <v>29</v>
      </c>
      <c r="H918" s="12">
        <v>110.75</v>
      </c>
    </row>
    <row r="919" spans="1:8" x14ac:dyDescent="0.3">
      <c r="A919" s="1">
        <v>45578</v>
      </c>
      <c r="B919" t="s">
        <v>24</v>
      </c>
      <c r="C919" s="12">
        <v>110.14</v>
      </c>
      <c r="F919" s="1">
        <v>45578</v>
      </c>
      <c r="G919" t="s">
        <v>25</v>
      </c>
      <c r="H919" s="12">
        <v>110.14</v>
      </c>
    </row>
    <row r="920" spans="1:8" x14ac:dyDescent="0.3">
      <c r="A920" s="1">
        <v>45532</v>
      </c>
      <c r="B920" t="s">
        <v>13</v>
      </c>
      <c r="C920" s="12">
        <v>108.6</v>
      </c>
      <c r="F920" s="1">
        <v>45532</v>
      </c>
      <c r="G920" t="s">
        <v>32</v>
      </c>
      <c r="H920" s="12">
        <v>108.6</v>
      </c>
    </row>
    <row r="921" spans="1:8" x14ac:dyDescent="0.3">
      <c r="A921" s="1">
        <v>45403</v>
      </c>
      <c r="B921" t="s">
        <v>24</v>
      </c>
      <c r="C921" s="12">
        <v>107.79</v>
      </c>
      <c r="F921" s="1">
        <v>45403</v>
      </c>
      <c r="G921" t="s">
        <v>25</v>
      </c>
      <c r="H921" s="12">
        <v>107.79</v>
      </c>
    </row>
    <row r="922" spans="1:8" x14ac:dyDescent="0.3">
      <c r="A922" s="1">
        <v>45545</v>
      </c>
      <c r="B922" t="s">
        <v>28</v>
      </c>
      <c r="C922" s="12">
        <v>107.09</v>
      </c>
      <c r="F922" s="1">
        <v>45545</v>
      </c>
      <c r="G922" t="s">
        <v>77</v>
      </c>
      <c r="H922" s="12">
        <v>107.09</v>
      </c>
    </row>
    <row r="923" spans="1:8" x14ac:dyDescent="0.3">
      <c r="A923" s="1">
        <v>45632</v>
      </c>
      <c r="B923" t="s">
        <v>24</v>
      </c>
      <c r="C923" s="12">
        <v>106.07</v>
      </c>
      <c r="F923" s="1">
        <v>45632</v>
      </c>
      <c r="G923" t="s">
        <v>49</v>
      </c>
      <c r="H923" s="12">
        <v>106.07</v>
      </c>
    </row>
    <row r="924" spans="1:8" x14ac:dyDescent="0.3">
      <c r="A924" s="1">
        <v>45377</v>
      </c>
      <c r="B924" t="s">
        <v>13</v>
      </c>
      <c r="C924" s="12">
        <v>104.8</v>
      </c>
      <c r="F924" s="1">
        <v>45377</v>
      </c>
      <c r="G924" t="s">
        <v>47</v>
      </c>
      <c r="H924" s="12">
        <v>104.8</v>
      </c>
    </row>
    <row r="925" spans="1:8" x14ac:dyDescent="0.3">
      <c r="A925" s="1">
        <v>45703</v>
      </c>
      <c r="B925" t="s">
        <v>24</v>
      </c>
      <c r="C925" s="12">
        <v>102.30000000000001</v>
      </c>
      <c r="F925" s="1">
        <v>45703</v>
      </c>
      <c r="G925" t="s">
        <v>25</v>
      </c>
      <c r="H925" s="12">
        <v>102.30000000000001</v>
      </c>
    </row>
    <row r="926" spans="1:8" x14ac:dyDescent="0.3">
      <c r="A926" s="1">
        <v>45560</v>
      </c>
      <c r="B926" t="s">
        <v>18</v>
      </c>
      <c r="C926" s="12">
        <v>101.9</v>
      </c>
      <c r="F926" s="1">
        <v>45560</v>
      </c>
      <c r="G926" t="s">
        <v>87</v>
      </c>
      <c r="H926" s="12">
        <v>101.9</v>
      </c>
    </row>
    <row r="927" spans="1:8" x14ac:dyDescent="0.3">
      <c r="A927" s="1">
        <v>45559</v>
      </c>
      <c r="B927" t="s">
        <v>18</v>
      </c>
      <c r="C927" s="12">
        <v>101.82</v>
      </c>
      <c r="F927" s="1">
        <v>45559</v>
      </c>
      <c r="G927" t="s">
        <v>84</v>
      </c>
      <c r="H927" s="12">
        <v>101.82</v>
      </c>
    </row>
    <row r="928" spans="1:8" x14ac:dyDescent="0.3">
      <c r="A928" s="1">
        <v>45633</v>
      </c>
      <c r="B928" t="s">
        <v>13</v>
      </c>
      <c r="C928" s="12">
        <v>101.04</v>
      </c>
      <c r="F928" s="1">
        <v>45633</v>
      </c>
      <c r="G928" t="s">
        <v>47</v>
      </c>
      <c r="H928" s="12">
        <v>101.04</v>
      </c>
    </row>
    <row r="929" spans="1:8" x14ac:dyDescent="0.3">
      <c r="A929" s="1">
        <v>45519</v>
      </c>
      <c r="B929" t="s">
        <v>18</v>
      </c>
      <c r="C929" s="12">
        <v>100.18</v>
      </c>
      <c r="F929" s="1">
        <v>45519</v>
      </c>
      <c r="G929" t="s">
        <v>84</v>
      </c>
      <c r="H929" s="12">
        <v>100.18</v>
      </c>
    </row>
    <row r="930" spans="1:8" x14ac:dyDescent="0.3">
      <c r="A930" s="1">
        <v>45718</v>
      </c>
      <c r="B930" t="s">
        <v>37</v>
      </c>
      <c r="C930" s="12">
        <v>99.84</v>
      </c>
      <c r="F930" s="1">
        <v>45718</v>
      </c>
      <c r="G930" t="s">
        <v>68</v>
      </c>
      <c r="H930" s="12">
        <v>99.84</v>
      </c>
    </row>
    <row r="931" spans="1:8" x14ac:dyDescent="0.3">
      <c r="A931" s="1">
        <v>45717</v>
      </c>
      <c r="B931" t="s">
        <v>28</v>
      </c>
      <c r="C931" s="12">
        <v>98.87</v>
      </c>
      <c r="F931" s="1">
        <v>45717</v>
      </c>
      <c r="G931" t="s">
        <v>79</v>
      </c>
      <c r="H931" s="12">
        <v>98.87</v>
      </c>
    </row>
    <row r="932" spans="1:8" x14ac:dyDescent="0.3">
      <c r="A932" s="1">
        <v>45498</v>
      </c>
      <c r="B932" t="s">
        <v>28</v>
      </c>
      <c r="C932" s="12">
        <v>96.75</v>
      </c>
      <c r="F932" s="1">
        <v>45498</v>
      </c>
      <c r="G932" t="s">
        <v>51</v>
      </c>
      <c r="H932" s="12">
        <v>96.75</v>
      </c>
    </row>
    <row r="933" spans="1:8" x14ac:dyDescent="0.3">
      <c r="A933" s="1">
        <v>45723</v>
      </c>
      <c r="B933" t="s">
        <v>13</v>
      </c>
      <c r="C933" s="12">
        <v>94.6</v>
      </c>
      <c r="F933" s="1">
        <v>45723</v>
      </c>
      <c r="G933" t="s">
        <v>32</v>
      </c>
      <c r="H933" s="12">
        <v>94.6</v>
      </c>
    </row>
    <row r="934" spans="1:8" x14ac:dyDescent="0.3">
      <c r="A934" s="1">
        <v>45484</v>
      </c>
      <c r="B934" t="s">
        <v>18</v>
      </c>
      <c r="C934" s="12">
        <v>92.5</v>
      </c>
      <c r="F934" s="1">
        <v>45484</v>
      </c>
      <c r="G934" t="s">
        <v>22</v>
      </c>
      <c r="H934" s="12">
        <v>92.5</v>
      </c>
    </row>
    <row r="935" spans="1:8" x14ac:dyDescent="0.3">
      <c r="A935" s="1">
        <v>45448</v>
      </c>
      <c r="B935" t="s">
        <v>28</v>
      </c>
      <c r="C935" s="12">
        <v>92.24</v>
      </c>
      <c r="F935" s="1">
        <v>45448</v>
      </c>
      <c r="G935" t="s">
        <v>29</v>
      </c>
      <c r="H935" s="12">
        <v>92.24</v>
      </c>
    </row>
    <row r="936" spans="1:8" x14ac:dyDescent="0.3">
      <c r="A936" s="1">
        <v>45601</v>
      </c>
      <c r="B936" t="s">
        <v>37</v>
      </c>
      <c r="C936" s="12">
        <v>92.22</v>
      </c>
      <c r="F936" s="1">
        <v>45601</v>
      </c>
      <c r="G936" t="s">
        <v>95</v>
      </c>
      <c r="H936" s="12">
        <v>92.22</v>
      </c>
    </row>
    <row r="937" spans="1:8" x14ac:dyDescent="0.3">
      <c r="A937" s="1">
        <v>45642</v>
      </c>
      <c r="B937" t="s">
        <v>28</v>
      </c>
      <c r="C937" s="12">
        <v>91.83</v>
      </c>
      <c r="F937" s="1">
        <v>45642</v>
      </c>
      <c r="G937" t="s">
        <v>72</v>
      </c>
      <c r="H937" s="12">
        <v>91.83</v>
      </c>
    </row>
    <row r="938" spans="1:8" x14ac:dyDescent="0.3">
      <c r="A938" s="1">
        <v>45440</v>
      </c>
      <c r="B938" t="s">
        <v>13</v>
      </c>
      <c r="C938" s="12">
        <v>91.78</v>
      </c>
      <c r="F938" s="1">
        <v>45440</v>
      </c>
      <c r="G938" t="s">
        <v>14</v>
      </c>
      <c r="H938" s="12">
        <v>91.78</v>
      </c>
    </row>
    <row r="939" spans="1:8" x14ac:dyDescent="0.3">
      <c r="A939" s="1">
        <v>45441</v>
      </c>
      <c r="B939" t="s">
        <v>24</v>
      </c>
      <c r="C939" s="12">
        <v>89.6</v>
      </c>
      <c r="F939" s="1">
        <v>45441</v>
      </c>
      <c r="G939" t="s">
        <v>65</v>
      </c>
      <c r="H939" s="12">
        <v>89.6</v>
      </c>
    </row>
    <row r="940" spans="1:8" x14ac:dyDescent="0.3">
      <c r="A940" s="1">
        <v>45484</v>
      </c>
      <c r="B940" t="s">
        <v>13</v>
      </c>
      <c r="C940" s="12">
        <v>89.38</v>
      </c>
      <c r="F940" s="1">
        <v>45484</v>
      </c>
      <c r="G940" t="s">
        <v>14</v>
      </c>
      <c r="H940" s="12">
        <v>89.38</v>
      </c>
    </row>
    <row r="941" spans="1:8" x14ac:dyDescent="0.3">
      <c r="A941" s="1">
        <v>45586</v>
      </c>
      <c r="B941" t="s">
        <v>28</v>
      </c>
      <c r="C941" s="12">
        <v>89.04</v>
      </c>
      <c r="F941" s="1">
        <v>45586</v>
      </c>
      <c r="G941" t="s">
        <v>29</v>
      </c>
      <c r="H941" s="12">
        <v>89.04</v>
      </c>
    </row>
    <row r="942" spans="1:8" x14ac:dyDescent="0.3">
      <c r="A942" s="1">
        <v>45702</v>
      </c>
      <c r="B942" t="s">
        <v>18</v>
      </c>
      <c r="C942" s="12">
        <v>88.76</v>
      </c>
      <c r="F942" s="1">
        <v>45702</v>
      </c>
      <c r="G942" t="s">
        <v>19</v>
      </c>
      <c r="H942" s="12">
        <v>88.76</v>
      </c>
    </row>
    <row r="943" spans="1:8" x14ac:dyDescent="0.3">
      <c r="A943" s="1">
        <v>45377</v>
      </c>
      <c r="B943" t="s">
        <v>37</v>
      </c>
      <c r="C943" s="12">
        <v>88.56</v>
      </c>
      <c r="F943" s="1">
        <v>45377</v>
      </c>
      <c r="G943" t="s">
        <v>40</v>
      </c>
      <c r="H943" s="12">
        <v>88.56</v>
      </c>
    </row>
    <row r="944" spans="1:8" x14ac:dyDescent="0.3">
      <c r="A944" s="1">
        <v>45717</v>
      </c>
      <c r="B944" t="s">
        <v>28</v>
      </c>
      <c r="C944" s="12">
        <v>87.9</v>
      </c>
      <c r="F944" s="1">
        <v>45717</v>
      </c>
      <c r="G944" t="s">
        <v>72</v>
      </c>
      <c r="H944" s="12">
        <v>87.9</v>
      </c>
    </row>
    <row r="945" spans="1:8" x14ac:dyDescent="0.3">
      <c r="A945" s="1">
        <v>45425</v>
      </c>
      <c r="B945" t="s">
        <v>28</v>
      </c>
      <c r="C945" s="12">
        <v>86.4</v>
      </c>
      <c r="F945" s="1">
        <v>45425</v>
      </c>
      <c r="G945" t="s">
        <v>77</v>
      </c>
      <c r="H945" s="12">
        <v>86.4</v>
      </c>
    </row>
    <row r="946" spans="1:8" x14ac:dyDescent="0.3">
      <c r="A946" s="1">
        <v>45606</v>
      </c>
      <c r="B946" t="s">
        <v>18</v>
      </c>
      <c r="C946" s="12">
        <v>86.25</v>
      </c>
      <c r="F946" s="1">
        <v>45606</v>
      </c>
      <c r="G946" t="s">
        <v>34</v>
      </c>
      <c r="H946" s="12">
        <v>86.25</v>
      </c>
    </row>
    <row r="947" spans="1:8" x14ac:dyDescent="0.3">
      <c r="A947" s="1">
        <v>45674</v>
      </c>
      <c r="B947" t="s">
        <v>13</v>
      </c>
      <c r="C947" s="12">
        <v>86.06</v>
      </c>
      <c r="F947" s="1">
        <v>45674</v>
      </c>
      <c r="G947" t="s">
        <v>47</v>
      </c>
      <c r="H947" s="12">
        <v>86.06</v>
      </c>
    </row>
    <row r="948" spans="1:8" x14ac:dyDescent="0.3">
      <c r="A948" s="1">
        <v>45587</v>
      </c>
      <c r="B948" t="s">
        <v>24</v>
      </c>
      <c r="C948" s="12">
        <v>84.68</v>
      </c>
      <c r="F948" s="1">
        <v>45587</v>
      </c>
      <c r="G948" t="s">
        <v>44</v>
      </c>
      <c r="H948" s="12">
        <v>84.68</v>
      </c>
    </row>
    <row r="949" spans="1:8" x14ac:dyDescent="0.3">
      <c r="A949" s="1">
        <v>45415</v>
      </c>
      <c r="B949" t="s">
        <v>37</v>
      </c>
      <c r="C949" s="12">
        <v>83.5</v>
      </c>
      <c r="F949" s="1">
        <v>45415</v>
      </c>
      <c r="G949" t="s">
        <v>58</v>
      </c>
      <c r="H949" s="12">
        <v>83.5</v>
      </c>
    </row>
    <row r="950" spans="1:8" x14ac:dyDescent="0.3">
      <c r="A950" s="1">
        <v>45424</v>
      </c>
      <c r="B950" t="s">
        <v>13</v>
      </c>
      <c r="C950" s="12">
        <v>81.209999999999994</v>
      </c>
      <c r="F950" s="1">
        <v>45424</v>
      </c>
      <c r="G950" t="s">
        <v>32</v>
      </c>
      <c r="H950" s="12">
        <v>81.209999999999994</v>
      </c>
    </row>
    <row r="951" spans="1:8" x14ac:dyDescent="0.3">
      <c r="A951" s="1">
        <v>45423</v>
      </c>
      <c r="B951" t="s">
        <v>28</v>
      </c>
      <c r="C951" s="12">
        <v>80.650000000000006</v>
      </c>
      <c r="F951" s="1">
        <v>45423</v>
      </c>
      <c r="G951" t="s">
        <v>51</v>
      </c>
      <c r="H951" s="12">
        <v>80.650000000000006</v>
      </c>
    </row>
    <row r="952" spans="1:8" x14ac:dyDescent="0.3">
      <c r="A952" s="1">
        <v>45667</v>
      </c>
      <c r="B952" t="s">
        <v>24</v>
      </c>
      <c r="C952" s="12">
        <v>79.8</v>
      </c>
      <c r="F952" s="1">
        <v>45667</v>
      </c>
      <c r="G952" t="s">
        <v>65</v>
      </c>
      <c r="H952" s="12">
        <v>79.8</v>
      </c>
    </row>
    <row r="953" spans="1:8" x14ac:dyDescent="0.3">
      <c r="A953" s="1">
        <v>45674</v>
      </c>
      <c r="B953" t="s">
        <v>24</v>
      </c>
      <c r="C953" s="12">
        <v>78.2</v>
      </c>
      <c r="F953" s="1">
        <v>45674</v>
      </c>
      <c r="G953" t="s">
        <v>49</v>
      </c>
      <c r="H953" s="12">
        <v>78.2</v>
      </c>
    </row>
    <row r="954" spans="1:8" x14ac:dyDescent="0.3">
      <c r="A954" s="1">
        <v>45727</v>
      </c>
      <c r="B954" t="s">
        <v>37</v>
      </c>
      <c r="C954" s="12">
        <v>77.42</v>
      </c>
      <c r="F954" s="1">
        <v>45727</v>
      </c>
      <c r="G954" t="s">
        <v>40</v>
      </c>
      <c r="H954" s="12">
        <v>77.42</v>
      </c>
    </row>
    <row r="955" spans="1:8" x14ac:dyDescent="0.3">
      <c r="A955" s="1">
        <v>45487</v>
      </c>
      <c r="B955" t="s">
        <v>28</v>
      </c>
      <c r="C955" s="12">
        <v>77.37</v>
      </c>
      <c r="F955" s="1">
        <v>45487</v>
      </c>
      <c r="G955" t="s">
        <v>77</v>
      </c>
      <c r="H955" s="12">
        <v>77.37</v>
      </c>
    </row>
    <row r="956" spans="1:8" x14ac:dyDescent="0.3">
      <c r="A956" s="1">
        <v>45393</v>
      </c>
      <c r="B956" t="s">
        <v>13</v>
      </c>
      <c r="C956" s="12">
        <v>77.12</v>
      </c>
      <c r="F956" s="1">
        <v>45393</v>
      </c>
      <c r="G956" t="s">
        <v>47</v>
      </c>
      <c r="H956" s="12">
        <v>77.12</v>
      </c>
    </row>
    <row r="957" spans="1:8" x14ac:dyDescent="0.3">
      <c r="A957" s="1">
        <v>45429</v>
      </c>
      <c r="B957" t="s">
        <v>18</v>
      </c>
      <c r="C957" s="12">
        <v>75.709999999999994</v>
      </c>
      <c r="F957" s="1">
        <v>45429</v>
      </c>
      <c r="G957" t="s">
        <v>22</v>
      </c>
      <c r="H957" s="12">
        <v>75.709999999999994</v>
      </c>
    </row>
    <row r="958" spans="1:8" x14ac:dyDescent="0.3">
      <c r="A958" s="1">
        <v>45434</v>
      </c>
      <c r="B958" t="s">
        <v>24</v>
      </c>
      <c r="C958" s="12">
        <v>72.739999999999995</v>
      </c>
      <c r="F958" s="1">
        <v>45434</v>
      </c>
      <c r="G958" t="s">
        <v>65</v>
      </c>
      <c r="H958" s="12">
        <v>72.739999999999995</v>
      </c>
    </row>
    <row r="959" spans="1:8" x14ac:dyDescent="0.3">
      <c r="A959" s="1">
        <v>45508</v>
      </c>
      <c r="B959" t="s">
        <v>37</v>
      </c>
      <c r="C959" s="12">
        <v>72.72</v>
      </c>
      <c r="F959" s="1">
        <v>45508</v>
      </c>
      <c r="G959" t="s">
        <v>58</v>
      </c>
      <c r="H959" s="12">
        <v>72.72</v>
      </c>
    </row>
    <row r="960" spans="1:8" x14ac:dyDescent="0.3">
      <c r="A960" s="1">
        <v>45629</v>
      </c>
      <c r="B960" t="s">
        <v>28</v>
      </c>
      <c r="C960" s="12">
        <v>71.83</v>
      </c>
      <c r="F960" s="1">
        <v>45629</v>
      </c>
      <c r="G960" t="s">
        <v>77</v>
      </c>
      <c r="H960" s="12">
        <v>71.83</v>
      </c>
    </row>
    <row r="961" spans="1:8" x14ac:dyDescent="0.3">
      <c r="A961" s="1">
        <v>45545</v>
      </c>
      <c r="B961" t="s">
        <v>37</v>
      </c>
      <c r="C961" s="12">
        <v>70.930000000000007</v>
      </c>
      <c r="F961" s="1">
        <v>45545</v>
      </c>
      <c r="G961" t="s">
        <v>68</v>
      </c>
      <c r="H961" s="12">
        <v>70.930000000000007</v>
      </c>
    </row>
    <row r="962" spans="1:8" x14ac:dyDescent="0.3">
      <c r="A962" s="1">
        <v>45456</v>
      </c>
      <c r="B962" t="s">
        <v>13</v>
      </c>
      <c r="C962" s="12">
        <v>70.349999999999994</v>
      </c>
      <c r="F962" s="1">
        <v>45456</v>
      </c>
      <c r="G962" t="s">
        <v>111</v>
      </c>
      <c r="H962" s="12">
        <v>70.349999999999994</v>
      </c>
    </row>
    <row r="963" spans="1:8" x14ac:dyDescent="0.3">
      <c r="A963" s="1">
        <v>45671</v>
      </c>
      <c r="B963" t="s">
        <v>24</v>
      </c>
      <c r="C963" s="12">
        <v>69.760000000000005</v>
      </c>
      <c r="F963" s="1">
        <v>45671</v>
      </c>
      <c r="G963" t="s">
        <v>63</v>
      </c>
      <c r="H963" s="12">
        <v>69.760000000000005</v>
      </c>
    </row>
    <row r="964" spans="1:8" x14ac:dyDescent="0.3">
      <c r="A964" s="1">
        <v>45730</v>
      </c>
      <c r="B964" t="s">
        <v>18</v>
      </c>
      <c r="C964" s="12">
        <v>69.22</v>
      </c>
      <c r="F964" s="1">
        <v>45730</v>
      </c>
      <c r="G964" t="s">
        <v>84</v>
      </c>
      <c r="H964" s="12">
        <v>69.22</v>
      </c>
    </row>
    <row r="965" spans="1:8" x14ac:dyDescent="0.3">
      <c r="A965" s="1">
        <v>45442</v>
      </c>
      <c r="B965" t="s">
        <v>24</v>
      </c>
      <c r="C965" s="12">
        <v>67.7</v>
      </c>
      <c r="F965" s="1">
        <v>45442</v>
      </c>
      <c r="G965" t="s">
        <v>65</v>
      </c>
      <c r="H965" s="12">
        <v>67.7</v>
      </c>
    </row>
    <row r="966" spans="1:8" x14ac:dyDescent="0.3">
      <c r="A966" s="1">
        <v>45673</v>
      </c>
      <c r="B966" t="s">
        <v>28</v>
      </c>
      <c r="C966" s="12">
        <v>66.239999999999995</v>
      </c>
      <c r="F966" s="1">
        <v>45673</v>
      </c>
      <c r="G966" t="s">
        <v>29</v>
      </c>
      <c r="H966" s="12">
        <v>66.239999999999995</v>
      </c>
    </row>
    <row r="967" spans="1:8" x14ac:dyDescent="0.3">
      <c r="A967" s="1">
        <v>45700</v>
      </c>
      <c r="B967" t="s">
        <v>24</v>
      </c>
      <c r="C967" s="12">
        <v>65.69</v>
      </c>
      <c r="F967" s="1">
        <v>45700</v>
      </c>
      <c r="G967" t="s">
        <v>65</v>
      </c>
      <c r="H967" s="12">
        <v>65.69</v>
      </c>
    </row>
    <row r="968" spans="1:8" x14ac:dyDescent="0.3">
      <c r="A968" s="1">
        <v>45496</v>
      </c>
      <c r="B968" t="s">
        <v>37</v>
      </c>
      <c r="C968" s="12">
        <v>65.02</v>
      </c>
      <c r="F968" s="1">
        <v>45496</v>
      </c>
      <c r="G968" t="s">
        <v>38</v>
      </c>
      <c r="H968" s="12">
        <v>65.02</v>
      </c>
    </row>
    <row r="969" spans="1:8" x14ac:dyDescent="0.3">
      <c r="A969" s="1">
        <v>45482</v>
      </c>
      <c r="B969" t="s">
        <v>18</v>
      </c>
      <c r="C969" s="12">
        <v>64.400000000000006</v>
      </c>
      <c r="F969" s="1">
        <v>45482</v>
      </c>
      <c r="G969" t="s">
        <v>19</v>
      </c>
      <c r="H969" s="12">
        <v>64.400000000000006</v>
      </c>
    </row>
    <row r="970" spans="1:8" x14ac:dyDescent="0.3">
      <c r="A970" s="1">
        <v>45668</v>
      </c>
      <c r="B970" t="s">
        <v>13</v>
      </c>
      <c r="C970" s="12">
        <v>63.56</v>
      </c>
      <c r="F970" s="1">
        <v>45668</v>
      </c>
      <c r="G970" t="s">
        <v>42</v>
      </c>
      <c r="H970" s="12">
        <v>63.56</v>
      </c>
    </row>
    <row r="971" spans="1:8" x14ac:dyDescent="0.3">
      <c r="A971" s="1">
        <v>45662</v>
      </c>
      <c r="B971" t="s">
        <v>18</v>
      </c>
      <c r="C971" s="12">
        <v>63.44</v>
      </c>
      <c r="F971" s="1">
        <v>45662</v>
      </c>
      <c r="G971" t="s">
        <v>22</v>
      </c>
      <c r="H971" s="12">
        <v>63.44</v>
      </c>
    </row>
    <row r="972" spans="1:8" x14ac:dyDescent="0.3">
      <c r="A972" s="1">
        <v>45403</v>
      </c>
      <c r="B972" t="s">
        <v>18</v>
      </c>
      <c r="C972" s="12">
        <v>63.02</v>
      </c>
      <c r="F972" s="1">
        <v>45403</v>
      </c>
      <c r="G972" t="s">
        <v>84</v>
      </c>
      <c r="H972" s="12">
        <v>63.02</v>
      </c>
    </row>
    <row r="973" spans="1:8" x14ac:dyDescent="0.3">
      <c r="A973" s="1">
        <v>45479</v>
      </c>
      <c r="B973" t="s">
        <v>13</v>
      </c>
      <c r="C973" s="12">
        <v>62.300000000000004</v>
      </c>
      <c r="F973" s="1">
        <v>45479</v>
      </c>
      <c r="G973" t="s">
        <v>14</v>
      </c>
      <c r="H973" s="12">
        <v>62.300000000000004</v>
      </c>
    </row>
    <row r="974" spans="1:8" x14ac:dyDescent="0.3">
      <c r="A974" s="1">
        <v>45401</v>
      </c>
      <c r="B974" t="s">
        <v>18</v>
      </c>
      <c r="C974" s="12">
        <v>60.16</v>
      </c>
      <c r="F974" s="1">
        <v>45401</v>
      </c>
      <c r="G974" t="s">
        <v>22</v>
      </c>
      <c r="H974" s="12">
        <v>60.16</v>
      </c>
    </row>
    <row r="975" spans="1:8" x14ac:dyDescent="0.3">
      <c r="A975" s="1">
        <v>45386</v>
      </c>
      <c r="B975" t="s">
        <v>37</v>
      </c>
      <c r="C975" s="12">
        <v>59.88</v>
      </c>
      <c r="F975" s="1">
        <v>45386</v>
      </c>
      <c r="G975" t="s">
        <v>58</v>
      </c>
      <c r="H975" s="12">
        <v>59.88</v>
      </c>
    </row>
    <row r="976" spans="1:8" x14ac:dyDescent="0.3">
      <c r="A976" s="1">
        <v>45571</v>
      </c>
      <c r="B976" t="s">
        <v>28</v>
      </c>
      <c r="C976" s="12">
        <v>58.650000000000006</v>
      </c>
      <c r="F976" s="1">
        <v>45571</v>
      </c>
      <c r="G976" t="s">
        <v>77</v>
      </c>
      <c r="H976" s="12">
        <v>58.650000000000006</v>
      </c>
    </row>
    <row r="977" spans="1:8" x14ac:dyDescent="0.3">
      <c r="A977" s="1">
        <v>45542</v>
      </c>
      <c r="B977" t="s">
        <v>24</v>
      </c>
      <c r="C977" s="12">
        <v>57.88</v>
      </c>
      <c r="F977" s="1">
        <v>45542</v>
      </c>
      <c r="G977" t="s">
        <v>44</v>
      </c>
      <c r="H977" s="12">
        <v>57.88</v>
      </c>
    </row>
    <row r="978" spans="1:8" x14ac:dyDescent="0.3">
      <c r="A978" s="1">
        <v>45636</v>
      </c>
      <c r="B978" t="s">
        <v>24</v>
      </c>
      <c r="C978" s="12">
        <v>55.6</v>
      </c>
      <c r="F978" s="1">
        <v>45636</v>
      </c>
      <c r="G978" t="s">
        <v>63</v>
      </c>
      <c r="H978" s="12">
        <v>55.6</v>
      </c>
    </row>
    <row r="979" spans="1:8" x14ac:dyDescent="0.3">
      <c r="A979" s="1">
        <v>45673</v>
      </c>
      <c r="B979" t="s">
        <v>37</v>
      </c>
      <c r="C979" s="12">
        <v>55.6</v>
      </c>
      <c r="F979" s="1">
        <v>45673</v>
      </c>
      <c r="G979" t="s">
        <v>58</v>
      </c>
      <c r="H979" s="12">
        <v>55.6</v>
      </c>
    </row>
    <row r="980" spans="1:8" x14ac:dyDescent="0.3">
      <c r="A980" s="1">
        <v>45469</v>
      </c>
      <c r="B980" t="s">
        <v>24</v>
      </c>
      <c r="C980" s="12">
        <v>55.18</v>
      </c>
      <c r="F980" s="1">
        <v>45469</v>
      </c>
      <c r="G980" t="s">
        <v>65</v>
      </c>
      <c r="H980" s="12">
        <v>55.18</v>
      </c>
    </row>
    <row r="981" spans="1:8" x14ac:dyDescent="0.3">
      <c r="A981" s="1">
        <v>45696</v>
      </c>
      <c r="B981" t="s">
        <v>28</v>
      </c>
      <c r="C981" s="12">
        <v>54.94</v>
      </c>
      <c r="F981" s="1">
        <v>45696</v>
      </c>
      <c r="G981" t="s">
        <v>29</v>
      </c>
      <c r="H981" s="12">
        <v>54.94</v>
      </c>
    </row>
    <row r="982" spans="1:8" x14ac:dyDescent="0.3">
      <c r="A982" s="1">
        <v>45501</v>
      </c>
      <c r="B982" t="s">
        <v>28</v>
      </c>
      <c r="C982" s="12">
        <v>54.19</v>
      </c>
      <c r="F982" s="1">
        <v>45501</v>
      </c>
      <c r="G982" t="s">
        <v>29</v>
      </c>
      <c r="H982" s="12">
        <v>54.19</v>
      </c>
    </row>
    <row r="983" spans="1:8" x14ac:dyDescent="0.3">
      <c r="A983" s="1">
        <v>45691</v>
      </c>
      <c r="B983" t="s">
        <v>28</v>
      </c>
      <c r="C983" s="12">
        <v>53.849999999999994</v>
      </c>
      <c r="F983" s="1">
        <v>45691</v>
      </c>
      <c r="G983" t="s">
        <v>77</v>
      </c>
      <c r="H983" s="12">
        <v>53.849999999999994</v>
      </c>
    </row>
    <row r="984" spans="1:8" x14ac:dyDescent="0.3">
      <c r="A984" s="1">
        <v>45695</v>
      </c>
      <c r="B984" t="s">
        <v>24</v>
      </c>
      <c r="C984" s="12">
        <v>53.18</v>
      </c>
      <c r="F984" s="1">
        <v>45695</v>
      </c>
      <c r="G984" t="s">
        <v>44</v>
      </c>
      <c r="H984" s="12">
        <v>53.18</v>
      </c>
    </row>
    <row r="985" spans="1:8" x14ac:dyDescent="0.3">
      <c r="A985" s="1">
        <v>45418</v>
      </c>
      <c r="B985" t="s">
        <v>18</v>
      </c>
      <c r="C985" s="12">
        <v>52.5</v>
      </c>
      <c r="F985" s="1">
        <v>45418</v>
      </c>
      <c r="G985" t="s">
        <v>34</v>
      </c>
      <c r="H985" s="12">
        <v>52.5</v>
      </c>
    </row>
    <row r="986" spans="1:8" x14ac:dyDescent="0.3">
      <c r="A986" s="1">
        <v>45522</v>
      </c>
      <c r="B986" t="s">
        <v>37</v>
      </c>
      <c r="C986" s="12">
        <v>52.33</v>
      </c>
      <c r="F986" s="1">
        <v>45522</v>
      </c>
      <c r="G986" t="s">
        <v>95</v>
      </c>
      <c r="H986" s="12">
        <v>52.33</v>
      </c>
    </row>
    <row r="987" spans="1:8" x14ac:dyDescent="0.3">
      <c r="A987" s="1">
        <v>45519</v>
      </c>
      <c r="B987" t="s">
        <v>13</v>
      </c>
      <c r="C987" s="12">
        <v>51.1</v>
      </c>
      <c r="F987" s="1">
        <v>45519</v>
      </c>
      <c r="G987" t="s">
        <v>111</v>
      </c>
      <c r="H987" s="12">
        <v>51.1</v>
      </c>
    </row>
    <row r="988" spans="1:8" x14ac:dyDescent="0.3">
      <c r="A988" s="1">
        <v>45498</v>
      </c>
      <c r="B988" t="s">
        <v>37</v>
      </c>
      <c r="C988" s="12">
        <v>46.96</v>
      </c>
      <c r="F988" s="1">
        <v>45498</v>
      </c>
      <c r="G988" t="s">
        <v>38</v>
      </c>
      <c r="H988" s="12">
        <v>46.96</v>
      </c>
    </row>
    <row r="989" spans="1:8" x14ac:dyDescent="0.3">
      <c r="A989" s="1">
        <v>45389</v>
      </c>
      <c r="B989" t="s">
        <v>37</v>
      </c>
      <c r="C989" s="12">
        <v>40.200000000000003</v>
      </c>
      <c r="F989" s="1">
        <v>45389</v>
      </c>
      <c r="G989" t="s">
        <v>58</v>
      </c>
      <c r="H989" s="12">
        <v>40.200000000000003</v>
      </c>
    </row>
    <row r="990" spans="1:8" x14ac:dyDescent="0.3">
      <c r="A990" s="1">
        <v>45586</v>
      </c>
      <c r="B990" t="s">
        <v>37</v>
      </c>
      <c r="C990" s="12">
        <v>39.44</v>
      </c>
      <c r="F990" s="1">
        <v>45586</v>
      </c>
      <c r="G990" t="s">
        <v>95</v>
      </c>
      <c r="H990" s="12">
        <v>39.44</v>
      </c>
    </row>
    <row r="991" spans="1:8" x14ac:dyDescent="0.3">
      <c r="A991" s="1">
        <v>45620</v>
      </c>
      <c r="B991" t="s">
        <v>37</v>
      </c>
      <c r="C991" s="12">
        <v>38.700000000000003</v>
      </c>
      <c r="F991" s="1">
        <v>45620</v>
      </c>
      <c r="G991" t="s">
        <v>38</v>
      </c>
      <c r="H991" s="12">
        <v>38.700000000000003</v>
      </c>
    </row>
    <row r="992" spans="1:8" x14ac:dyDescent="0.3">
      <c r="A992" s="1">
        <v>45405</v>
      </c>
      <c r="B992" t="s">
        <v>24</v>
      </c>
      <c r="C992" s="12">
        <v>38.67</v>
      </c>
      <c r="F992" s="1">
        <v>45405</v>
      </c>
      <c r="G992" t="s">
        <v>49</v>
      </c>
      <c r="H992" s="12">
        <v>38.67</v>
      </c>
    </row>
    <row r="993" spans="1:8" x14ac:dyDescent="0.3">
      <c r="A993" s="1">
        <v>45391</v>
      </c>
      <c r="B993" t="s">
        <v>37</v>
      </c>
      <c r="C993" s="12">
        <v>38.380000000000003</v>
      </c>
      <c r="F993" s="1">
        <v>45391</v>
      </c>
      <c r="G993" t="s">
        <v>40</v>
      </c>
      <c r="H993" s="12">
        <v>38.380000000000003</v>
      </c>
    </row>
    <row r="994" spans="1:8" x14ac:dyDescent="0.3">
      <c r="A994" s="1">
        <v>45433</v>
      </c>
      <c r="B994" t="s">
        <v>24</v>
      </c>
      <c r="C994" s="12">
        <v>36.56</v>
      </c>
      <c r="F994" s="1">
        <v>45433</v>
      </c>
      <c r="G994" t="s">
        <v>44</v>
      </c>
      <c r="H994" s="12">
        <v>36.56</v>
      </c>
    </row>
    <row r="995" spans="1:8" x14ac:dyDescent="0.3">
      <c r="A995" s="1">
        <v>45612</v>
      </c>
      <c r="B995" t="s">
        <v>13</v>
      </c>
      <c r="C995" s="12">
        <v>36.520000000000003</v>
      </c>
      <c r="F995" s="1">
        <v>45612</v>
      </c>
      <c r="G995" t="s">
        <v>32</v>
      </c>
      <c r="H995" s="12">
        <v>36.520000000000003</v>
      </c>
    </row>
    <row r="996" spans="1:8" x14ac:dyDescent="0.3">
      <c r="A996" s="1">
        <v>45474</v>
      </c>
      <c r="B996" t="s">
        <v>13</v>
      </c>
      <c r="C996" s="12">
        <v>35.520000000000003</v>
      </c>
      <c r="F996" s="1">
        <v>45474</v>
      </c>
      <c r="G996" t="s">
        <v>42</v>
      </c>
      <c r="H996" s="12">
        <v>35.520000000000003</v>
      </c>
    </row>
    <row r="997" spans="1:8" x14ac:dyDescent="0.3">
      <c r="A997" s="1">
        <v>45733</v>
      </c>
      <c r="B997" t="s">
        <v>24</v>
      </c>
      <c r="C997" s="12">
        <v>34.64</v>
      </c>
      <c r="F997" s="1">
        <v>45733</v>
      </c>
      <c r="G997" t="s">
        <v>25</v>
      </c>
      <c r="H997" s="12">
        <v>34.64</v>
      </c>
    </row>
    <row r="998" spans="1:8" x14ac:dyDescent="0.3">
      <c r="A998" s="1">
        <v>45673</v>
      </c>
      <c r="B998" t="s">
        <v>28</v>
      </c>
      <c r="C998" s="12">
        <v>27.65</v>
      </c>
      <c r="F998" s="1">
        <v>45673</v>
      </c>
      <c r="G998" t="s">
        <v>51</v>
      </c>
      <c r="H998" s="12">
        <v>27.65</v>
      </c>
    </row>
    <row r="999" spans="1:8" x14ac:dyDescent="0.3">
      <c r="A999" s="1">
        <v>45473</v>
      </c>
      <c r="B999" t="s">
        <v>18</v>
      </c>
      <c r="C999" s="12">
        <v>24</v>
      </c>
      <c r="F999" s="1">
        <v>45473</v>
      </c>
      <c r="G999" t="s">
        <v>87</v>
      </c>
      <c r="H999" s="12">
        <v>24</v>
      </c>
    </row>
    <row r="1000" spans="1:8" x14ac:dyDescent="0.3">
      <c r="A1000" s="1">
        <v>45401</v>
      </c>
      <c r="B1000" t="s">
        <v>37</v>
      </c>
      <c r="C1000" s="12">
        <v>22.21</v>
      </c>
      <c r="F1000" s="1">
        <v>45401</v>
      </c>
      <c r="G1000" t="s">
        <v>68</v>
      </c>
      <c r="H1000" s="12">
        <v>22.21</v>
      </c>
    </row>
    <row r="1001" spans="1:8" x14ac:dyDescent="0.3">
      <c r="A1001" s="1">
        <v>45682</v>
      </c>
      <c r="B1001" t="s">
        <v>13</v>
      </c>
      <c r="C1001" s="12">
        <v>21.44</v>
      </c>
      <c r="F1001" s="1">
        <v>45682</v>
      </c>
      <c r="G1001" t="s">
        <v>111</v>
      </c>
      <c r="H1001" s="12">
        <v>21.44</v>
      </c>
    </row>
    <row r="1002" spans="1:8" x14ac:dyDescent="0.3">
      <c r="A1002" s="1">
        <v>45639</v>
      </c>
      <c r="B1002" t="s">
        <v>13</v>
      </c>
      <c r="C1002" s="12">
        <v>20.84</v>
      </c>
      <c r="F1002" s="1">
        <v>45639</v>
      </c>
      <c r="G1002" t="s">
        <v>42</v>
      </c>
      <c r="H1002" s="12">
        <v>20.84</v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43A5-2BF6-45F4-AFCA-84D8F9AD1F6F}">
  <dimension ref="A1:Y1001"/>
  <sheetViews>
    <sheetView topLeftCell="H1" workbookViewId="0">
      <selection activeCell="Z2" sqref="Z2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0" bestFit="1" customWidth="1"/>
    <col min="4" max="4" width="10.5546875" bestFit="1" customWidth="1"/>
    <col min="5" max="5" width="15.88671875" bestFit="1" customWidth="1"/>
    <col min="6" max="6" width="13.109375" bestFit="1" customWidth="1"/>
    <col min="7" max="7" width="7.88671875" bestFit="1" customWidth="1"/>
    <col min="8" max="8" width="7" bestFit="1" customWidth="1"/>
    <col min="9" max="9" width="15.6640625" bestFit="1" customWidth="1"/>
    <col min="10" max="10" width="21" bestFit="1" customWidth="1"/>
    <col min="11" max="11" width="11.77734375" bestFit="1" customWidth="1"/>
    <col min="12" max="12" width="6.6640625" bestFit="1" customWidth="1"/>
    <col min="13" max="13" width="3.88671875" bestFit="1" customWidth="1"/>
    <col min="14" max="14" width="9.44140625" style="18" bestFit="1" customWidth="1"/>
    <col min="15" max="15" width="12.44140625" bestFit="1" customWidth="1"/>
    <col min="16" max="16" width="14" bestFit="1" customWidth="1"/>
    <col min="18" max="18" width="12.44140625" bestFit="1" customWidth="1"/>
    <col min="19" max="19" width="18.6640625" bestFit="1" customWidth="1"/>
    <col min="21" max="21" width="12.44140625" bestFit="1" customWidth="1"/>
    <col min="22" max="22" width="18.6640625" bestFit="1" customWidth="1"/>
    <col min="24" max="24" width="21" bestFit="1" customWidth="1"/>
    <col min="25" max="25" width="18.6640625" bestFit="1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7" t="s">
        <v>1105</v>
      </c>
      <c r="O1" s="2" t="s">
        <v>1078</v>
      </c>
      <c r="P1" s="2" t="s">
        <v>1079</v>
      </c>
    </row>
    <row r="2" spans="1:25" x14ac:dyDescent="0.3">
      <c r="A2">
        <v>79898</v>
      </c>
      <c r="B2" s="1">
        <v>45370</v>
      </c>
      <c r="C2">
        <v>871</v>
      </c>
      <c r="D2">
        <v>10</v>
      </c>
      <c r="E2" t="s">
        <v>13</v>
      </c>
      <c r="F2" t="s">
        <v>14</v>
      </c>
      <c r="G2">
        <v>5</v>
      </c>
      <c r="H2">
        <v>84.89</v>
      </c>
      <c r="I2" t="s">
        <v>15</v>
      </c>
      <c r="J2" t="s">
        <v>54</v>
      </c>
      <c r="K2">
        <v>5</v>
      </c>
      <c r="L2" t="s">
        <v>21</v>
      </c>
      <c r="M2">
        <v>68</v>
      </c>
      <c r="N2" s="18" t="str">
        <f>IF(M2&lt;=30,"18-30",IF(M2&lt;=45,"31-45",IF(M2&lt;=60,"46-60","60+")))</f>
        <v>60+</v>
      </c>
      <c r="O2" s="12">
        <f>H2*G2</f>
        <v>424.45</v>
      </c>
      <c r="P2" s="12">
        <f>O2*0.3</f>
        <v>127.33499999999999</v>
      </c>
      <c r="R2" s="26" t="s">
        <v>1110</v>
      </c>
      <c r="S2" s="26"/>
      <c r="U2" s="26" t="s">
        <v>1111</v>
      </c>
      <c r="V2" s="26"/>
      <c r="X2" s="26" t="s">
        <v>1112</v>
      </c>
      <c r="Y2" s="26"/>
    </row>
    <row r="3" spans="1:25" x14ac:dyDescent="0.3">
      <c r="A3">
        <v>94899</v>
      </c>
      <c r="B3" s="1">
        <v>45370</v>
      </c>
      <c r="C3">
        <v>853</v>
      </c>
      <c r="D3">
        <v>30</v>
      </c>
      <c r="E3" t="s">
        <v>37</v>
      </c>
      <c r="F3" t="s">
        <v>68</v>
      </c>
      <c r="G3">
        <v>5</v>
      </c>
      <c r="H3">
        <v>309.64</v>
      </c>
      <c r="I3" t="s">
        <v>35</v>
      </c>
      <c r="J3" t="s">
        <v>935</v>
      </c>
      <c r="K3">
        <v>4</v>
      </c>
      <c r="L3" t="s">
        <v>17</v>
      </c>
      <c r="M3">
        <v>47</v>
      </c>
      <c r="N3" s="18" t="str">
        <f t="shared" ref="N3:N66" si="0">IF(M3&lt;=30,"18-30",IF(M3&lt;=45,"31-45",IF(M3&lt;=60,"46-60","60+")))</f>
        <v>46-60</v>
      </c>
      <c r="O3" s="12">
        <f t="shared" ref="O3:O66" si="1">H3*G3</f>
        <v>1548.1999999999998</v>
      </c>
      <c r="P3" s="12">
        <f t="shared" ref="P3:P66" si="2">O3*0.3</f>
        <v>464.45999999999992</v>
      </c>
      <c r="R3" s="13" t="s">
        <v>1085</v>
      </c>
      <c r="S3" t="s">
        <v>1087</v>
      </c>
      <c r="U3" s="13" t="s">
        <v>1085</v>
      </c>
      <c r="V3" t="s">
        <v>1087</v>
      </c>
      <c r="X3" s="13" t="s">
        <v>1085</v>
      </c>
      <c r="Y3" t="s">
        <v>1087</v>
      </c>
    </row>
    <row r="4" spans="1:25" x14ac:dyDescent="0.3">
      <c r="A4">
        <v>44470</v>
      </c>
      <c r="B4" s="1">
        <v>45371</v>
      </c>
      <c r="C4">
        <v>188</v>
      </c>
      <c r="D4">
        <v>50</v>
      </c>
      <c r="E4" t="s">
        <v>18</v>
      </c>
      <c r="F4" t="s">
        <v>22</v>
      </c>
      <c r="G4">
        <v>5</v>
      </c>
      <c r="H4">
        <v>28.5</v>
      </c>
      <c r="I4" t="s">
        <v>26</v>
      </c>
      <c r="J4" t="s">
        <v>296</v>
      </c>
      <c r="K4">
        <v>5</v>
      </c>
      <c r="L4" t="s">
        <v>17</v>
      </c>
      <c r="M4">
        <v>61</v>
      </c>
      <c r="N4" s="18" t="str">
        <f t="shared" si="0"/>
        <v>60+</v>
      </c>
      <c r="O4" s="12">
        <f t="shared" si="1"/>
        <v>142.5</v>
      </c>
      <c r="P4" s="12">
        <f t="shared" si="2"/>
        <v>42.75</v>
      </c>
      <c r="R4" s="14" t="s">
        <v>1106</v>
      </c>
      <c r="S4" s="19">
        <v>166080.75999999998</v>
      </c>
      <c r="U4" s="14" t="s">
        <v>17</v>
      </c>
      <c r="V4" s="19">
        <v>331753.65000000002</v>
      </c>
      <c r="X4" s="14" t="s">
        <v>983</v>
      </c>
      <c r="Y4" s="19">
        <v>249.51</v>
      </c>
    </row>
    <row r="5" spans="1:25" x14ac:dyDescent="0.3">
      <c r="A5">
        <v>14447</v>
      </c>
      <c r="B5" s="1">
        <v>45371</v>
      </c>
      <c r="C5">
        <v>761</v>
      </c>
      <c r="D5">
        <v>40</v>
      </c>
      <c r="E5" t="s">
        <v>24</v>
      </c>
      <c r="F5" t="s">
        <v>49</v>
      </c>
      <c r="G5">
        <v>2</v>
      </c>
      <c r="H5">
        <v>109.97</v>
      </c>
      <c r="I5" t="s">
        <v>35</v>
      </c>
      <c r="J5" t="s">
        <v>354</v>
      </c>
      <c r="L5" t="s">
        <v>17</v>
      </c>
      <c r="M5">
        <v>69</v>
      </c>
      <c r="N5" s="18" t="str">
        <f t="shared" si="0"/>
        <v>60+</v>
      </c>
      <c r="O5" s="12">
        <f t="shared" si="1"/>
        <v>219.94</v>
      </c>
      <c r="P5" s="12">
        <f t="shared" si="2"/>
        <v>65.981999999999999</v>
      </c>
      <c r="R5" s="14" t="s">
        <v>1107</v>
      </c>
      <c r="S5" s="19">
        <v>178091.71000000002</v>
      </c>
      <c r="U5" s="14" t="s">
        <v>21</v>
      </c>
      <c r="V5" s="19">
        <v>333894.18999999994</v>
      </c>
      <c r="X5" s="14" t="s">
        <v>302</v>
      </c>
      <c r="Y5" s="19">
        <v>1641.12</v>
      </c>
    </row>
    <row r="6" spans="1:25" x14ac:dyDescent="0.3">
      <c r="A6">
        <v>91781</v>
      </c>
      <c r="B6" s="1">
        <v>45371</v>
      </c>
      <c r="C6">
        <v>497</v>
      </c>
      <c r="D6">
        <v>10</v>
      </c>
      <c r="E6" t="s">
        <v>13</v>
      </c>
      <c r="F6" t="s">
        <v>42</v>
      </c>
      <c r="G6">
        <v>3</v>
      </c>
      <c r="H6">
        <v>481.95</v>
      </c>
      <c r="I6" t="s">
        <v>35</v>
      </c>
      <c r="J6" t="s">
        <v>702</v>
      </c>
      <c r="K6">
        <v>3</v>
      </c>
      <c r="L6" t="s">
        <v>17</v>
      </c>
      <c r="M6">
        <v>42</v>
      </c>
      <c r="N6" s="18" t="str">
        <f t="shared" si="0"/>
        <v>31-45</v>
      </c>
      <c r="O6" s="12">
        <f t="shared" si="1"/>
        <v>1445.85</v>
      </c>
      <c r="P6" s="12">
        <f t="shared" si="2"/>
        <v>433.75499999999994</v>
      </c>
      <c r="R6" s="14" t="s">
        <v>1108</v>
      </c>
      <c r="S6" s="19">
        <v>199282.68999999997</v>
      </c>
      <c r="U6" s="14" t="s">
        <v>1086</v>
      </c>
      <c r="V6">
        <v>665647.84</v>
      </c>
      <c r="X6" s="14" t="s">
        <v>523</v>
      </c>
      <c r="Y6" s="19">
        <v>877.5</v>
      </c>
    </row>
    <row r="7" spans="1:25" x14ac:dyDescent="0.3">
      <c r="A7">
        <v>52849</v>
      </c>
      <c r="B7" s="1">
        <v>45371</v>
      </c>
      <c r="C7">
        <v>829</v>
      </c>
      <c r="D7">
        <v>20</v>
      </c>
      <c r="E7" t="s">
        <v>28</v>
      </c>
      <c r="F7" t="s">
        <v>79</v>
      </c>
      <c r="G7">
        <v>3</v>
      </c>
      <c r="H7">
        <v>99.38</v>
      </c>
      <c r="I7" t="s">
        <v>26</v>
      </c>
      <c r="J7" t="s">
        <v>849</v>
      </c>
      <c r="L7" t="s">
        <v>17</v>
      </c>
      <c r="M7">
        <v>19</v>
      </c>
      <c r="N7" s="18" t="str">
        <f t="shared" si="0"/>
        <v>18-30</v>
      </c>
      <c r="O7" s="12">
        <f t="shared" si="1"/>
        <v>298.14</v>
      </c>
      <c r="P7" s="12">
        <f t="shared" si="2"/>
        <v>89.441999999999993</v>
      </c>
      <c r="R7" s="14" t="s">
        <v>1109</v>
      </c>
      <c r="S7" s="19">
        <v>193871.7200000002</v>
      </c>
      <c r="X7" s="14" t="s">
        <v>822</v>
      </c>
      <c r="Y7" s="19">
        <v>664.9</v>
      </c>
    </row>
    <row r="8" spans="1:25" x14ac:dyDescent="0.3">
      <c r="A8">
        <v>98156</v>
      </c>
      <c r="B8" s="1">
        <v>45371</v>
      </c>
      <c r="C8">
        <v>759</v>
      </c>
      <c r="D8">
        <v>40</v>
      </c>
      <c r="E8" t="s">
        <v>24</v>
      </c>
      <c r="F8" t="s">
        <v>25</v>
      </c>
      <c r="G8">
        <v>3</v>
      </c>
      <c r="H8">
        <v>371.43</v>
      </c>
      <c r="I8" t="s">
        <v>15</v>
      </c>
      <c r="J8" t="s">
        <v>857</v>
      </c>
      <c r="L8" t="s">
        <v>17</v>
      </c>
      <c r="M8">
        <v>48</v>
      </c>
      <c r="N8" s="18" t="str">
        <f t="shared" si="0"/>
        <v>46-60</v>
      </c>
      <c r="O8" s="12">
        <f t="shared" si="1"/>
        <v>1114.29</v>
      </c>
      <c r="P8" s="12">
        <f t="shared" si="2"/>
        <v>334.28699999999998</v>
      </c>
      <c r="R8" s="14" t="s">
        <v>1086</v>
      </c>
      <c r="S8">
        <v>737326.88000000012</v>
      </c>
      <c r="X8" s="14" t="s">
        <v>485</v>
      </c>
      <c r="Y8" s="19">
        <v>247.64</v>
      </c>
    </row>
    <row r="9" spans="1:25" x14ac:dyDescent="0.3">
      <c r="A9">
        <v>65571</v>
      </c>
      <c r="B9" s="1">
        <v>45371</v>
      </c>
      <c r="C9">
        <v>646</v>
      </c>
      <c r="D9">
        <v>20</v>
      </c>
      <c r="E9" t="s">
        <v>28</v>
      </c>
      <c r="F9" t="s">
        <v>77</v>
      </c>
      <c r="G9">
        <v>1</v>
      </c>
      <c r="H9">
        <v>135.56</v>
      </c>
      <c r="I9" t="s">
        <v>26</v>
      </c>
      <c r="J9" t="s">
        <v>336</v>
      </c>
      <c r="L9" t="s">
        <v>21</v>
      </c>
      <c r="M9">
        <v>20</v>
      </c>
      <c r="N9" s="18" t="str">
        <f t="shared" si="0"/>
        <v>18-30</v>
      </c>
      <c r="O9" s="12">
        <f t="shared" si="1"/>
        <v>135.56</v>
      </c>
      <c r="P9" s="12">
        <f t="shared" si="2"/>
        <v>40.667999999999999</v>
      </c>
      <c r="X9" s="14" t="s">
        <v>36</v>
      </c>
      <c r="Y9" s="19">
        <v>585.79999999999995</v>
      </c>
    </row>
    <row r="10" spans="1:25" x14ac:dyDescent="0.3">
      <c r="A10">
        <v>96568</v>
      </c>
      <c r="B10" s="1">
        <v>45372</v>
      </c>
      <c r="C10">
        <v>842</v>
      </c>
      <c r="D10">
        <v>20</v>
      </c>
      <c r="E10" t="s">
        <v>28</v>
      </c>
      <c r="F10" t="s">
        <v>72</v>
      </c>
      <c r="G10">
        <v>1</v>
      </c>
      <c r="H10">
        <v>284.33</v>
      </c>
      <c r="I10" t="s">
        <v>26</v>
      </c>
      <c r="J10" t="s">
        <v>493</v>
      </c>
      <c r="K10">
        <v>1</v>
      </c>
      <c r="L10" t="s">
        <v>21</v>
      </c>
      <c r="M10">
        <v>62</v>
      </c>
      <c r="N10" s="18" t="str">
        <f t="shared" si="0"/>
        <v>60+</v>
      </c>
      <c r="O10" s="12">
        <f t="shared" si="1"/>
        <v>284.33</v>
      </c>
      <c r="P10" s="12">
        <f t="shared" si="2"/>
        <v>85.298999999999992</v>
      </c>
      <c r="X10" s="14" t="s">
        <v>46</v>
      </c>
      <c r="Y10" s="19">
        <v>611.15</v>
      </c>
    </row>
    <row r="11" spans="1:25" x14ac:dyDescent="0.3">
      <c r="A11">
        <v>91997</v>
      </c>
      <c r="B11" s="1">
        <v>45372</v>
      </c>
      <c r="C11">
        <v>118</v>
      </c>
      <c r="D11">
        <v>30</v>
      </c>
      <c r="E11" t="s">
        <v>37</v>
      </c>
      <c r="F11" t="s">
        <v>68</v>
      </c>
      <c r="G11">
        <v>4</v>
      </c>
      <c r="H11">
        <v>445.11</v>
      </c>
      <c r="I11" t="s">
        <v>15</v>
      </c>
      <c r="J11" t="s">
        <v>670</v>
      </c>
      <c r="K11">
        <v>3</v>
      </c>
      <c r="M11">
        <v>47</v>
      </c>
      <c r="N11" s="18" t="str">
        <f t="shared" si="0"/>
        <v>46-60</v>
      </c>
      <c r="O11" s="12">
        <f t="shared" si="1"/>
        <v>1780.44</v>
      </c>
      <c r="P11" s="12">
        <f t="shared" si="2"/>
        <v>534.13199999999995</v>
      </c>
      <c r="X11" s="14" t="s">
        <v>721</v>
      </c>
      <c r="Y11" s="19">
        <v>72.72</v>
      </c>
    </row>
    <row r="12" spans="1:25" x14ac:dyDescent="0.3">
      <c r="A12">
        <v>20636</v>
      </c>
      <c r="B12" s="1">
        <v>45373</v>
      </c>
      <c r="C12">
        <v>707</v>
      </c>
      <c r="D12">
        <v>10</v>
      </c>
      <c r="E12" t="s">
        <v>13</v>
      </c>
      <c r="F12" t="s">
        <v>47</v>
      </c>
      <c r="G12">
        <v>2</v>
      </c>
      <c r="H12">
        <v>257.81</v>
      </c>
      <c r="I12" t="s">
        <v>26</v>
      </c>
      <c r="J12" t="s">
        <v>446</v>
      </c>
      <c r="L12" t="s">
        <v>17</v>
      </c>
      <c r="M12">
        <v>31</v>
      </c>
      <c r="N12" s="18" t="str">
        <f t="shared" si="0"/>
        <v>31-45</v>
      </c>
      <c r="O12" s="12">
        <f t="shared" si="1"/>
        <v>515.62</v>
      </c>
      <c r="P12" s="12">
        <f t="shared" si="2"/>
        <v>154.68600000000001</v>
      </c>
      <c r="X12" s="14" t="s">
        <v>957</v>
      </c>
      <c r="Y12" s="19">
        <v>846.44</v>
      </c>
    </row>
    <row r="13" spans="1:25" x14ac:dyDescent="0.3">
      <c r="A13">
        <v>72701</v>
      </c>
      <c r="B13" s="1">
        <v>45373</v>
      </c>
      <c r="C13">
        <v>828</v>
      </c>
      <c r="D13">
        <v>50</v>
      </c>
      <c r="E13" t="s">
        <v>18</v>
      </c>
      <c r="F13" t="s">
        <v>22</v>
      </c>
      <c r="G13">
        <v>5</v>
      </c>
      <c r="H13">
        <v>395.78</v>
      </c>
      <c r="I13" t="s">
        <v>15</v>
      </c>
      <c r="J13" t="s">
        <v>955</v>
      </c>
      <c r="K13">
        <v>5</v>
      </c>
      <c r="L13" t="s">
        <v>17</v>
      </c>
      <c r="M13">
        <v>56</v>
      </c>
      <c r="N13" s="18" t="str">
        <f t="shared" si="0"/>
        <v>46-60</v>
      </c>
      <c r="O13" s="12">
        <f t="shared" si="1"/>
        <v>1978.8999999999999</v>
      </c>
      <c r="P13" s="12">
        <f t="shared" si="2"/>
        <v>593.66999999999996</v>
      </c>
      <c r="X13" s="14" t="s">
        <v>315</v>
      </c>
      <c r="Y13" s="19">
        <v>1431.51</v>
      </c>
    </row>
    <row r="14" spans="1:25" x14ac:dyDescent="0.3">
      <c r="A14">
        <v>77729</v>
      </c>
      <c r="B14" s="1">
        <v>45374</v>
      </c>
      <c r="C14">
        <v>744</v>
      </c>
      <c r="D14">
        <v>50</v>
      </c>
      <c r="E14" t="s">
        <v>18</v>
      </c>
      <c r="F14" t="s">
        <v>87</v>
      </c>
      <c r="G14">
        <v>3</v>
      </c>
      <c r="H14">
        <v>243.37</v>
      </c>
      <c r="I14" t="s">
        <v>15</v>
      </c>
      <c r="J14" t="s">
        <v>621</v>
      </c>
      <c r="K14">
        <v>3</v>
      </c>
      <c r="L14" t="s">
        <v>17</v>
      </c>
      <c r="M14">
        <v>64</v>
      </c>
      <c r="N14" s="18" t="str">
        <f t="shared" si="0"/>
        <v>60+</v>
      </c>
      <c r="O14" s="12">
        <f t="shared" si="1"/>
        <v>730.11</v>
      </c>
      <c r="P14" s="12">
        <f t="shared" si="2"/>
        <v>219.03299999999999</v>
      </c>
      <c r="X14" s="14" t="s">
        <v>255</v>
      </c>
      <c r="Y14" s="19">
        <v>243.04</v>
      </c>
    </row>
    <row r="15" spans="1:25" x14ac:dyDescent="0.3">
      <c r="A15">
        <v>85934</v>
      </c>
      <c r="B15" s="1">
        <v>45374</v>
      </c>
      <c r="C15">
        <v>141</v>
      </c>
      <c r="D15">
        <v>10</v>
      </c>
      <c r="E15" t="s">
        <v>13</v>
      </c>
      <c r="F15" t="s">
        <v>14</v>
      </c>
      <c r="G15">
        <v>2</v>
      </c>
      <c r="H15">
        <v>200.17</v>
      </c>
      <c r="I15" t="s">
        <v>26</v>
      </c>
      <c r="J15" t="s">
        <v>625</v>
      </c>
      <c r="K15">
        <v>4</v>
      </c>
      <c r="L15" t="s">
        <v>17</v>
      </c>
      <c r="M15">
        <v>60</v>
      </c>
      <c r="N15" s="18" t="str">
        <f t="shared" si="0"/>
        <v>46-60</v>
      </c>
      <c r="O15" s="12">
        <f t="shared" si="1"/>
        <v>400.34</v>
      </c>
      <c r="P15" s="12">
        <f t="shared" si="2"/>
        <v>120.10199999999999</v>
      </c>
      <c r="X15" s="14" t="s">
        <v>260</v>
      </c>
      <c r="Y15" s="19">
        <v>1437.5</v>
      </c>
    </row>
    <row r="16" spans="1:25" x14ac:dyDescent="0.3">
      <c r="A16">
        <v>49993</v>
      </c>
      <c r="B16" s="1">
        <v>45374</v>
      </c>
      <c r="C16">
        <v>880</v>
      </c>
      <c r="D16">
        <v>10</v>
      </c>
      <c r="E16" t="s">
        <v>13</v>
      </c>
      <c r="F16" t="s">
        <v>14</v>
      </c>
      <c r="G16">
        <v>1</v>
      </c>
      <c r="H16">
        <v>162.38</v>
      </c>
      <c r="I16" t="s">
        <v>15</v>
      </c>
      <c r="J16" t="s">
        <v>979</v>
      </c>
      <c r="K16">
        <v>5</v>
      </c>
      <c r="L16" t="s">
        <v>17</v>
      </c>
      <c r="M16">
        <v>73</v>
      </c>
      <c r="N16" s="18" t="str">
        <f t="shared" si="0"/>
        <v>60+</v>
      </c>
      <c r="O16" s="12">
        <f t="shared" si="1"/>
        <v>162.38</v>
      </c>
      <c r="P16" s="12">
        <f t="shared" si="2"/>
        <v>48.713999999999999</v>
      </c>
      <c r="X16" s="14" t="s">
        <v>489</v>
      </c>
      <c r="Y16" s="19">
        <v>488.49</v>
      </c>
    </row>
    <row r="17" spans="1:25" x14ac:dyDescent="0.3">
      <c r="A17">
        <v>86746</v>
      </c>
      <c r="B17" s="1">
        <v>45375</v>
      </c>
      <c r="C17">
        <v>768</v>
      </c>
      <c r="D17">
        <v>30</v>
      </c>
      <c r="E17" t="s">
        <v>37</v>
      </c>
      <c r="F17" t="s">
        <v>38</v>
      </c>
      <c r="G17">
        <v>3</v>
      </c>
      <c r="H17">
        <v>298.27</v>
      </c>
      <c r="I17" t="s">
        <v>15</v>
      </c>
      <c r="J17" t="s">
        <v>70</v>
      </c>
      <c r="K17">
        <v>4</v>
      </c>
      <c r="L17" t="s">
        <v>21</v>
      </c>
      <c r="M17">
        <v>62</v>
      </c>
      <c r="N17" s="18" t="str">
        <f t="shared" si="0"/>
        <v>60+</v>
      </c>
      <c r="O17" s="12">
        <f t="shared" si="1"/>
        <v>894.81</v>
      </c>
      <c r="P17" s="12">
        <f t="shared" si="2"/>
        <v>268.44299999999998</v>
      </c>
      <c r="X17" s="14" t="s">
        <v>155</v>
      </c>
      <c r="Y17" s="19">
        <v>1188.95</v>
      </c>
    </row>
    <row r="18" spans="1:25" x14ac:dyDescent="0.3">
      <c r="A18">
        <v>80803</v>
      </c>
      <c r="B18" s="1">
        <v>45375</v>
      </c>
      <c r="C18">
        <v>882</v>
      </c>
      <c r="D18">
        <v>30</v>
      </c>
      <c r="E18" t="s">
        <v>37</v>
      </c>
      <c r="F18" t="s">
        <v>38</v>
      </c>
      <c r="G18">
        <v>1</v>
      </c>
      <c r="H18">
        <v>293</v>
      </c>
      <c r="I18" t="s">
        <v>26</v>
      </c>
      <c r="J18" t="s">
        <v>981</v>
      </c>
      <c r="K18">
        <v>5</v>
      </c>
      <c r="L18" t="s">
        <v>21</v>
      </c>
      <c r="M18">
        <v>26</v>
      </c>
      <c r="N18" s="18" t="str">
        <f t="shared" si="0"/>
        <v>18-30</v>
      </c>
      <c r="O18" s="12">
        <f t="shared" si="1"/>
        <v>293</v>
      </c>
      <c r="P18" s="12">
        <f t="shared" si="2"/>
        <v>87.899999999999991</v>
      </c>
      <c r="X18" s="14" t="s">
        <v>207</v>
      </c>
      <c r="Y18" s="19">
        <v>1710.6</v>
      </c>
    </row>
    <row r="19" spans="1:25" x14ac:dyDescent="0.3">
      <c r="A19">
        <v>21588</v>
      </c>
      <c r="B19" s="1">
        <v>45376</v>
      </c>
      <c r="C19">
        <v>112</v>
      </c>
      <c r="D19">
        <v>40</v>
      </c>
      <c r="E19" t="s">
        <v>24</v>
      </c>
      <c r="F19" t="s">
        <v>44</v>
      </c>
      <c r="G19">
        <v>2</v>
      </c>
      <c r="H19">
        <v>298.63</v>
      </c>
      <c r="I19" t="s">
        <v>35</v>
      </c>
      <c r="J19" t="s">
        <v>782</v>
      </c>
      <c r="K19">
        <v>5</v>
      </c>
      <c r="L19" t="s">
        <v>17</v>
      </c>
      <c r="M19">
        <v>33</v>
      </c>
      <c r="N19" s="18" t="str">
        <f t="shared" si="0"/>
        <v>31-45</v>
      </c>
      <c r="O19" s="12">
        <f t="shared" si="1"/>
        <v>597.26</v>
      </c>
      <c r="P19" s="12">
        <f t="shared" si="2"/>
        <v>179.178</v>
      </c>
      <c r="X19" s="14" t="s">
        <v>569</v>
      </c>
      <c r="Y19" s="19">
        <v>556.68000000000006</v>
      </c>
    </row>
    <row r="20" spans="1:25" x14ac:dyDescent="0.3">
      <c r="A20">
        <v>65624</v>
      </c>
      <c r="B20" s="1">
        <v>45377</v>
      </c>
      <c r="C20">
        <v>732</v>
      </c>
      <c r="D20">
        <v>50</v>
      </c>
      <c r="E20" t="s">
        <v>18</v>
      </c>
      <c r="F20" t="s">
        <v>87</v>
      </c>
      <c r="G20">
        <v>2</v>
      </c>
      <c r="H20">
        <v>188.47</v>
      </c>
      <c r="I20" t="s">
        <v>15</v>
      </c>
      <c r="J20" t="s">
        <v>117</v>
      </c>
      <c r="K20">
        <v>5</v>
      </c>
      <c r="M20">
        <v>63</v>
      </c>
      <c r="N20" s="18" t="str">
        <f t="shared" si="0"/>
        <v>60+</v>
      </c>
      <c r="O20" s="12">
        <f t="shared" si="1"/>
        <v>376.94</v>
      </c>
      <c r="P20" s="12">
        <f t="shared" si="2"/>
        <v>113.08199999999999</v>
      </c>
      <c r="X20" s="14" t="s">
        <v>647</v>
      </c>
      <c r="Y20" s="19">
        <v>316.10000000000002</v>
      </c>
    </row>
    <row r="21" spans="1:25" x14ac:dyDescent="0.3">
      <c r="A21">
        <v>55865</v>
      </c>
      <c r="B21" s="1">
        <v>45377</v>
      </c>
      <c r="C21">
        <v>915</v>
      </c>
      <c r="D21">
        <v>40</v>
      </c>
      <c r="E21" t="s">
        <v>24</v>
      </c>
      <c r="F21" t="s">
        <v>49</v>
      </c>
      <c r="G21">
        <v>1</v>
      </c>
      <c r="H21">
        <v>341.89</v>
      </c>
      <c r="I21" t="s">
        <v>15</v>
      </c>
      <c r="J21" t="s">
        <v>120</v>
      </c>
      <c r="K21">
        <v>5</v>
      </c>
      <c r="L21" t="s">
        <v>21</v>
      </c>
      <c r="M21">
        <v>64</v>
      </c>
      <c r="N21" s="18" t="str">
        <f t="shared" si="0"/>
        <v>60+</v>
      </c>
      <c r="O21" s="12">
        <f t="shared" si="1"/>
        <v>341.89</v>
      </c>
      <c r="P21" s="12">
        <f t="shared" si="2"/>
        <v>102.56699999999999</v>
      </c>
      <c r="X21" s="14" t="s">
        <v>563</v>
      </c>
      <c r="Y21" s="19">
        <v>166.74</v>
      </c>
    </row>
    <row r="22" spans="1:25" x14ac:dyDescent="0.3">
      <c r="A22">
        <v>30090</v>
      </c>
      <c r="B22" s="1">
        <v>45377</v>
      </c>
      <c r="C22">
        <v>493</v>
      </c>
      <c r="D22">
        <v>30</v>
      </c>
      <c r="E22" t="s">
        <v>37</v>
      </c>
      <c r="F22" t="s">
        <v>40</v>
      </c>
      <c r="G22">
        <v>3</v>
      </c>
      <c r="H22">
        <v>29.52</v>
      </c>
      <c r="I22" t="s">
        <v>15</v>
      </c>
      <c r="J22" t="s">
        <v>238</v>
      </c>
      <c r="K22">
        <v>5</v>
      </c>
      <c r="L22" t="s">
        <v>21</v>
      </c>
      <c r="M22">
        <v>20</v>
      </c>
      <c r="N22" s="18" t="str">
        <f t="shared" si="0"/>
        <v>18-30</v>
      </c>
      <c r="O22" s="12">
        <f t="shared" si="1"/>
        <v>88.56</v>
      </c>
      <c r="P22" s="12">
        <f t="shared" si="2"/>
        <v>26.568000000000001</v>
      </c>
      <c r="X22" s="14" t="s">
        <v>419</v>
      </c>
      <c r="Y22" s="19">
        <v>938.66</v>
      </c>
    </row>
    <row r="23" spans="1:25" x14ac:dyDescent="0.3">
      <c r="A23">
        <v>22264</v>
      </c>
      <c r="B23" s="1">
        <v>45377</v>
      </c>
      <c r="C23">
        <v>870</v>
      </c>
      <c r="D23">
        <v>50</v>
      </c>
      <c r="E23" t="s">
        <v>18</v>
      </c>
      <c r="F23" t="s">
        <v>19</v>
      </c>
      <c r="G23">
        <v>1</v>
      </c>
      <c r="H23">
        <v>138.85</v>
      </c>
      <c r="I23" t="s">
        <v>35</v>
      </c>
      <c r="J23" t="s">
        <v>549</v>
      </c>
      <c r="K23">
        <v>5</v>
      </c>
      <c r="L23" t="s">
        <v>17</v>
      </c>
      <c r="M23">
        <v>63</v>
      </c>
      <c r="N23" s="18" t="str">
        <f t="shared" si="0"/>
        <v>60+</v>
      </c>
      <c r="O23" s="12">
        <f t="shared" si="1"/>
        <v>138.85</v>
      </c>
      <c r="P23" s="12">
        <f t="shared" si="2"/>
        <v>41.654999999999994</v>
      </c>
      <c r="X23" s="14" t="s">
        <v>982</v>
      </c>
      <c r="Y23" s="19">
        <v>451.26</v>
      </c>
    </row>
    <row r="24" spans="1:25" x14ac:dyDescent="0.3">
      <c r="A24">
        <v>92087</v>
      </c>
      <c r="B24" s="1">
        <v>45377</v>
      </c>
      <c r="C24">
        <v>888</v>
      </c>
      <c r="D24">
        <v>10</v>
      </c>
      <c r="E24" t="s">
        <v>13</v>
      </c>
      <c r="F24" t="s">
        <v>47</v>
      </c>
      <c r="G24">
        <v>4</v>
      </c>
      <c r="H24">
        <v>26.2</v>
      </c>
      <c r="I24" t="s">
        <v>15</v>
      </c>
      <c r="J24" t="s">
        <v>513</v>
      </c>
      <c r="K24">
        <v>5</v>
      </c>
      <c r="L24" t="s">
        <v>17</v>
      </c>
      <c r="M24">
        <v>21</v>
      </c>
      <c r="N24" s="18" t="str">
        <f t="shared" si="0"/>
        <v>18-30</v>
      </c>
      <c r="O24" s="12">
        <f t="shared" si="1"/>
        <v>104.8</v>
      </c>
      <c r="P24" s="12">
        <f t="shared" si="2"/>
        <v>31.439999999999998</v>
      </c>
      <c r="X24" s="14" t="s">
        <v>199</v>
      </c>
      <c r="Y24" s="19">
        <v>297.18</v>
      </c>
    </row>
    <row r="25" spans="1:25" x14ac:dyDescent="0.3">
      <c r="A25">
        <v>73009</v>
      </c>
      <c r="B25" s="1">
        <v>45378</v>
      </c>
      <c r="C25">
        <v>569</v>
      </c>
      <c r="D25">
        <v>30</v>
      </c>
      <c r="E25" t="s">
        <v>37</v>
      </c>
      <c r="F25" t="s">
        <v>68</v>
      </c>
      <c r="G25">
        <v>4</v>
      </c>
      <c r="H25">
        <v>169.83</v>
      </c>
      <c r="I25" t="s">
        <v>35</v>
      </c>
      <c r="J25" t="s">
        <v>119</v>
      </c>
      <c r="K25">
        <v>2</v>
      </c>
      <c r="L25" t="s">
        <v>21</v>
      </c>
      <c r="M25">
        <v>29</v>
      </c>
      <c r="N25" s="18" t="str">
        <f t="shared" si="0"/>
        <v>18-30</v>
      </c>
      <c r="O25" s="12">
        <f t="shared" si="1"/>
        <v>679.32</v>
      </c>
      <c r="P25" s="12">
        <f t="shared" si="2"/>
        <v>203.79600000000002</v>
      </c>
      <c r="X25" s="14" t="s">
        <v>253</v>
      </c>
      <c r="Y25" s="19">
        <v>478.75</v>
      </c>
    </row>
    <row r="26" spans="1:25" x14ac:dyDescent="0.3">
      <c r="A26">
        <v>92950</v>
      </c>
      <c r="B26" s="1">
        <v>45378</v>
      </c>
      <c r="C26">
        <v>265</v>
      </c>
      <c r="D26">
        <v>30</v>
      </c>
      <c r="E26" t="s">
        <v>37</v>
      </c>
      <c r="F26" t="s">
        <v>95</v>
      </c>
      <c r="G26">
        <v>2</v>
      </c>
      <c r="H26">
        <v>217.67</v>
      </c>
      <c r="I26" t="s">
        <v>26</v>
      </c>
      <c r="J26" t="s">
        <v>646</v>
      </c>
      <c r="K26">
        <v>5</v>
      </c>
      <c r="L26" t="s">
        <v>17</v>
      </c>
      <c r="M26">
        <v>37</v>
      </c>
      <c r="N26" s="18" t="str">
        <f t="shared" si="0"/>
        <v>31-45</v>
      </c>
      <c r="O26" s="12">
        <f t="shared" si="1"/>
        <v>435.34</v>
      </c>
      <c r="P26" s="12">
        <f t="shared" si="2"/>
        <v>130.60199999999998</v>
      </c>
      <c r="X26" s="14" t="s">
        <v>131</v>
      </c>
      <c r="Y26" s="19">
        <v>1871.9499999999998</v>
      </c>
    </row>
    <row r="27" spans="1:25" x14ac:dyDescent="0.3">
      <c r="A27">
        <v>96700</v>
      </c>
      <c r="B27" s="1">
        <v>45378</v>
      </c>
      <c r="C27">
        <v>598</v>
      </c>
      <c r="D27">
        <v>30</v>
      </c>
      <c r="E27" t="s">
        <v>37</v>
      </c>
      <c r="F27" t="s">
        <v>95</v>
      </c>
      <c r="G27">
        <v>4</v>
      </c>
      <c r="H27">
        <v>474.04</v>
      </c>
      <c r="I27" t="s">
        <v>35</v>
      </c>
      <c r="J27" t="s">
        <v>802</v>
      </c>
      <c r="K27">
        <v>5</v>
      </c>
      <c r="L27" t="s">
        <v>17</v>
      </c>
      <c r="M27">
        <v>64</v>
      </c>
      <c r="N27" s="18" t="str">
        <f t="shared" si="0"/>
        <v>60+</v>
      </c>
      <c r="O27" s="12">
        <f t="shared" si="1"/>
        <v>1896.16</v>
      </c>
      <c r="P27" s="12">
        <f t="shared" si="2"/>
        <v>568.84799999999996</v>
      </c>
      <c r="X27" s="14" t="s">
        <v>311</v>
      </c>
      <c r="Y27" s="19">
        <v>315.12</v>
      </c>
    </row>
    <row r="28" spans="1:25" x14ac:dyDescent="0.3">
      <c r="A28">
        <v>37330</v>
      </c>
      <c r="B28" s="1">
        <v>45378</v>
      </c>
      <c r="C28">
        <v>881</v>
      </c>
      <c r="D28">
        <v>50</v>
      </c>
      <c r="E28" t="s">
        <v>18</v>
      </c>
      <c r="F28" t="s">
        <v>34</v>
      </c>
      <c r="G28">
        <v>5</v>
      </c>
      <c r="H28">
        <v>219.26</v>
      </c>
      <c r="I28" t="s">
        <v>26</v>
      </c>
      <c r="J28" t="s">
        <v>960</v>
      </c>
      <c r="K28">
        <v>2</v>
      </c>
      <c r="L28" t="s">
        <v>17</v>
      </c>
      <c r="M28">
        <v>49</v>
      </c>
      <c r="N28" s="18" t="str">
        <f t="shared" si="0"/>
        <v>46-60</v>
      </c>
      <c r="O28" s="12">
        <f t="shared" si="1"/>
        <v>1096.3</v>
      </c>
      <c r="P28" s="12">
        <f t="shared" si="2"/>
        <v>328.89</v>
      </c>
      <c r="X28" s="14" t="s">
        <v>142</v>
      </c>
      <c r="Y28" s="19">
        <v>34.64</v>
      </c>
    </row>
    <row r="29" spans="1:25" x14ac:dyDescent="0.3">
      <c r="A29">
        <v>92232</v>
      </c>
      <c r="B29" s="1">
        <v>45379</v>
      </c>
      <c r="C29">
        <v>961</v>
      </c>
      <c r="D29">
        <v>40</v>
      </c>
      <c r="E29" t="s">
        <v>24</v>
      </c>
      <c r="F29" t="s">
        <v>25</v>
      </c>
      <c r="G29">
        <v>4</v>
      </c>
      <c r="H29">
        <v>410.28</v>
      </c>
      <c r="I29" t="s">
        <v>35</v>
      </c>
      <c r="J29" t="s">
        <v>302</v>
      </c>
      <c r="L29" t="s">
        <v>21</v>
      </c>
      <c r="M29">
        <v>33</v>
      </c>
      <c r="N29" s="18" t="str">
        <f t="shared" si="0"/>
        <v>31-45</v>
      </c>
      <c r="O29" s="12">
        <f t="shared" si="1"/>
        <v>1641.12</v>
      </c>
      <c r="P29" s="12">
        <f t="shared" si="2"/>
        <v>492.33599999999996</v>
      </c>
      <c r="X29" s="14" t="s">
        <v>294</v>
      </c>
      <c r="Y29" s="19">
        <v>1904.28</v>
      </c>
    </row>
    <row r="30" spans="1:25" x14ac:dyDescent="0.3">
      <c r="A30">
        <v>17044</v>
      </c>
      <c r="B30" s="1">
        <v>45379</v>
      </c>
      <c r="C30">
        <v>502</v>
      </c>
      <c r="D30">
        <v>50</v>
      </c>
      <c r="E30" t="s">
        <v>18</v>
      </c>
      <c r="F30" t="s">
        <v>19</v>
      </c>
      <c r="G30">
        <v>1</v>
      </c>
      <c r="H30">
        <v>306.5</v>
      </c>
      <c r="I30" t="s">
        <v>35</v>
      </c>
      <c r="J30" t="s">
        <v>332</v>
      </c>
      <c r="K30">
        <v>4</v>
      </c>
      <c r="L30" t="s">
        <v>21</v>
      </c>
      <c r="M30">
        <v>47</v>
      </c>
      <c r="N30" s="18" t="str">
        <f t="shared" si="0"/>
        <v>46-60</v>
      </c>
      <c r="O30" s="12">
        <f t="shared" si="1"/>
        <v>306.5</v>
      </c>
      <c r="P30" s="12">
        <f t="shared" si="2"/>
        <v>91.95</v>
      </c>
      <c r="X30" s="14" t="s">
        <v>380</v>
      </c>
      <c r="Y30" s="19">
        <v>989</v>
      </c>
    </row>
    <row r="31" spans="1:25" x14ac:dyDescent="0.3">
      <c r="A31">
        <v>39825</v>
      </c>
      <c r="B31" s="1">
        <v>45379</v>
      </c>
      <c r="C31">
        <v>301</v>
      </c>
      <c r="D31">
        <v>40</v>
      </c>
      <c r="E31" t="s">
        <v>24</v>
      </c>
      <c r="F31" t="s">
        <v>44</v>
      </c>
      <c r="G31">
        <v>5</v>
      </c>
      <c r="H31">
        <v>353.19</v>
      </c>
      <c r="I31" t="s">
        <v>35</v>
      </c>
      <c r="J31" t="s">
        <v>413</v>
      </c>
      <c r="K31">
        <v>5</v>
      </c>
      <c r="M31">
        <v>50</v>
      </c>
      <c r="N31" s="18" t="str">
        <f t="shared" si="0"/>
        <v>46-60</v>
      </c>
      <c r="O31" s="12">
        <f t="shared" si="1"/>
        <v>1765.95</v>
      </c>
      <c r="P31" s="12">
        <f t="shared" si="2"/>
        <v>529.78499999999997</v>
      </c>
      <c r="X31" s="14" t="s">
        <v>503</v>
      </c>
      <c r="Y31" s="19">
        <v>183.52</v>
      </c>
    </row>
    <row r="32" spans="1:25" x14ac:dyDescent="0.3">
      <c r="A32">
        <v>47212</v>
      </c>
      <c r="B32" s="1">
        <v>45379</v>
      </c>
      <c r="C32">
        <v>856</v>
      </c>
      <c r="D32">
        <v>20</v>
      </c>
      <c r="E32" t="s">
        <v>28</v>
      </c>
      <c r="F32" t="s">
        <v>29</v>
      </c>
      <c r="G32">
        <v>4</v>
      </c>
      <c r="H32">
        <v>477.68</v>
      </c>
      <c r="I32" t="s">
        <v>15</v>
      </c>
      <c r="J32" t="s">
        <v>540</v>
      </c>
      <c r="L32" t="s">
        <v>21</v>
      </c>
      <c r="M32">
        <v>29</v>
      </c>
      <c r="N32" s="18" t="str">
        <f t="shared" si="0"/>
        <v>18-30</v>
      </c>
      <c r="O32" s="12">
        <f t="shared" si="1"/>
        <v>1910.72</v>
      </c>
      <c r="P32" s="12">
        <f t="shared" si="2"/>
        <v>573.21600000000001</v>
      </c>
      <c r="X32" s="14" t="s">
        <v>406</v>
      </c>
      <c r="Y32" s="19">
        <v>686.74</v>
      </c>
    </row>
    <row r="33" spans="1:25" x14ac:dyDescent="0.3">
      <c r="A33">
        <v>72238</v>
      </c>
      <c r="B33" s="1">
        <v>45379</v>
      </c>
      <c r="C33">
        <v>435</v>
      </c>
      <c r="D33">
        <v>20</v>
      </c>
      <c r="E33" t="s">
        <v>28</v>
      </c>
      <c r="F33" t="s">
        <v>79</v>
      </c>
      <c r="G33">
        <v>2</v>
      </c>
      <c r="H33">
        <v>74.459999999999994</v>
      </c>
      <c r="I33" t="s">
        <v>15</v>
      </c>
      <c r="J33" t="s">
        <v>928</v>
      </c>
      <c r="K33">
        <v>5</v>
      </c>
      <c r="L33" t="s">
        <v>17</v>
      </c>
      <c r="M33">
        <v>74</v>
      </c>
      <c r="N33" s="18" t="str">
        <f t="shared" si="0"/>
        <v>60+</v>
      </c>
      <c r="O33" s="12">
        <f t="shared" si="1"/>
        <v>148.91999999999999</v>
      </c>
      <c r="P33" s="12">
        <f t="shared" si="2"/>
        <v>44.675999999999995</v>
      </c>
      <c r="X33" s="14" t="s">
        <v>933</v>
      </c>
      <c r="Y33" s="19">
        <v>1250.3499999999999</v>
      </c>
    </row>
    <row r="34" spans="1:25" x14ac:dyDescent="0.3">
      <c r="A34">
        <v>97102</v>
      </c>
      <c r="B34" s="1">
        <v>45379</v>
      </c>
      <c r="C34">
        <v>663</v>
      </c>
      <c r="D34">
        <v>50</v>
      </c>
      <c r="E34" t="s">
        <v>18</v>
      </c>
      <c r="F34" t="s">
        <v>34</v>
      </c>
      <c r="G34">
        <v>4</v>
      </c>
      <c r="H34">
        <v>286.82</v>
      </c>
      <c r="I34" t="s">
        <v>35</v>
      </c>
      <c r="J34" t="s">
        <v>969</v>
      </c>
      <c r="K34">
        <v>3</v>
      </c>
      <c r="L34" t="s">
        <v>17</v>
      </c>
      <c r="M34">
        <v>55</v>
      </c>
      <c r="N34" s="18" t="str">
        <f t="shared" si="0"/>
        <v>46-60</v>
      </c>
      <c r="O34" s="12">
        <f t="shared" si="1"/>
        <v>1147.28</v>
      </c>
      <c r="P34" s="12">
        <f t="shared" si="2"/>
        <v>344.18399999999997</v>
      </c>
      <c r="X34" s="14" t="s">
        <v>453</v>
      </c>
      <c r="Y34" s="19">
        <v>101.04</v>
      </c>
    </row>
    <row r="35" spans="1:25" x14ac:dyDescent="0.3">
      <c r="A35">
        <v>54869</v>
      </c>
      <c r="B35" s="1">
        <v>45380</v>
      </c>
      <c r="C35">
        <v>369</v>
      </c>
      <c r="D35">
        <v>10</v>
      </c>
      <c r="E35" t="s">
        <v>13</v>
      </c>
      <c r="F35" t="s">
        <v>14</v>
      </c>
      <c r="G35">
        <v>4</v>
      </c>
      <c r="H35">
        <v>486.84</v>
      </c>
      <c r="I35" t="s">
        <v>35</v>
      </c>
      <c r="J35" t="s">
        <v>193</v>
      </c>
      <c r="K35">
        <v>5</v>
      </c>
      <c r="L35" t="s">
        <v>17</v>
      </c>
      <c r="M35">
        <v>42</v>
      </c>
      <c r="N35" s="18" t="str">
        <f t="shared" si="0"/>
        <v>31-45</v>
      </c>
      <c r="O35" s="12">
        <f t="shared" si="1"/>
        <v>1947.36</v>
      </c>
      <c r="P35" s="12">
        <f t="shared" si="2"/>
        <v>584.20799999999997</v>
      </c>
      <c r="X35" s="14" t="s">
        <v>301</v>
      </c>
      <c r="Y35" s="19">
        <v>236.22</v>
      </c>
    </row>
    <row r="36" spans="1:25" x14ac:dyDescent="0.3">
      <c r="A36">
        <v>51679</v>
      </c>
      <c r="B36" s="1">
        <v>45380</v>
      </c>
      <c r="C36">
        <v>861</v>
      </c>
      <c r="D36">
        <v>40</v>
      </c>
      <c r="E36" t="s">
        <v>24</v>
      </c>
      <c r="F36" t="s">
        <v>49</v>
      </c>
      <c r="G36">
        <v>4</v>
      </c>
      <c r="H36">
        <v>101.29</v>
      </c>
      <c r="I36" t="s">
        <v>35</v>
      </c>
      <c r="J36" t="s">
        <v>393</v>
      </c>
      <c r="K36">
        <v>5</v>
      </c>
      <c r="M36">
        <v>32</v>
      </c>
      <c r="N36" s="18" t="str">
        <f t="shared" si="0"/>
        <v>31-45</v>
      </c>
      <c r="O36" s="12">
        <f t="shared" si="1"/>
        <v>405.16</v>
      </c>
      <c r="P36" s="12">
        <f t="shared" si="2"/>
        <v>121.548</v>
      </c>
      <c r="X36" s="14" t="s">
        <v>967</v>
      </c>
      <c r="Y36" s="19">
        <v>515.84999999999991</v>
      </c>
    </row>
    <row r="37" spans="1:25" x14ac:dyDescent="0.3">
      <c r="A37">
        <v>36926</v>
      </c>
      <c r="B37" s="1">
        <v>45380</v>
      </c>
      <c r="C37">
        <v>350</v>
      </c>
      <c r="D37">
        <v>40</v>
      </c>
      <c r="E37" t="s">
        <v>24</v>
      </c>
      <c r="F37" t="s">
        <v>44</v>
      </c>
      <c r="G37">
        <v>2</v>
      </c>
      <c r="H37">
        <v>137.12</v>
      </c>
      <c r="I37" t="s">
        <v>26</v>
      </c>
      <c r="J37" t="s">
        <v>652</v>
      </c>
      <c r="K37">
        <v>4</v>
      </c>
      <c r="L37" t="s">
        <v>17</v>
      </c>
      <c r="M37">
        <v>68</v>
      </c>
      <c r="N37" s="18" t="str">
        <f t="shared" si="0"/>
        <v>60+</v>
      </c>
      <c r="O37" s="12">
        <f t="shared" si="1"/>
        <v>274.24</v>
      </c>
      <c r="P37" s="12">
        <f t="shared" si="2"/>
        <v>82.272000000000006</v>
      </c>
      <c r="X37" s="14" t="s">
        <v>386</v>
      </c>
      <c r="Y37" s="19">
        <v>317.60000000000002</v>
      </c>
    </row>
    <row r="38" spans="1:25" x14ac:dyDescent="0.3">
      <c r="A38">
        <v>48604</v>
      </c>
      <c r="B38" s="1">
        <v>45381</v>
      </c>
      <c r="C38">
        <v>899</v>
      </c>
      <c r="D38">
        <v>30</v>
      </c>
      <c r="E38" t="s">
        <v>37</v>
      </c>
      <c r="F38" t="s">
        <v>38</v>
      </c>
      <c r="G38">
        <v>5</v>
      </c>
      <c r="H38">
        <v>230.49</v>
      </c>
      <c r="I38" t="s">
        <v>35</v>
      </c>
      <c r="J38" t="s">
        <v>343</v>
      </c>
      <c r="K38">
        <v>4</v>
      </c>
      <c r="L38" t="s">
        <v>21</v>
      </c>
      <c r="M38">
        <v>36</v>
      </c>
      <c r="N38" s="18" t="str">
        <f t="shared" si="0"/>
        <v>31-45</v>
      </c>
      <c r="O38" s="12">
        <f t="shared" si="1"/>
        <v>1152.45</v>
      </c>
      <c r="P38" s="12">
        <f t="shared" si="2"/>
        <v>345.73500000000001</v>
      </c>
      <c r="X38" s="14" t="s">
        <v>646</v>
      </c>
      <c r="Y38" s="19">
        <v>435.34</v>
      </c>
    </row>
    <row r="39" spans="1:25" x14ac:dyDescent="0.3">
      <c r="A39">
        <v>43279</v>
      </c>
      <c r="B39" s="1">
        <v>45381</v>
      </c>
      <c r="C39">
        <v>403</v>
      </c>
      <c r="D39">
        <v>30</v>
      </c>
      <c r="E39" t="s">
        <v>37</v>
      </c>
      <c r="F39" t="s">
        <v>58</v>
      </c>
      <c r="G39">
        <v>4</v>
      </c>
      <c r="H39">
        <v>247.25</v>
      </c>
      <c r="I39" t="s">
        <v>15</v>
      </c>
      <c r="J39" t="s">
        <v>380</v>
      </c>
      <c r="K39">
        <v>2</v>
      </c>
      <c r="L39" t="s">
        <v>21</v>
      </c>
      <c r="M39">
        <v>26</v>
      </c>
      <c r="N39" s="18" t="str">
        <f t="shared" si="0"/>
        <v>18-30</v>
      </c>
      <c r="O39" s="12">
        <f t="shared" si="1"/>
        <v>989</v>
      </c>
      <c r="P39" s="12">
        <f t="shared" si="2"/>
        <v>296.7</v>
      </c>
      <c r="X39" s="14" t="s">
        <v>431</v>
      </c>
      <c r="Y39" s="19">
        <v>2125.5</v>
      </c>
    </row>
    <row r="40" spans="1:25" x14ac:dyDescent="0.3">
      <c r="A40">
        <v>14872</v>
      </c>
      <c r="B40" s="1">
        <v>45382</v>
      </c>
      <c r="C40">
        <v>353</v>
      </c>
      <c r="D40">
        <v>20</v>
      </c>
      <c r="E40" t="s">
        <v>28</v>
      </c>
      <c r="F40" t="s">
        <v>77</v>
      </c>
      <c r="G40">
        <v>2</v>
      </c>
      <c r="H40">
        <v>272.77999999999997</v>
      </c>
      <c r="I40" t="s">
        <v>15</v>
      </c>
      <c r="J40" t="s">
        <v>78</v>
      </c>
      <c r="K40">
        <v>4</v>
      </c>
      <c r="L40" t="s">
        <v>21</v>
      </c>
      <c r="M40">
        <v>32</v>
      </c>
      <c r="N40" s="18" t="str">
        <f t="shared" si="0"/>
        <v>31-45</v>
      </c>
      <c r="O40" s="12">
        <f t="shared" si="1"/>
        <v>545.55999999999995</v>
      </c>
      <c r="P40" s="12">
        <f t="shared" si="2"/>
        <v>163.66799999999998</v>
      </c>
      <c r="X40" s="14" t="s">
        <v>894</v>
      </c>
      <c r="Y40" s="19">
        <v>1176.78</v>
      </c>
    </row>
    <row r="41" spans="1:25" x14ac:dyDescent="0.3">
      <c r="A41">
        <v>22729</v>
      </c>
      <c r="B41" s="1">
        <v>45382</v>
      </c>
      <c r="C41">
        <v>649</v>
      </c>
      <c r="D41">
        <v>30</v>
      </c>
      <c r="E41" t="s">
        <v>37</v>
      </c>
      <c r="F41" t="s">
        <v>40</v>
      </c>
      <c r="G41">
        <v>2</v>
      </c>
      <c r="H41">
        <v>131.22</v>
      </c>
      <c r="I41" t="s">
        <v>26</v>
      </c>
      <c r="J41" t="s">
        <v>836</v>
      </c>
      <c r="K41">
        <v>4</v>
      </c>
      <c r="L41" t="s">
        <v>21</v>
      </c>
      <c r="M41">
        <v>32</v>
      </c>
      <c r="N41" s="18" t="str">
        <f t="shared" si="0"/>
        <v>31-45</v>
      </c>
      <c r="O41" s="12">
        <f t="shared" si="1"/>
        <v>262.44</v>
      </c>
      <c r="P41" s="12">
        <f t="shared" si="2"/>
        <v>78.731999999999999</v>
      </c>
      <c r="X41" s="14" t="s">
        <v>584</v>
      </c>
      <c r="Y41" s="19">
        <v>2286.0499999999997</v>
      </c>
    </row>
    <row r="42" spans="1:25" x14ac:dyDescent="0.3">
      <c r="A42">
        <v>33678</v>
      </c>
      <c r="B42" s="1">
        <v>45383</v>
      </c>
      <c r="C42">
        <v>732</v>
      </c>
      <c r="D42">
        <v>20</v>
      </c>
      <c r="E42" t="s">
        <v>28</v>
      </c>
      <c r="F42" t="s">
        <v>51</v>
      </c>
      <c r="G42">
        <v>1</v>
      </c>
      <c r="H42">
        <v>380.08</v>
      </c>
      <c r="I42" t="s">
        <v>35</v>
      </c>
      <c r="J42" t="s">
        <v>67</v>
      </c>
      <c r="K42">
        <v>1</v>
      </c>
      <c r="L42" t="s">
        <v>21</v>
      </c>
      <c r="M42">
        <v>29</v>
      </c>
      <c r="N42" s="18" t="str">
        <f t="shared" si="0"/>
        <v>18-30</v>
      </c>
      <c r="O42" s="12">
        <f t="shared" si="1"/>
        <v>380.08</v>
      </c>
      <c r="P42" s="12">
        <f t="shared" si="2"/>
        <v>114.02399999999999</v>
      </c>
      <c r="X42" s="14" t="s">
        <v>854</v>
      </c>
      <c r="Y42" s="19">
        <v>197.24</v>
      </c>
    </row>
    <row r="43" spans="1:25" x14ac:dyDescent="0.3">
      <c r="A43">
        <v>65546</v>
      </c>
      <c r="B43" s="1">
        <v>45383</v>
      </c>
      <c r="C43">
        <v>575</v>
      </c>
      <c r="D43">
        <v>20</v>
      </c>
      <c r="E43" t="s">
        <v>28</v>
      </c>
      <c r="F43" t="s">
        <v>72</v>
      </c>
      <c r="G43">
        <v>4</v>
      </c>
      <c r="H43">
        <v>400.94</v>
      </c>
      <c r="I43" t="s">
        <v>26</v>
      </c>
      <c r="J43" t="s">
        <v>158</v>
      </c>
      <c r="K43">
        <v>2</v>
      </c>
      <c r="L43" t="s">
        <v>17</v>
      </c>
      <c r="M43">
        <v>65</v>
      </c>
      <c r="N43" s="18" t="str">
        <f t="shared" si="0"/>
        <v>60+</v>
      </c>
      <c r="O43" s="12">
        <f t="shared" si="1"/>
        <v>1603.76</v>
      </c>
      <c r="P43" s="12">
        <f t="shared" si="2"/>
        <v>481.12799999999999</v>
      </c>
      <c r="X43" s="14" t="s">
        <v>305</v>
      </c>
      <c r="Y43" s="19">
        <v>54.94</v>
      </c>
    </row>
    <row r="44" spans="1:25" x14ac:dyDescent="0.3">
      <c r="A44">
        <v>31977</v>
      </c>
      <c r="B44" s="1">
        <v>45383</v>
      </c>
      <c r="C44">
        <v>490</v>
      </c>
      <c r="D44">
        <v>50</v>
      </c>
      <c r="E44" t="s">
        <v>18</v>
      </c>
      <c r="F44" t="s">
        <v>22</v>
      </c>
      <c r="G44">
        <v>5</v>
      </c>
      <c r="H44">
        <v>371.84</v>
      </c>
      <c r="I44" t="s">
        <v>15</v>
      </c>
      <c r="J44" t="s">
        <v>723</v>
      </c>
      <c r="K44">
        <v>5</v>
      </c>
      <c r="M44">
        <v>52</v>
      </c>
      <c r="N44" s="18" t="str">
        <f t="shared" si="0"/>
        <v>46-60</v>
      </c>
      <c r="O44" s="12">
        <f t="shared" si="1"/>
        <v>1859.1999999999998</v>
      </c>
      <c r="P44" s="12">
        <f t="shared" si="2"/>
        <v>557.75999999999988</v>
      </c>
      <c r="X44" s="14" t="s">
        <v>805</v>
      </c>
      <c r="Y44" s="19">
        <v>790.04</v>
      </c>
    </row>
    <row r="45" spans="1:25" x14ac:dyDescent="0.3">
      <c r="A45">
        <v>55371</v>
      </c>
      <c r="B45" s="1">
        <v>45384</v>
      </c>
      <c r="C45">
        <v>753</v>
      </c>
      <c r="D45">
        <v>50</v>
      </c>
      <c r="E45" t="s">
        <v>18</v>
      </c>
      <c r="F45" t="s">
        <v>87</v>
      </c>
      <c r="G45">
        <v>4</v>
      </c>
      <c r="H45">
        <v>263.69</v>
      </c>
      <c r="I45" t="s">
        <v>35</v>
      </c>
      <c r="J45" t="s">
        <v>799</v>
      </c>
      <c r="K45">
        <v>5</v>
      </c>
      <c r="M45">
        <v>73</v>
      </c>
      <c r="N45" s="18" t="str">
        <f t="shared" si="0"/>
        <v>60+</v>
      </c>
      <c r="O45" s="12">
        <f t="shared" si="1"/>
        <v>1054.76</v>
      </c>
      <c r="P45" s="12">
        <f t="shared" si="2"/>
        <v>316.428</v>
      </c>
      <c r="X45" s="14" t="s">
        <v>944</v>
      </c>
      <c r="Y45" s="19">
        <v>218.72</v>
      </c>
    </row>
    <row r="46" spans="1:25" x14ac:dyDescent="0.3">
      <c r="A46">
        <v>54503</v>
      </c>
      <c r="B46" s="1">
        <v>45385</v>
      </c>
      <c r="C46">
        <v>416</v>
      </c>
      <c r="D46">
        <v>50</v>
      </c>
      <c r="E46" t="s">
        <v>18</v>
      </c>
      <c r="F46" t="s">
        <v>19</v>
      </c>
      <c r="G46">
        <v>2</v>
      </c>
      <c r="H46">
        <v>337.25</v>
      </c>
      <c r="I46" t="s">
        <v>35</v>
      </c>
      <c r="J46" t="s">
        <v>97</v>
      </c>
      <c r="K46">
        <v>2</v>
      </c>
      <c r="L46" t="s">
        <v>17</v>
      </c>
      <c r="M46">
        <v>42</v>
      </c>
      <c r="N46" s="18" t="str">
        <f t="shared" si="0"/>
        <v>31-45</v>
      </c>
      <c r="O46" s="12">
        <f t="shared" si="1"/>
        <v>674.5</v>
      </c>
      <c r="P46" s="12">
        <f t="shared" si="2"/>
        <v>202.35</v>
      </c>
      <c r="X46" s="14" t="s">
        <v>890</v>
      </c>
      <c r="Y46" s="19">
        <v>260.52</v>
      </c>
    </row>
    <row r="47" spans="1:25" x14ac:dyDescent="0.3">
      <c r="A47">
        <v>76203</v>
      </c>
      <c r="B47" s="1">
        <v>45385</v>
      </c>
      <c r="C47">
        <v>307</v>
      </c>
      <c r="D47">
        <v>20</v>
      </c>
      <c r="E47" t="s">
        <v>28</v>
      </c>
      <c r="F47" t="s">
        <v>72</v>
      </c>
      <c r="G47">
        <v>5</v>
      </c>
      <c r="H47">
        <v>39.18</v>
      </c>
      <c r="I47" t="s">
        <v>15</v>
      </c>
      <c r="J47" t="s">
        <v>594</v>
      </c>
      <c r="K47">
        <v>4</v>
      </c>
      <c r="M47">
        <v>61</v>
      </c>
      <c r="N47" s="18" t="str">
        <f t="shared" si="0"/>
        <v>60+</v>
      </c>
      <c r="O47" s="12">
        <f t="shared" si="1"/>
        <v>195.9</v>
      </c>
      <c r="P47" s="12">
        <f t="shared" si="2"/>
        <v>58.769999999999996</v>
      </c>
      <c r="X47" s="14" t="s">
        <v>954</v>
      </c>
      <c r="Y47" s="19">
        <v>993.86</v>
      </c>
    </row>
    <row r="48" spans="1:25" x14ac:dyDescent="0.3">
      <c r="A48">
        <v>58032</v>
      </c>
      <c r="B48" s="1">
        <v>45386</v>
      </c>
      <c r="C48">
        <v>133</v>
      </c>
      <c r="D48">
        <v>30</v>
      </c>
      <c r="E48" t="s">
        <v>37</v>
      </c>
      <c r="F48" t="s">
        <v>58</v>
      </c>
      <c r="G48">
        <v>4</v>
      </c>
      <c r="H48">
        <v>14.97</v>
      </c>
      <c r="I48" t="s">
        <v>15</v>
      </c>
      <c r="J48" t="s">
        <v>159</v>
      </c>
      <c r="L48" t="s">
        <v>17</v>
      </c>
      <c r="M48">
        <v>22</v>
      </c>
      <c r="N48" s="18" t="str">
        <f t="shared" si="0"/>
        <v>18-30</v>
      </c>
      <c r="O48" s="12">
        <f t="shared" si="1"/>
        <v>59.88</v>
      </c>
      <c r="P48" s="12">
        <f t="shared" si="2"/>
        <v>17.963999999999999</v>
      </c>
      <c r="X48" s="14" t="s">
        <v>104</v>
      </c>
      <c r="Y48" s="19">
        <v>805.25</v>
      </c>
    </row>
    <row r="49" spans="1:25" x14ac:dyDescent="0.3">
      <c r="A49">
        <v>84661</v>
      </c>
      <c r="B49" s="1">
        <v>45386</v>
      </c>
      <c r="C49">
        <v>129</v>
      </c>
      <c r="D49">
        <v>20</v>
      </c>
      <c r="E49" t="s">
        <v>28</v>
      </c>
      <c r="F49" t="s">
        <v>77</v>
      </c>
      <c r="G49">
        <v>2</v>
      </c>
      <c r="H49">
        <v>272.83</v>
      </c>
      <c r="I49" t="s">
        <v>26</v>
      </c>
      <c r="J49" t="s">
        <v>543</v>
      </c>
      <c r="K49">
        <v>4</v>
      </c>
      <c r="L49" t="s">
        <v>17</v>
      </c>
      <c r="M49">
        <v>38</v>
      </c>
      <c r="N49" s="18" t="str">
        <f t="shared" si="0"/>
        <v>31-45</v>
      </c>
      <c r="O49" s="12">
        <f t="shared" si="1"/>
        <v>545.66</v>
      </c>
      <c r="P49" s="12">
        <f t="shared" si="2"/>
        <v>163.69799999999998</v>
      </c>
      <c r="X49" s="14" t="s">
        <v>96</v>
      </c>
      <c r="Y49" s="19">
        <v>174.6</v>
      </c>
    </row>
    <row r="50" spans="1:25" x14ac:dyDescent="0.3">
      <c r="A50">
        <v>62183</v>
      </c>
      <c r="B50" s="1">
        <v>45386</v>
      </c>
      <c r="C50">
        <v>568</v>
      </c>
      <c r="D50">
        <v>50</v>
      </c>
      <c r="E50" t="s">
        <v>18</v>
      </c>
      <c r="F50" t="s">
        <v>19</v>
      </c>
      <c r="G50">
        <v>2</v>
      </c>
      <c r="H50">
        <v>494.81</v>
      </c>
      <c r="I50" t="s">
        <v>35</v>
      </c>
      <c r="J50" t="s">
        <v>583</v>
      </c>
      <c r="K50">
        <v>3</v>
      </c>
      <c r="L50" t="s">
        <v>17</v>
      </c>
      <c r="M50">
        <v>52</v>
      </c>
      <c r="N50" s="18" t="str">
        <f t="shared" si="0"/>
        <v>46-60</v>
      </c>
      <c r="O50" s="12">
        <f t="shared" si="1"/>
        <v>989.62</v>
      </c>
      <c r="P50" s="12">
        <f t="shared" si="2"/>
        <v>296.88599999999997</v>
      </c>
      <c r="X50" s="14" t="s">
        <v>277</v>
      </c>
      <c r="Y50" s="19">
        <v>725.8900000000001</v>
      </c>
    </row>
    <row r="51" spans="1:25" x14ac:dyDescent="0.3">
      <c r="A51">
        <v>62833</v>
      </c>
      <c r="B51" s="1">
        <v>45387</v>
      </c>
      <c r="C51">
        <v>955</v>
      </c>
      <c r="D51">
        <v>20</v>
      </c>
      <c r="E51" t="s">
        <v>28</v>
      </c>
      <c r="F51" t="s">
        <v>29</v>
      </c>
      <c r="G51">
        <v>1</v>
      </c>
      <c r="H51">
        <v>457.29</v>
      </c>
      <c r="I51" t="s">
        <v>15</v>
      </c>
      <c r="J51" t="s">
        <v>213</v>
      </c>
      <c r="K51">
        <v>1</v>
      </c>
      <c r="L51" t="s">
        <v>17</v>
      </c>
      <c r="M51">
        <v>71</v>
      </c>
      <c r="N51" s="18" t="str">
        <f t="shared" si="0"/>
        <v>60+</v>
      </c>
      <c r="O51" s="12">
        <f t="shared" si="1"/>
        <v>457.29</v>
      </c>
      <c r="P51" s="12">
        <f t="shared" si="2"/>
        <v>137.18700000000001</v>
      </c>
      <c r="X51" s="14" t="s">
        <v>987</v>
      </c>
      <c r="Y51" s="19">
        <v>395.92</v>
      </c>
    </row>
    <row r="52" spans="1:25" x14ac:dyDescent="0.3">
      <c r="A52">
        <v>61930</v>
      </c>
      <c r="B52" s="1">
        <v>45387</v>
      </c>
      <c r="C52">
        <v>660</v>
      </c>
      <c r="D52">
        <v>10</v>
      </c>
      <c r="E52" t="s">
        <v>13</v>
      </c>
      <c r="F52" t="s">
        <v>42</v>
      </c>
      <c r="G52">
        <v>3</v>
      </c>
      <c r="H52">
        <v>362.2</v>
      </c>
      <c r="I52" t="s">
        <v>15</v>
      </c>
      <c r="J52" t="s">
        <v>678</v>
      </c>
      <c r="K52">
        <v>2</v>
      </c>
      <c r="L52" t="s">
        <v>17</v>
      </c>
      <c r="M52">
        <v>44</v>
      </c>
      <c r="N52" s="18" t="str">
        <f t="shared" si="0"/>
        <v>31-45</v>
      </c>
      <c r="O52" s="12">
        <f t="shared" si="1"/>
        <v>1086.5999999999999</v>
      </c>
      <c r="P52" s="12">
        <f t="shared" si="2"/>
        <v>325.97999999999996</v>
      </c>
      <c r="X52" s="14" t="s">
        <v>349</v>
      </c>
      <c r="Y52" s="19">
        <v>332.78</v>
      </c>
    </row>
    <row r="53" spans="1:25" x14ac:dyDescent="0.3">
      <c r="A53">
        <v>47971</v>
      </c>
      <c r="B53" s="1">
        <v>45388</v>
      </c>
      <c r="C53">
        <v>363</v>
      </c>
      <c r="D53">
        <v>20</v>
      </c>
      <c r="E53" t="s">
        <v>28</v>
      </c>
      <c r="F53" t="s">
        <v>72</v>
      </c>
      <c r="G53">
        <v>5</v>
      </c>
      <c r="H53">
        <v>279.12</v>
      </c>
      <c r="I53" t="s">
        <v>26</v>
      </c>
      <c r="J53" t="s">
        <v>192</v>
      </c>
      <c r="K53">
        <v>4</v>
      </c>
      <c r="L53" t="s">
        <v>17</v>
      </c>
      <c r="M53">
        <v>47</v>
      </c>
      <c r="N53" s="18" t="str">
        <f t="shared" si="0"/>
        <v>46-60</v>
      </c>
      <c r="O53" s="12">
        <f t="shared" si="1"/>
        <v>1395.6</v>
      </c>
      <c r="P53" s="12">
        <f t="shared" si="2"/>
        <v>418.67999999999995</v>
      </c>
      <c r="X53" s="14" t="s">
        <v>765</v>
      </c>
      <c r="Y53" s="19">
        <v>789.48</v>
      </c>
    </row>
    <row r="54" spans="1:25" x14ac:dyDescent="0.3">
      <c r="A54">
        <v>79864</v>
      </c>
      <c r="B54" s="1">
        <v>45389</v>
      </c>
      <c r="C54">
        <v>825</v>
      </c>
      <c r="D54">
        <v>20</v>
      </c>
      <c r="E54" t="s">
        <v>28</v>
      </c>
      <c r="F54" t="s">
        <v>79</v>
      </c>
      <c r="G54">
        <v>5</v>
      </c>
      <c r="H54">
        <v>125.64</v>
      </c>
      <c r="I54" t="s">
        <v>35</v>
      </c>
      <c r="J54" t="s">
        <v>331</v>
      </c>
      <c r="K54">
        <v>3</v>
      </c>
      <c r="L54" t="s">
        <v>21</v>
      </c>
      <c r="M54">
        <v>36</v>
      </c>
      <c r="N54" s="18" t="str">
        <f t="shared" si="0"/>
        <v>31-45</v>
      </c>
      <c r="O54" s="12">
        <f t="shared" si="1"/>
        <v>628.20000000000005</v>
      </c>
      <c r="P54" s="12">
        <f t="shared" si="2"/>
        <v>188.46</v>
      </c>
      <c r="X54" s="14" t="s">
        <v>396</v>
      </c>
      <c r="Y54" s="19">
        <v>239.33</v>
      </c>
    </row>
    <row r="55" spans="1:25" x14ac:dyDescent="0.3">
      <c r="A55">
        <v>68604</v>
      </c>
      <c r="B55" s="1">
        <v>45389</v>
      </c>
      <c r="C55">
        <v>117</v>
      </c>
      <c r="D55">
        <v>50</v>
      </c>
      <c r="E55" t="s">
        <v>18</v>
      </c>
      <c r="F55" t="s">
        <v>84</v>
      </c>
      <c r="G55">
        <v>2</v>
      </c>
      <c r="H55">
        <v>333.05</v>
      </c>
      <c r="I55" t="s">
        <v>15</v>
      </c>
      <c r="J55" t="s">
        <v>447</v>
      </c>
      <c r="L55" t="s">
        <v>17</v>
      </c>
      <c r="M55">
        <v>45</v>
      </c>
      <c r="N55" s="18" t="str">
        <f t="shared" si="0"/>
        <v>31-45</v>
      </c>
      <c r="O55" s="12">
        <f t="shared" si="1"/>
        <v>666.1</v>
      </c>
      <c r="P55" s="12">
        <f t="shared" si="2"/>
        <v>199.83</v>
      </c>
      <c r="X55" s="14" t="s">
        <v>834</v>
      </c>
      <c r="Y55" s="19">
        <v>72.739999999999995</v>
      </c>
    </row>
    <row r="56" spans="1:25" x14ac:dyDescent="0.3">
      <c r="A56">
        <v>13120</v>
      </c>
      <c r="B56" s="1">
        <v>45389</v>
      </c>
      <c r="C56">
        <v>893</v>
      </c>
      <c r="D56">
        <v>30</v>
      </c>
      <c r="E56" t="s">
        <v>37</v>
      </c>
      <c r="F56" t="s">
        <v>58</v>
      </c>
      <c r="G56">
        <v>1</v>
      </c>
      <c r="H56">
        <v>40.200000000000003</v>
      </c>
      <c r="I56" t="s">
        <v>35</v>
      </c>
      <c r="J56" t="s">
        <v>618</v>
      </c>
      <c r="K56">
        <v>5</v>
      </c>
      <c r="L56" t="s">
        <v>21</v>
      </c>
      <c r="M56">
        <v>59</v>
      </c>
      <c r="N56" s="18" t="str">
        <f t="shared" si="0"/>
        <v>46-60</v>
      </c>
      <c r="O56" s="12">
        <f t="shared" si="1"/>
        <v>40.200000000000003</v>
      </c>
      <c r="P56" s="12">
        <f t="shared" si="2"/>
        <v>12.06</v>
      </c>
      <c r="X56" s="14" t="s">
        <v>295</v>
      </c>
      <c r="Y56" s="19">
        <v>429.6</v>
      </c>
    </row>
    <row r="57" spans="1:25" x14ac:dyDescent="0.3">
      <c r="A57">
        <v>18511</v>
      </c>
      <c r="B57" s="1">
        <v>45389</v>
      </c>
      <c r="C57">
        <v>877</v>
      </c>
      <c r="D57">
        <v>30</v>
      </c>
      <c r="E57" t="s">
        <v>37</v>
      </c>
      <c r="F57" t="s">
        <v>68</v>
      </c>
      <c r="G57">
        <v>4</v>
      </c>
      <c r="H57">
        <v>96.94</v>
      </c>
      <c r="I57" t="s">
        <v>35</v>
      </c>
      <c r="J57" t="s">
        <v>724</v>
      </c>
      <c r="M57">
        <v>56</v>
      </c>
      <c r="N57" s="18" t="str">
        <f t="shared" si="0"/>
        <v>46-60</v>
      </c>
      <c r="O57" s="12">
        <f t="shared" si="1"/>
        <v>387.76</v>
      </c>
      <c r="P57" s="12">
        <f t="shared" si="2"/>
        <v>116.32799999999999</v>
      </c>
      <c r="X57" s="14" t="s">
        <v>377</v>
      </c>
      <c r="Y57" s="19">
        <v>1056.5999999999999</v>
      </c>
    </row>
    <row r="58" spans="1:25" x14ac:dyDescent="0.3">
      <c r="A58">
        <v>78752</v>
      </c>
      <c r="B58" s="1">
        <v>45389</v>
      </c>
      <c r="C58">
        <v>158</v>
      </c>
      <c r="D58">
        <v>30</v>
      </c>
      <c r="E58" t="s">
        <v>37</v>
      </c>
      <c r="F58" t="s">
        <v>38</v>
      </c>
      <c r="G58">
        <v>5</v>
      </c>
      <c r="H58">
        <v>178.2</v>
      </c>
      <c r="I58" t="s">
        <v>15</v>
      </c>
      <c r="J58" t="s">
        <v>908</v>
      </c>
      <c r="K58">
        <v>3</v>
      </c>
      <c r="L58" t="s">
        <v>17</v>
      </c>
      <c r="M58">
        <v>49</v>
      </c>
      <c r="N58" s="18" t="str">
        <f t="shared" si="0"/>
        <v>46-60</v>
      </c>
      <c r="O58" s="12">
        <f t="shared" si="1"/>
        <v>891</v>
      </c>
      <c r="P58" s="12">
        <f t="shared" si="2"/>
        <v>267.3</v>
      </c>
      <c r="X58" s="14" t="s">
        <v>154</v>
      </c>
      <c r="Y58" s="19">
        <v>192.62</v>
      </c>
    </row>
    <row r="59" spans="1:25" x14ac:dyDescent="0.3">
      <c r="A59">
        <v>49651</v>
      </c>
      <c r="B59" s="1">
        <v>45390</v>
      </c>
      <c r="C59">
        <v>937</v>
      </c>
      <c r="D59">
        <v>40</v>
      </c>
      <c r="E59" t="s">
        <v>24</v>
      </c>
      <c r="F59" t="s">
        <v>63</v>
      </c>
      <c r="G59">
        <v>4</v>
      </c>
      <c r="H59">
        <v>267.72000000000003</v>
      </c>
      <c r="I59" t="s">
        <v>26</v>
      </c>
      <c r="J59" t="s">
        <v>205</v>
      </c>
      <c r="L59" t="s">
        <v>21</v>
      </c>
      <c r="M59">
        <v>19</v>
      </c>
      <c r="N59" s="18" t="str">
        <f t="shared" si="0"/>
        <v>18-30</v>
      </c>
      <c r="O59" s="12">
        <f t="shared" si="1"/>
        <v>1070.8800000000001</v>
      </c>
      <c r="P59" s="12">
        <f t="shared" si="2"/>
        <v>321.26400000000001</v>
      </c>
      <c r="X59" s="14" t="s">
        <v>243</v>
      </c>
      <c r="Y59" s="19">
        <v>63.44</v>
      </c>
    </row>
    <row r="60" spans="1:25" x14ac:dyDescent="0.3">
      <c r="A60">
        <v>98322</v>
      </c>
      <c r="B60" s="1">
        <v>45390</v>
      </c>
      <c r="C60">
        <v>157</v>
      </c>
      <c r="D60">
        <v>50</v>
      </c>
      <c r="E60" t="s">
        <v>18</v>
      </c>
      <c r="F60" t="s">
        <v>87</v>
      </c>
      <c r="G60">
        <v>1</v>
      </c>
      <c r="H60">
        <v>200.44</v>
      </c>
      <c r="I60" t="s">
        <v>26</v>
      </c>
      <c r="J60" t="s">
        <v>231</v>
      </c>
      <c r="K60">
        <v>5</v>
      </c>
      <c r="L60" t="s">
        <v>17</v>
      </c>
      <c r="M60">
        <v>60</v>
      </c>
      <c r="N60" s="18" t="str">
        <f t="shared" si="0"/>
        <v>46-60</v>
      </c>
      <c r="O60" s="12">
        <f t="shared" si="1"/>
        <v>200.44</v>
      </c>
      <c r="P60" s="12">
        <f t="shared" si="2"/>
        <v>60.131999999999998</v>
      </c>
      <c r="X60" s="14" t="s">
        <v>664</v>
      </c>
      <c r="Y60" s="19">
        <v>394.75</v>
      </c>
    </row>
    <row r="61" spans="1:25" x14ac:dyDescent="0.3">
      <c r="A61">
        <v>28608</v>
      </c>
      <c r="B61" s="1">
        <v>45390</v>
      </c>
      <c r="C61">
        <v>436</v>
      </c>
      <c r="D61">
        <v>10</v>
      </c>
      <c r="E61" t="s">
        <v>13</v>
      </c>
      <c r="F61" t="s">
        <v>42</v>
      </c>
      <c r="G61">
        <v>1</v>
      </c>
      <c r="H61">
        <v>478.75</v>
      </c>
      <c r="I61" t="s">
        <v>35</v>
      </c>
      <c r="J61" t="s">
        <v>253</v>
      </c>
      <c r="K61">
        <v>3</v>
      </c>
      <c r="L61" t="s">
        <v>21</v>
      </c>
      <c r="M61">
        <v>51</v>
      </c>
      <c r="N61" s="18" t="str">
        <f t="shared" si="0"/>
        <v>46-60</v>
      </c>
      <c r="O61" s="12">
        <f t="shared" si="1"/>
        <v>478.75</v>
      </c>
      <c r="P61" s="12">
        <f t="shared" si="2"/>
        <v>143.625</v>
      </c>
      <c r="X61" s="14" t="s">
        <v>465</v>
      </c>
      <c r="Y61" s="19">
        <v>372.43</v>
      </c>
    </row>
    <row r="62" spans="1:25" x14ac:dyDescent="0.3">
      <c r="A62">
        <v>87690</v>
      </c>
      <c r="B62" s="1">
        <v>45390</v>
      </c>
      <c r="C62">
        <v>775</v>
      </c>
      <c r="D62">
        <v>50</v>
      </c>
      <c r="E62" t="s">
        <v>18</v>
      </c>
      <c r="F62" t="s">
        <v>84</v>
      </c>
      <c r="G62">
        <v>5</v>
      </c>
      <c r="H62">
        <v>82.98</v>
      </c>
      <c r="I62" t="s">
        <v>35</v>
      </c>
      <c r="J62" t="s">
        <v>368</v>
      </c>
      <c r="M62">
        <v>41</v>
      </c>
      <c r="N62" s="18" t="str">
        <f t="shared" si="0"/>
        <v>31-45</v>
      </c>
      <c r="O62" s="12">
        <f t="shared" si="1"/>
        <v>414.90000000000003</v>
      </c>
      <c r="P62" s="12">
        <f t="shared" si="2"/>
        <v>124.47</v>
      </c>
      <c r="X62" s="14" t="s">
        <v>909</v>
      </c>
      <c r="Y62" s="19">
        <v>1117.83</v>
      </c>
    </row>
    <row r="63" spans="1:25" x14ac:dyDescent="0.3">
      <c r="A63">
        <v>11145</v>
      </c>
      <c r="B63" s="1">
        <v>45391</v>
      </c>
      <c r="C63">
        <v>461</v>
      </c>
      <c r="D63">
        <v>30</v>
      </c>
      <c r="E63" t="s">
        <v>37</v>
      </c>
      <c r="F63" t="s">
        <v>40</v>
      </c>
      <c r="G63">
        <v>1</v>
      </c>
      <c r="H63">
        <v>38.380000000000003</v>
      </c>
      <c r="I63" t="s">
        <v>35</v>
      </c>
      <c r="J63" t="s">
        <v>62</v>
      </c>
      <c r="K63">
        <v>5</v>
      </c>
      <c r="L63" t="s">
        <v>21</v>
      </c>
      <c r="M63">
        <v>34</v>
      </c>
      <c r="N63" s="18" t="str">
        <f t="shared" si="0"/>
        <v>31-45</v>
      </c>
      <c r="O63" s="12">
        <f t="shared" si="1"/>
        <v>38.380000000000003</v>
      </c>
      <c r="P63" s="12">
        <f t="shared" si="2"/>
        <v>11.514000000000001</v>
      </c>
      <c r="X63" s="14" t="s">
        <v>876</v>
      </c>
      <c r="Y63" s="19">
        <v>312.3</v>
      </c>
    </row>
    <row r="64" spans="1:25" x14ac:dyDescent="0.3">
      <c r="A64">
        <v>51971</v>
      </c>
      <c r="B64" s="1">
        <v>45391</v>
      </c>
      <c r="C64">
        <v>990</v>
      </c>
      <c r="D64">
        <v>50</v>
      </c>
      <c r="E64" t="s">
        <v>18</v>
      </c>
      <c r="F64" t="s">
        <v>19</v>
      </c>
      <c r="G64">
        <v>4</v>
      </c>
      <c r="H64">
        <v>115.36</v>
      </c>
      <c r="I64" t="s">
        <v>26</v>
      </c>
      <c r="J64" t="s">
        <v>571</v>
      </c>
      <c r="L64" t="s">
        <v>17</v>
      </c>
      <c r="M64">
        <v>41</v>
      </c>
      <c r="N64" s="18" t="str">
        <f t="shared" si="0"/>
        <v>31-45</v>
      </c>
      <c r="O64" s="12">
        <f t="shared" si="1"/>
        <v>461.44</v>
      </c>
      <c r="P64" s="12">
        <f t="shared" si="2"/>
        <v>138.43199999999999</v>
      </c>
      <c r="X64" s="14" t="s">
        <v>520</v>
      </c>
      <c r="Y64" s="19">
        <v>2603.16</v>
      </c>
    </row>
    <row r="65" spans="1:25" x14ac:dyDescent="0.3">
      <c r="A65">
        <v>57960</v>
      </c>
      <c r="B65" s="1">
        <v>45391</v>
      </c>
      <c r="C65">
        <v>951</v>
      </c>
      <c r="D65">
        <v>40</v>
      </c>
      <c r="E65" t="s">
        <v>24</v>
      </c>
      <c r="F65" t="s">
        <v>49</v>
      </c>
      <c r="G65">
        <v>1</v>
      </c>
      <c r="H65">
        <v>220.22</v>
      </c>
      <c r="I65" t="s">
        <v>26</v>
      </c>
      <c r="J65" t="s">
        <v>665</v>
      </c>
      <c r="K65">
        <v>3</v>
      </c>
      <c r="L65" t="s">
        <v>21</v>
      </c>
      <c r="M65">
        <v>29</v>
      </c>
      <c r="N65" s="18" t="str">
        <f t="shared" si="0"/>
        <v>18-30</v>
      </c>
      <c r="O65" s="12">
        <f t="shared" si="1"/>
        <v>220.22</v>
      </c>
      <c r="P65" s="12">
        <f t="shared" si="2"/>
        <v>66.066000000000003</v>
      </c>
      <c r="X65" s="14" t="s">
        <v>631</v>
      </c>
      <c r="Y65" s="19">
        <v>407.88</v>
      </c>
    </row>
    <row r="66" spans="1:25" x14ac:dyDescent="0.3">
      <c r="A66">
        <v>16539</v>
      </c>
      <c r="B66" s="1">
        <v>45392</v>
      </c>
      <c r="C66">
        <v>334</v>
      </c>
      <c r="D66">
        <v>50</v>
      </c>
      <c r="E66" t="s">
        <v>18</v>
      </c>
      <c r="F66" t="s">
        <v>19</v>
      </c>
      <c r="G66">
        <v>3</v>
      </c>
      <c r="H66">
        <v>474.32</v>
      </c>
      <c r="I66" t="s">
        <v>15</v>
      </c>
      <c r="J66" t="s">
        <v>175</v>
      </c>
      <c r="K66">
        <v>5</v>
      </c>
      <c r="L66" t="s">
        <v>21</v>
      </c>
      <c r="M66">
        <v>21</v>
      </c>
      <c r="N66" s="18" t="str">
        <f t="shared" si="0"/>
        <v>18-30</v>
      </c>
      <c r="O66" s="12">
        <f t="shared" si="1"/>
        <v>1422.96</v>
      </c>
      <c r="P66" s="12">
        <f t="shared" si="2"/>
        <v>426.88799999999998</v>
      </c>
      <c r="X66" s="14" t="s">
        <v>326</v>
      </c>
      <c r="Y66" s="19">
        <v>461.84999999999997</v>
      </c>
    </row>
    <row r="67" spans="1:25" x14ac:dyDescent="0.3">
      <c r="A67">
        <v>26583</v>
      </c>
      <c r="B67" s="1">
        <v>45392</v>
      </c>
      <c r="C67">
        <v>217</v>
      </c>
      <c r="D67">
        <v>20</v>
      </c>
      <c r="E67" t="s">
        <v>28</v>
      </c>
      <c r="F67" t="s">
        <v>72</v>
      </c>
      <c r="G67">
        <v>4</v>
      </c>
      <c r="H67">
        <v>43.23</v>
      </c>
      <c r="I67" t="s">
        <v>35</v>
      </c>
      <c r="J67" t="s">
        <v>925</v>
      </c>
      <c r="K67">
        <v>5</v>
      </c>
      <c r="L67" t="s">
        <v>21</v>
      </c>
      <c r="M67">
        <v>60</v>
      </c>
      <c r="N67" s="18" t="str">
        <f t="shared" ref="N67:N130" si="3">IF(M67&lt;=30,"18-30",IF(M67&lt;=45,"31-45",IF(M67&lt;=60,"46-60","60+")))</f>
        <v>46-60</v>
      </c>
      <c r="O67" s="12">
        <f t="shared" ref="O67:O130" si="4">H67*G67</f>
        <v>172.92</v>
      </c>
      <c r="P67" s="12">
        <f t="shared" ref="P67:P130" si="5">O67*0.3</f>
        <v>51.875999999999998</v>
      </c>
      <c r="X67" s="14" t="s">
        <v>706</v>
      </c>
      <c r="Y67" s="19">
        <v>797.31</v>
      </c>
    </row>
    <row r="68" spans="1:25" x14ac:dyDescent="0.3">
      <c r="A68">
        <v>48690</v>
      </c>
      <c r="B68" s="1">
        <v>45393</v>
      </c>
      <c r="C68">
        <v>161</v>
      </c>
      <c r="D68">
        <v>20</v>
      </c>
      <c r="E68" t="s">
        <v>28</v>
      </c>
      <c r="F68" t="s">
        <v>51</v>
      </c>
      <c r="G68">
        <v>3</v>
      </c>
      <c r="H68">
        <v>139.94999999999999</v>
      </c>
      <c r="I68" t="s">
        <v>26</v>
      </c>
      <c r="J68" t="s">
        <v>94</v>
      </c>
      <c r="K68">
        <v>5</v>
      </c>
      <c r="L68" t="s">
        <v>17</v>
      </c>
      <c r="M68">
        <v>18</v>
      </c>
      <c r="N68" s="18" t="str">
        <f t="shared" si="3"/>
        <v>18-30</v>
      </c>
      <c r="O68" s="12">
        <f t="shared" si="4"/>
        <v>419.84999999999997</v>
      </c>
      <c r="P68" s="12">
        <f t="shared" si="5"/>
        <v>125.95499999999998</v>
      </c>
      <c r="X68" s="14" t="s">
        <v>858</v>
      </c>
      <c r="Y68" s="19">
        <v>672.68</v>
      </c>
    </row>
    <row r="69" spans="1:25" x14ac:dyDescent="0.3">
      <c r="A69">
        <v>52835</v>
      </c>
      <c r="B69" s="1">
        <v>45393</v>
      </c>
      <c r="C69">
        <v>159</v>
      </c>
      <c r="D69">
        <v>40</v>
      </c>
      <c r="E69" t="s">
        <v>24</v>
      </c>
      <c r="F69" t="s">
        <v>65</v>
      </c>
      <c r="G69">
        <v>2</v>
      </c>
      <c r="H69">
        <v>381.5</v>
      </c>
      <c r="I69" t="s">
        <v>35</v>
      </c>
      <c r="J69" t="s">
        <v>160</v>
      </c>
      <c r="K69">
        <v>4</v>
      </c>
      <c r="L69" t="s">
        <v>17</v>
      </c>
      <c r="M69">
        <v>31</v>
      </c>
      <c r="N69" s="18" t="str">
        <f t="shared" si="3"/>
        <v>31-45</v>
      </c>
      <c r="O69" s="12">
        <f t="shared" si="4"/>
        <v>763</v>
      </c>
      <c r="P69" s="12">
        <f t="shared" si="5"/>
        <v>228.9</v>
      </c>
      <c r="X69" s="14" t="s">
        <v>536</v>
      </c>
      <c r="Y69" s="19">
        <v>442.68</v>
      </c>
    </row>
    <row r="70" spans="1:25" x14ac:dyDescent="0.3">
      <c r="A70">
        <v>62699</v>
      </c>
      <c r="B70" s="1">
        <v>45393</v>
      </c>
      <c r="C70">
        <v>722</v>
      </c>
      <c r="D70">
        <v>10</v>
      </c>
      <c r="E70" t="s">
        <v>13</v>
      </c>
      <c r="F70" t="s">
        <v>47</v>
      </c>
      <c r="G70">
        <v>4</v>
      </c>
      <c r="H70">
        <v>19.28</v>
      </c>
      <c r="I70" t="s">
        <v>26</v>
      </c>
      <c r="J70" t="s">
        <v>375</v>
      </c>
      <c r="K70">
        <v>4</v>
      </c>
      <c r="L70" t="s">
        <v>21</v>
      </c>
      <c r="M70">
        <v>36</v>
      </c>
      <c r="N70" s="18" t="str">
        <f t="shared" si="3"/>
        <v>31-45</v>
      </c>
      <c r="O70" s="12">
        <f t="shared" si="4"/>
        <v>77.12</v>
      </c>
      <c r="P70" s="12">
        <f t="shared" si="5"/>
        <v>23.135999999999999</v>
      </c>
      <c r="X70" s="14" t="s">
        <v>642</v>
      </c>
      <c r="Y70" s="19">
        <v>70.349999999999994</v>
      </c>
    </row>
    <row r="71" spans="1:25" x14ac:dyDescent="0.3">
      <c r="A71">
        <v>52134</v>
      </c>
      <c r="B71" s="1">
        <v>45393</v>
      </c>
      <c r="C71">
        <v>592</v>
      </c>
      <c r="D71">
        <v>50</v>
      </c>
      <c r="E71" t="s">
        <v>18</v>
      </c>
      <c r="F71" t="s">
        <v>87</v>
      </c>
      <c r="G71">
        <v>1</v>
      </c>
      <c r="H71">
        <v>340.27</v>
      </c>
      <c r="I71" t="s">
        <v>26</v>
      </c>
      <c r="J71" t="s">
        <v>797</v>
      </c>
      <c r="K71">
        <v>1</v>
      </c>
      <c r="L71" t="s">
        <v>21</v>
      </c>
      <c r="M71">
        <v>65</v>
      </c>
      <c r="N71" s="18" t="str">
        <f t="shared" si="3"/>
        <v>60+</v>
      </c>
      <c r="O71" s="12">
        <f t="shared" si="4"/>
        <v>340.27</v>
      </c>
      <c r="P71" s="12">
        <f t="shared" si="5"/>
        <v>102.08099999999999</v>
      </c>
      <c r="X71" s="14" t="s">
        <v>697</v>
      </c>
      <c r="Y71" s="19">
        <v>1288.6500000000001</v>
      </c>
    </row>
    <row r="72" spans="1:25" x14ac:dyDescent="0.3">
      <c r="A72">
        <v>54710</v>
      </c>
      <c r="B72" s="1">
        <v>45393</v>
      </c>
      <c r="C72">
        <v>343</v>
      </c>
      <c r="D72">
        <v>10</v>
      </c>
      <c r="E72" t="s">
        <v>13</v>
      </c>
      <c r="F72" t="s">
        <v>42</v>
      </c>
      <c r="G72">
        <v>5</v>
      </c>
      <c r="H72">
        <v>240.37</v>
      </c>
      <c r="I72" t="s">
        <v>15</v>
      </c>
      <c r="J72" t="s">
        <v>855</v>
      </c>
      <c r="K72">
        <v>5</v>
      </c>
      <c r="L72" t="s">
        <v>21</v>
      </c>
      <c r="M72">
        <v>27</v>
      </c>
      <c r="N72" s="18" t="str">
        <f t="shared" si="3"/>
        <v>18-30</v>
      </c>
      <c r="O72" s="12">
        <f t="shared" si="4"/>
        <v>1201.8499999999999</v>
      </c>
      <c r="P72" s="12">
        <f t="shared" si="5"/>
        <v>360.55499999999995</v>
      </c>
      <c r="X72" s="14" t="s">
        <v>450</v>
      </c>
      <c r="Y72" s="19">
        <v>520.25</v>
      </c>
    </row>
    <row r="73" spans="1:25" x14ac:dyDescent="0.3">
      <c r="A73">
        <v>48695</v>
      </c>
      <c r="B73" s="1">
        <v>45394</v>
      </c>
      <c r="C73">
        <v>545</v>
      </c>
      <c r="D73">
        <v>30</v>
      </c>
      <c r="E73" t="s">
        <v>37</v>
      </c>
      <c r="F73" t="s">
        <v>40</v>
      </c>
      <c r="G73">
        <v>4</v>
      </c>
      <c r="H73">
        <v>191.39</v>
      </c>
      <c r="I73" t="s">
        <v>15</v>
      </c>
      <c r="J73" t="s">
        <v>41</v>
      </c>
      <c r="K73">
        <v>5</v>
      </c>
      <c r="L73" t="s">
        <v>17</v>
      </c>
      <c r="M73">
        <v>34</v>
      </c>
      <c r="N73" s="18" t="str">
        <f t="shared" si="3"/>
        <v>31-45</v>
      </c>
      <c r="O73" s="12">
        <f t="shared" si="4"/>
        <v>765.56</v>
      </c>
      <c r="P73" s="12">
        <f t="shared" si="5"/>
        <v>229.66799999999998</v>
      </c>
      <c r="X73" s="14" t="s">
        <v>451</v>
      </c>
      <c r="Y73" s="19">
        <v>964</v>
      </c>
    </row>
    <row r="74" spans="1:25" x14ac:dyDescent="0.3">
      <c r="A74">
        <v>67405</v>
      </c>
      <c r="B74" s="1">
        <v>45395</v>
      </c>
      <c r="C74">
        <v>183</v>
      </c>
      <c r="D74">
        <v>20</v>
      </c>
      <c r="E74" t="s">
        <v>28</v>
      </c>
      <c r="F74" t="s">
        <v>79</v>
      </c>
      <c r="G74">
        <v>2</v>
      </c>
      <c r="H74">
        <v>85.31</v>
      </c>
      <c r="I74" t="s">
        <v>26</v>
      </c>
      <c r="J74" t="s">
        <v>726</v>
      </c>
      <c r="K74">
        <v>4</v>
      </c>
      <c r="L74" t="s">
        <v>17</v>
      </c>
      <c r="M74">
        <v>43</v>
      </c>
      <c r="N74" s="18" t="str">
        <f t="shared" si="3"/>
        <v>31-45</v>
      </c>
      <c r="O74" s="12">
        <f t="shared" si="4"/>
        <v>170.62</v>
      </c>
      <c r="P74" s="12">
        <f t="shared" si="5"/>
        <v>51.186</v>
      </c>
      <c r="X74" s="14" t="s">
        <v>537</v>
      </c>
      <c r="Y74" s="19">
        <v>394.06</v>
      </c>
    </row>
    <row r="75" spans="1:25" x14ac:dyDescent="0.3">
      <c r="A75">
        <v>23743</v>
      </c>
      <c r="B75" s="1">
        <v>45396</v>
      </c>
      <c r="C75">
        <v>388</v>
      </c>
      <c r="D75">
        <v>40</v>
      </c>
      <c r="E75" t="s">
        <v>24</v>
      </c>
      <c r="F75" t="s">
        <v>49</v>
      </c>
      <c r="G75">
        <v>4</v>
      </c>
      <c r="H75">
        <v>235.81</v>
      </c>
      <c r="I75" t="s">
        <v>35</v>
      </c>
      <c r="J75" t="s">
        <v>442</v>
      </c>
      <c r="K75">
        <v>5</v>
      </c>
      <c r="L75" t="s">
        <v>21</v>
      </c>
      <c r="M75">
        <v>43</v>
      </c>
      <c r="N75" s="18" t="str">
        <f t="shared" si="3"/>
        <v>31-45</v>
      </c>
      <c r="O75" s="12">
        <f t="shared" si="4"/>
        <v>943.24</v>
      </c>
      <c r="P75" s="12">
        <f t="shared" si="5"/>
        <v>282.97199999999998</v>
      </c>
      <c r="X75" s="14" t="s">
        <v>365</v>
      </c>
      <c r="Y75" s="19">
        <v>204.66</v>
      </c>
    </row>
    <row r="76" spans="1:25" x14ac:dyDescent="0.3">
      <c r="A76">
        <v>61935</v>
      </c>
      <c r="B76" s="1">
        <v>45396</v>
      </c>
      <c r="C76">
        <v>484</v>
      </c>
      <c r="D76">
        <v>30</v>
      </c>
      <c r="E76" t="s">
        <v>37</v>
      </c>
      <c r="F76" t="s">
        <v>68</v>
      </c>
      <c r="G76">
        <v>3</v>
      </c>
      <c r="H76">
        <v>393.51</v>
      </c>
      <c r="I76" t="s">
        <v>26</v>
      </c>
      <c r="J76" t="s">
        <v>471</v>
      </c>
      <c r="K76">
        <v>2</v>
      </c>
      <c r="L76" t="s">
        <v>21</v>
      </c>
      <c r="M76">
        <v>68</v>
      </c>
      <c r="N76" s="18" t="str">
        <f t="shared" si="3"/>
        <v>60+</v>
      </c>
      <c r="O76" s="12">
        <f t="shared" si="4"/>
        <v>1180.53</v>
      </c>
      <c r="P76" s="12">
        <f t="shared" si="5"/>
        <v>354.15899999999999</v>
      </c>
      <c r="X76" s="14" t="s">
        <v>357</v>
      </c>
      <c r="Y76" s="19">
        <v>152.19999999999999</v>
      </c>
    </row>
    <row r="77" spans="1:25" x14ac:dyDescent="0.3">
      <c r="A77">
        <v>11455</v>
      </c>
      <c r="B77" s="1">
        <v>45396</v>
      </c>
      <c r="C77">
        <v>374</v>
      </c>
      <c r="D77">
        <v>50</v>
      </c>
      <c r="E77" t="s">
        <v>18</v>
      </c>
      <c r="F77" t="s">
        <v>34</v>
      </c>
      <c r="G77">
        <v>2</v>
      </c>
      <c r="H77">
        <v>101.7</v>
      </c>
      <c r="I77" t="s">
        <v>26</v>
      </c>
      <c r="J77" t="s">
        <v>816</v>
      </c>
      <c r="K77">
        <v>1</v>
      </c>
      <c r="L77" t="s">
        <v>17</v>
      </c>
      <c r="M77">
        <v>48</v>
      </c>
      <c r="N77" s="18" t="str">
        <f t="shared" si="3"/>
        <v>46-60</v>
      </c>
      <c r="O77" s="12">
        <f t="shared" si="4"/>
        <v>203.4</v>
      </c>
      <c r="P77" s="12">
        <f t="shared" si="5"/>
        <v>61.019999999999996</v>
      </c>
      <c r="X77" s="14" t="s">
        <v>603</v>
      </c>
      <c r="Y77" s="19">
        <v>686.55</v>
      </c>
    </row>
    <row r="78" spans="1:25" x14ac:dyDescent="0.3">
      <c r="A78">
        <v>52736</v>
      </c>
      <c r="B78" s="1">
        <v>45397</v>
      </c>
      <c r="C78">
        <v>175</v>
      </c>
      <c r="D78">
        <v>20</v>
      </c>
      <c r="E78" t="s">
        <v>28</v>
      </c>
      <c r="F78" t="s">
        <v>51</v>
      </c>
      <c r="G78">
        <v>2</v>
      </c>
      <c r="H78">
        <v>167.59</v>
      </c>
      <c r="I78" t="s">
        <v>26</v>
      </c>
      <c r="J78" t="s">
        <v>436</v>
      </c>
      <c r="K78">
        <v>3</v>
      </c>
      <c r="L78" t="s">
        <v>17</v>
      </c>
      <c r="M78">
        <v>49</v>
      </c>
      <c r="N78" s="18" t="str">
        <f t="shared" si="3"/>
        <v>46-60</v>
      </c>
      <c r="O78" s="12">
        <f t="shared" si="4"/>
        <v>335.18</v>
      </c>
      <c r="P78" s="12">
        <f t="shared" si="5"/>
        <v>100.554</v>
      </c>
      <c r="X78" s="14" t="s">
        <v>191</v>
      </c>
      <c r="Y78" s="19">
        <v>315.08999999999997</v>
      </c>
    </row>
    <row r="79" spans="1:25" x14ac:dyDescent="0.3">
      <c r="A79">
        <v>81790</v>
      </c>
      <c r="B79" s="1">
        <v>45397</v>
      </c>
      <c r="C79">
        <v>854</v>
      </c>
      <c r="D79">
        <v>10</v>
      </c>
      <c r="E79" t="s">
        <v>13</v>
      </c>
      <c r="F79" t="s">
        <v>14</v>
      </c>
      <c r="G79">
        <v>5</v>
      </c>
      <c r="H79">
        <v>372.39</v>
      </c>
      <c r="I79" t="s">
        <v>15</v>
      </c>
      <c r="J79" t="s">
        <v>907</v>
      </c>
      <c r="K79">
        <v>5</v>
      </c>
      <c r="M79">
        <v>74</v>
      </c>
      <c r="N79" s="18" t="str">
        <f t="shared" si="3"/>
        <v>60+</v>
      </c>
      <c r="O79" s="12">
        <f t="shared" si="4"/>
        <v>1861.9499999999998</v>
      </c>
      <c r="P79" s="12">
        <f t="shared" si="5"/>
        <v>558.58499999999992</v>
      </c>
      <c r="X79" s="14" t="s">
        <v>964</v>
      </c>
      <c r="Y79" s="19">
        <v>1619.5</v>
      </c>
    </row>
    <row r="80" spans="1:25" x14ac:dyDescent="0.3">
      <c r="A80">
        <v>36759</v>
      </c>
      <c r="B80" s="1">
        <v>45398</v>
      </c>
      <c r="C80">
        <v>952</v>
      </c>
      <c r="D80">
        <v>40</v>
      </c>
      <c r="E80" t="s">
        <v>24</v>
      </c>
      <c r="F80" t="s">
        <v>63</v>
      </c>
      <c r="G80">
        <v>5</v>
      </c>
      <c r="H80">
        <v>155.25</v>
      </c>
      <c r="I80" t="s">
        <v>35</v>
      </c>
      <c r="J80" t="s">
        <v>735</v>
      </c>
      <c r="L80" t="s">
        <v>17</v>
      </c>
      <c r="M80">
        <v>43</v>
      </c>
      <c r="N80" s="18" t="str">
        <f t="shared" si="3"/>
        <v>31-45</v>
      </c>
      <c r="O80" s="12">
        <f t="shared" si="4"/>
        <v>776.25</v>
      </c>
      <c r="P80" s="12">
        <f t="shared" si="5"/>
        <v>232.875</v>
      </c>
      <c r="X80" s="14" t="s">
        <v>271</v>
      </c>
      <c r="Y80" s="19">
        <v>1168.48</v>
      </c>
    </row>
    <row r="81" spans="1:25" x14ac:dyDescent="0.3">
      <c r="A81">
        <v>41166</v>
      </c>
      <c r="B81" s="1">
        <v>45399</v>
      </c>
      <c r="C81">
        <v>783</v>
      </c>
      <c r="D81">
        <v>50</v>
      </c>
      <c r="E81" t="s">
        <v>18</v>
      </c>
      <c r="F81" t="s">
        <v>34</v>
      </c>
      <c r="G81">
        <v>5</v>
      </c>
      <c r="H81">
        <v>51.74</v>
      </c>
      <c r="I81" t="s">
        <v>15</v>
      </c>
      <c r="J81" t="s">
        <v>172</v>
      </c>
      <c r="L81" t="s">
        <v>17</v>
      </c>
      <c r="M81">
        <v>61</v>
      </c>
      <c r="N81" s="18" t="str">
        <f t="shared" si="3"/>
        <v>60+</v>
      </c>
      <c r="O81" s="12">
        <f t="shared" si="4"/>
        <v>258.7</v>
      </c>
      <c r="P81" s="12">
        <f t="shared" si="5"/>
        <v>77.61</v>
      </c>
      <c r="X81" s="14" t="s">
        <v>792</v>
      </c>
      <c r="Y81" s="19">
        <v>463.67</v>
      </c>
    </row>
    <row r="82" spans="1:25" x14ac:dyDescent="0.3">
      <c r="A82">
        <v>21004</v>
      </c>
      <c r="B82" s="1">
        <v>45399</v>
      </c>
      <c r="C82">
        <v>843</v>
      </c>
      <c r="D82">
        <v>30</v>
      </c>
      <c r="E82" t="s">
        <v>37</v>
      </c>
      <c r="F82" t="s">
        <v>38</v>
      </c>
      <c r="G82">
        <v>5</v>
      </c>
      <c r="H82">
        <v>171.55</v>
      </c>
      <c r="I82" t="s">
        <v>35</v>
      </c>
      <c r="J82" t="s">
        <v>289</v>
      </c>
      <c r="K82">
        <v>5</v>
      </c>
      <c r="L82" t="s">
        <v>21</v>
      </c>
      <c r="M82">
        <v>30</v>
      </c>
      <c r="N82" s="18" t="str">
        <f t="shared" si="3"/>
        <v>18-30</v>
      </c>
      <c r="O82" s="12">
        <f t="shared" si="4"/>
        <v>857.75</v>
      </c>
      <c r="P82" s="12">
        <f t="shared" si="5"/>
        <v>257.32499999999999</v>
      </c>
      <c r="X82" s="14" t="s">
        <v>948</v>
      </c>
      <c r="Y82" s="19">
        <v>58.650000000000006</v>
      </c>
    </row>
    <row r="83" spans="1:25" x14ac:dyDescent="0.3">
      <c r="A83">
        <v>29895</v>
      </c>
      <c r="B83" s="1">
        <v>45399</v>
      </c>
      <c r="C83">
        <v>150</v>
      </c>
      <c r="D83">
        <v>40</v>
      </c>
      <c r="E83" t="s">
        <v>24</v>
      </c>
      <c r="F83" t="s">
        <v>65</v>
      </c>
      <c r="G83">
        <v>3</v>
      </c>
      <c r="H83">
        <v>211.29</v>
      </c>
      <c r="I83" t="s">
        <v>26</v>
      </c>
      <c r="J83" t="s">
        <v>342</v>
      </c>
      <c r="K83">
        <v>5</v>
      </c>
      <c r="L83" t="s">
        <v>21</v>
      </c>
      <c r="M83">
        <v>47</v>
      </c>
      <c r="N83" s="18" t="str">
        <f t="shared" si="3"/>
        <v>46-60</v>
      </c>
      <c r="O83" s="12">
        <f t="shared" si="4"/>
        <v>633.87</v>
      </c>
      <c r="P83" s="12">
        <f t="shared" si="5"/>
        <v>190.161</v>
      </c>
      <c r="X83" s="14" t="s">
        <v>677</v>
      </c>
      <c r="Y83" s="19">
        <v>142.29</v>
      </c>
    </row>
    <row r="84" spans="1:25" x14ac:dyDescent="0.3">
      <c r="A84">
        <v>90910</v>
      </c>
      <c r="B84" s="1">
        <v>45399</v>
      </c>
      <c r="C84">
        <v>280</v>
      </c>
      <c r="D84">
        <v>20</v>
      </c>
      <c r="E84" t="s">
        <v>28</v>
      </c>
      <c r="F84" t="s">
        <v>29</v>
      </c>
      <c r="G84">
        <v>3</v>
      </c>
      <c r="H84">
        <v>300.18</v>
      </c>
      <c r="I84" t="s">
        <v>26</v>
      </c>
      <c r="J84" t="s">
        <v>495</v>
      </c>
      <c r="L84" t="s">
        <v>21</v>
      </c>
      <c r="M84">
        <v>24</v>
      </c>
      <c r="N84" s="18" t="str">
        <f t="shared" si="3"/>
        <v>18-30</v>
      </c>
      <c r="O84" s="12">
        <f t="shared" si="4"/>
        <v>900.54</v>
      </c>
      <c r="P84" s="12">
        <f t="shared" si="5"/>
        <v>270.16199999999998</v>
      </c>
      <c r="X84" s="14" t="s">
        <v>881</v>
      </c>
      <c r="Y84" s="19">
        <v>1826.6499999999999</v>
      </c>
    </row>
    <row r="85" spans="1:25" x14ac:dyDescent="0.3">
      <c r="A85">
        <v>58481</v>
      </c>
      <c r="B85" s="1">
        <v>45400</v>
      </c>
      <c r="C85">
        <v>128</v>
      </c>
      <c r="D85">
        <v>50</v>
      </c>
      <c r="E85" t="s">
        <v>18</v>
      </c>
      <c r="F85" t="s">
        <v>34</v>
      </c>
      <c r="G85">
        <v>4</v>
      </c>
      <c r="H85">
        <v>99.56</v>
      </c>
      <c r="I85" t="s">
        <v>35</v>
      </c>
      <c r="J85" t="s">
        <v>808</v>
      </c>
      <c r="K85">
        <v>5</v>
      </c>
      <c r="M85">
        <v>57</v>
      </c>
      <c r="N85" s="18" t="str">
        <f t="shared" si="3"/>
        <v>46-60</v>
      </c>
      <c r="O85" s="12">
        <f t="shared" si="4"/>
        <v>398.24</v>
      </c>
      <c r="P85" s="12">
        <f t="shared" si="5"/>
        <v>119.47199999999999</v>
      </c>
      <c r="X85" s="14" t="s">
        <v>778</v>
      </c>
      <c r="Y85" s="19">
        <v>1064.52</v>
      </c>
    </row>
    <row r="86" spans="1:25" x14ac:dyDescent="0.3">
      <c r="A86">
        <v>22360</v>
      </c>
      <c r="B86" s="1">
        <v>45401</v>
      </c>
      <c r="C86">
        <v>766</v>
      </c>
      <c r="D86">
        <v>10</v>
      </c>
      <c r="E86" t="s">
        <v>13</v>
      </c>
      <c r="F86" t="s">
        <v>47</v>
      </c>
      <c r="G86">
        <v>3</v>
      </c>
      <c r="H86">
        <v>192.92</v>
      </c>
      <c r="I86" t="s">
        <v>15</v>
      </c>
      <c r="J86" t="s">
        <v>501</v>
      </c>
      <c r="K86">
        <v>4</v>
      </c>
      <c r="L86" t="s">
        <v>21</v>
      </c>
      <c r="M86">
        <v>68</v>
      </c>
      <c r="N86" s="18" t="str">
        <f t="shared" si="3"/>
        <v>60+</v>
      </c>
      <c r="O86" s="12">
        <f t="shared" si="4"/>
        <v>578.76</v>
      </c>
      <c r="P86" s="12">
        <f t="shared" si="5"/>
        <v>173.62799999999999</v>
      </c>
      <c r="X86" s="14" t="s">
        <v>526</v>
      </c>
      <c r="Y86" s="19">
        <v>1678.0500000000002</v>
      </c>
    </row>
    <row r="87" spans="1:25" x14ac:dyDescent="0.3">
      <c r="A87">
        <v>60294</v>
      </c>
      <c r="B87" s="1">
        <v>45401</v>
      </c>
      <c r="C87">
        <v>486</v>
      </c>
      <c r="D87">
        <v>30</v>
      </c>
      <c r="E87" t="s">
        <v>37</v>
      </c>
      <c r="F87" t="s">
        <v>40</v>
      </c>
      <c r="G87">
        <v>4</v>
      </c>
      <c r="H87">
        <v>150.77000000000001</v>
      </c>
      <c r="I87" t="s">
        <v>26</v>
      </c>
      <c r="J87" t="s">
        <v>806</v>
      </c>
      <c r="K87">
        <v>5</v>
      </c>
      <c r="L87" t="s">
        <v>17</v>
      </c>
      <c r="M87">
        <v>26</v>
      </c>
      <c r="N87" s="18" t="str">
        <f t="shared" si="3"/>
        <v>18-30</v>
      </c>
      <c r="O87" s="12">
        <f t="shared" si="4"/>
        <v>603.08000000000004</v>
      </c>
      <c r="P87" s="12">
        <f t="shared" si="5"/>
        <v>180.92400000000001</v>
      </c>
      <c r="X87" s="14" t="s">
        <v>634</v>
      </c>
      <c r="Y87" s="19">
        <v>628.96</v>
      </c>
    </row>
    <row r="88" spans="1:25" x14ac:dyDescent="0.3">
      <c r="A88">
        <v>72324</v>
      </c>
      <c r="B88" s="1">
        <v>45401</v>
      </c>
      <c r="C88">
        <v>735</v>
      </c>
      <c r="D88">
        <v>40</v>
      </c>
      <c r="E88" t="s">
        <v>24</v>
      </c>
      <c r="F88" t="s">
        <v>49</v>
      </c>
      <c r="G88">
        <v>1</v>
      </c>
      <c r="H88">
        <v>267.64999999999998</v>
      </c>
      <c r="I88" t="s">
        <v>35</v>
      </c>
      <c r="J88" t="s">
        <v>877</v>
      </c>
      <c r="K88">
        <v>4</v>
      </c>
      <c r="L88" t="s">
        <v>21</v>
      </c>
      <c r="M88">
        <v>64</v>
      </c>
      <c r="N88" s="18" t="str">
        <f t="shared" si="3"/>
        <v>60+</v>
      </c>
      <c r="O88" s="12">
        <f t="shared" si="4"/>
        <v>267.64999999999998</v>
      </c>
      <c r="P88" s="12">
        <f t="shared" si="5"/>
        <v>80.294999999999987</v>
      </c>
      <c r="X88" s="14" t="s">
        <v>174</v>
      </c>
      <c r="Y88" s="19">
        <v>1725.92</v>
      </c>
    </row>
    <row r="89" spans="1:25" x14ac:dyDescent="0.3">
      <c r="A89">
        <v>87478</v>
      </c>
      <c r="B89" s="1">
        <v>45401</v>
      </c>
      <c r="C89">
        <v>788</v>
      </c>
      <c r="D89">
        <v>30</v>
      </c>
      <c r="E89" t="s">
        <v>37</v>
      </c>
      <c r="F89" t="s">
        <v>68</v>
      </c>
      <c r="G89">
        <v>1</v>
      </c>
      <c r="H89">
        <v>22.21</v>
      </c>
      <c r="I89" t="s">
        <v>26</v>
      </c>
      <c r="J89" t="s">
        <v>942</v>
      </c>
      <c r="K89">
        <v>4</v>
      </c>
      <c r="L89" t="s">
        <v>17</v>
      </c>
      <c r="M89">
        <v>50</v>
      </c>
      <c r="N89" s="18" t="str">
        <f t="shared" si="3"/>
        <v>46-60</v>
      </c>
      <c r="O89" s="12">
        <f t="shared" si="4"/>
        <v>22.21</v>
      </c>
      <c r="P89" s="12">
        <f t="shared" si="5"/>
        <v>6.6630000000000003</v>
      </c>
      <c r="X89" s="14" t="s">
        <v>704</v>
      </c>
      <c r="Y89" s="19">
        <v>853.41000000000008</v>
      </c>
    </row>
    <row r="90" spans="1:25" x14ac:dyDescent="0.3">
      <c r="A90">
        <v>89789</v>
      </c>
      <c r="B90" s="1">
        <v>45401</v>
      </c>
      <c r="C90">
        <v>953</v>
      </c>
      <c r="D90">
        <v>30</v>
      </c>
      <c r="E90" t="s">
        <v>37</v>
      </c>
      <c r="F90" t="s">
        <v>95</v>
      </c>
      <c r="G90">
        <v>4</v>
      </c>
      <c r="H90">
        <v>204.06</v>
      </c>
      <c r="I90" t="s">
        <v>35</v>
      </c>
      <c r="J90" t="s">
        <v>966</v>
      </c>
      <c r="K90">
        <v>5</v>
      </c>
      <c r="L90" t="s">
        <v>21</v>
      </c>
      <c r="M90">
        <v>71</v>
      </c>
      <c r="N90" s="18" t="str">
        <f t="shared" si="3"/>
        <v>60+</v>
      </c>
      <c r="O90" s="12">
        <f t="shared" si="4"/>
        <v>816.24</v>
      </c>
      <c r="P90" s="12">
        <f t="shared" si="5"/>
        <v>244.87199999999999</v>
      </c>
      <c r="X90" s="14" t="s">
        <v>525</v>
      </c>
      <c r="Y90" s="19">
        <v>87.9</v>
      </c>
    </row>
    <row r="91" spans="1:25" x14ac:dyDescent="0.3">
      <c r="A91">
        <v>32363</v>
      </c>
      <c r="B91" s="1">
        <v>45401</v>
      </c>
      <c r="C91">
        <v>157</v>
      </c>
      <c r="D91">
        <v>50</v>
      </c>
      <c r="E91" t="s">
        <v>18</v>
      </c>
      <c r="F91" t="s">
        <v>22</v>
      </c>
      <c r="G91">
        <v>1</v>
      </c>
      <c r="H91">
        <v>60.16</v>
      </c>
      <c r="I91" t="s">
        <v>35</v>
      </c>
      <c r="J91" t="s">
        <v>984</v>
      </c>
      <c r="K91">
        <v>3</v>
      </c>
      <c r="L91" t="s">
        <v>21</v>
      </c>
      <c r="M91">
        <v>61</v>
      </c>
      <c r="N91" s="18" t="str">
        <f t="shared" si="3"/>
        <v>60+</v>
      </c>
      <c r="O91" s="12">
        <f t="shared" si="4"/>
        <v>60.16</v>
      </c>
      <c r="P91" s="12">
        <f t="shared" si="5"/>
        <v>18.047999999999998</v>
      </c>
      <c r="X91" s="14" t="s">
        <v>860</v>
      </c>
      <c r="Y91" s="19">
        <v>536.48</v>
      </c>
    </row>
    <row r="92" spans="1:25" x14ac:dyDescent="0.3">
      <c r="A92">
        <v>61065</v>
      </c>
      <c r="B92" s="1">
        <v>45402</v>
      </c>
      <c r="C92">
        <v>988</v>
      </c>
      <c r="D92">
        <v>10</v>
      </c>
      <c r="E92" t="s">
        <v>13</v>
      </c>
      <c r="F92" t="s">
        <v>47</v>
      </c>
      <c r="G92">
        <v>1</v>
      </c>
      <c r="H92">
        <v>465.66</v>
      </c>
      <c r="I92" t="s">
        <v>35</v>
      </c>
      <c r="J92" t="s">
        <v>492</v>
      </c>
      <c r="K92">
        <v>1</v>
      </c>
      <c r="L92" t="s">
        <v>21</v>
      </c>
      <c r="M92">
        <v>25</v>
      </c>
      <c r="N92" s="18" t="str">
        <f t="shared" si="3"/>
        <v>18-30</v>
      </c>
      <c r="O92" s="12">
        <f t="shared" si="4"/>
        <v>465.66</v>
      </c>
      <c r="P92" s="12">
        <f t="shared" si="5"/>
        <v>139.69800000000001</v>
      </c>
      <c r="X92" s="14" t="s">
        <v>425</v>
      </c>
      <c r="Y92" s="19">
        <v>118.31</v>
      </c>
    </row>
    <row r="93" spans="1:25" x14ac:dyDescent="0.3">
      <c r="A93">
        <v>49701</v>
      </c>
      <c r="B93" s="1">
        <v>45403</v>
      </c>
      <c r="C93">
        <v>684</v>
      </c>
      <c r="D93">
        <v>40</v>
      </c>
      <c r="E93" t="s">
        <v>24</v>
      </c>
      <c r="F93" t="s">
        <v>25</v>
      </c>
      <c r="G93">
        <v>1</v>
      </c>
      <c r="H93">
        <v>107.79</v>
      </c>
      <c r="I93" t="s">
        <v>26</v>
      </c>
      <c r="J93" t="s">
        <v>109</v>
      </c>
      <c r="K93">
        <v>3</v>
      </c>
      <c r="L93" t="s">
        <v>17</v>
      </c>
      <c r="M93">
        <v>63</v>
      </c>
      <c r="N93" s="18" t="str">
        <f t="shared" si="3"/>
        <v>60+</v>
      </c>
      <c r="O93" s="12">
        <f t="shared" si="4"/>
        <v>107.79</v>
      </c>
      <c r="P93" s="12">
        <f t="shared" si="5"/>
        <v>32.337000000000003</v>
      </c>
      <c r="X93" s="14" t="s">
        <v>146</v>
      </c>
      <c r="Y93" s="19">
        <v>242.04</v>
      </c>
    </row>
    <row r="94" spans="1:25" x14ac:dyDescent="0.3">
      <c r="A94">
        <v>49765</v>
      </c>
      <c r="B94" s="1">
        <v>45403</v>
      </c>
      <c r="C94">
        <v>389</v>
      </c>
      <c r="D94">
        <v>40</v>
      </c>
      <c r="E94" t="s">
        <v>24</v>
      </c>
      <c r="F94" t="s">
        <v>65</v>
      </c>
      <c r="G94">
        <v>3</v>
      </c>
      <c r="H94">
        <v>385.37</v>
      </c>
      <c r="I94" t="s">
        <v>15</v>
      </c>
      <c r="J94" t="s">
        <v>420</v>
      </c>
      <c r="K94">
        <v>1</v>
      </c>
      <c r="L94" t="s">
        <v>21</v>
      </c>
      <c r="M94">
        <v>35</v>
      </c>
      <c r="N94" s="18" t="str">
        <f t="shared" si="3"/>
        <v>31-45</v>
      </c>
      <c r="O94" s="12">
        <f t="shared" si="4"/>
        <v>1156.1100000000001</v>
      </c>
      <c r="P94" s="12">
        <f t="shared" si="5"/>
        <v>346.83300000000003</v>
      </c>
      <c r="X94" s="14" t="s">
        <v>437</v>
      </c>
      <c r="Y94" s="19">
        <v>414.51</v>
      </c>
    </row>
    <row r="95" spans="1:25" x14ac:dyDescent="0.3">
      <c r="A95">
        <v>13591</v>
      </c>
      <c r="B95" s="1">
        <v>45403</v>
      </c>
      <c r="C95">
        <v>884</v>
      </c>
      <c r="D95">
        <v>30</v>
      </c>
      <c r="E95" t="s">
        <v>37</v>
      </c>
      <c r="F95" t="s">
        <v>38</v>
      </c>
      <c r="G95">
        <v>1</v>
      </c>
      <c r="H95">
        <v>394.06</v>
      </c>
      <c r="I95" t="s">
        <v>15</v>
      </c>
      <c r="J95" t="s">
        <v>537</v>
      </c>
      <c r="K95">
        <v>4</v>
      </c>
      <c r="L95" t="s">
        <v>21</v>
      </c>
      <c r="M95">
        <v>18</v>
      </c>
      <c r="N95" s="18" t="str">
        <f t="shared" si="3"/>
        <v>18-30</v>
      </c>
      <c r="O95" s="12">
        <f t="shared" si="4"/>
        <v>394.06</v>
      </c>
      <c r="P95" s="12">
        <f t="shared" si="5"/>
        <v>118.21799999999999</v>
      </c>
      <c r="X95" s="14" t="s">
        <v>502</v>
      </c>
      <c r="Y95" s="19">
        <v>594.06000000000006</v>
      </c>
    </row>
    <row r="96" spans="1:25" x14ac:dyDescent="0.3">
      <c r="A96">
        <v>70242</v>
      </c>
      <c r="B96" s="1">
        <v>45403</v>
      </c>
      <c r="C96">
        <v>732</v>
      </c>
      <c r="D96">
        <v>50</v>
      </c>
      <c r="E96" t="s">
        <v>18</v>
      </c>
      <c r="F96" t="s">
        <v>84</v>
      </c>
      <c r="G96">
        <v>2</v>
      </c>
      <c r="H96">
        <v>325.89</v>
      </c>
      <c r="I96" t="s">
        <v>15</v>
      </c>
      <c r="J96" t="s">
        <v>749</v>
      </c>
      <c r="K96">
        <v>2</v>
      </c>
      <c r="L96" t="s">
        <v>21</v>
      </c>
      <c r="M96">
        <v>27</v>
      </c>
      <c r="N96" s="18" t="str">
        <f t="shared" si="3"/>
        <v>18-30</v>
      </c>
      <c r="O96" s="12">
        <f t="shared" si="4"/>
        <v>651.78</v>
      </c>
      <c r="P96" s="12">
        <f t="shared" si="5"/>
        <v>195.53399999999999</v>
      </c>
      <c r="X96" s="14" t="s">
        <v>426</v>
      </c>
      <c r="Y96" s="19">
        <v>1266.96</v>
      </c>
    </row>
    <row r="97" spans="1:25" x14ac:dyDescent="0.3">
      <c r="A97">
        <v>38808</v>
      </c>
      <c r="B97" s="1">
        <v>45403</v>
      </c>
      <c r="C97">
        <v>928</v>
      </c>
      <c r="D97">
        <v>20</v>
      </c>
      <c r="E97" t="s">
        <v>28</v>
      </c>
      <c r="F97" t="s">
        <v>79</v>
      </c>
      <c r="G97">
        <v>2</v>
      </c>
      <c r="H97">
        <v>313.67</v>
      </c>
      <c r="I97" t="s">
        <v>26</v>
      </c>
      <c r="J97" t="s">
        <v>872</v>
      </c>
      <c r="K97">
        <v>5</v>
      </c>
      <c r="L97" t="s">
        <v>21</v>
      </c>
      <c r="M97">
        <v>73</v>
      </c>
      <c r="N97" s="18" t="str">
        <f t="shared" si="3"/>
        <v>60+</v>
      </c>
      <c r="O97" s="12">
        <f t="shared" si="4"/>
        <v>627.34</v>
      </c>
      <c r="P97" s="12">
        <f t="shared" si="5"/>
        <v>188.202</v>
      </c>
      <c r="X97" s="14" t="s">
        <v>665</v>
      </c>
      <c r="Y97" s="19">
        <v>220.22</v>
      </c>
    </row>
    <row r="98" spans="1:25" x14ac:dyDescent="0.3">
      <c r="A98">
        <v>10792</v>
      </c>
      <c r="B98" s="1">
        <v>45403</v>
      </c>
      <c r="C98">
        <v>898</v>
      </c>
      <c r="D98">
        <v>50</v>
      </c>
      <c r="E98" t="s">
        <v>18</v>
      </c>
      <c r="F98" t="s">
        <v>84</v>
      </c>
      <c r="G98">
        <v>2</v>
      </c>
      <c r="H98">
        <v>31.51</v>
      </c>
      <c r="I98" t="s">
        <v>15</v>
      </c>
      <c r="J98" t="s">
        <v>946</v>
      </c>
      <c r="K98">
        <v>5</v>
      </c>
      <c r="L98" t="s">
        <v>17</v>
      </c>
      <c r="M98">
        <v>49</v>
      </c>
      <c r="N98" s="18" t="str">
        <f t="shared" si="3"/>
        <v>46-60</v>
      </c>
      <c r="O98" s="12">
        <f t="shared" si="4"/>
        <v>63.02</v>
      </c>
      <c r="P98" s="12">
        <f t="shared" si="5"/>
        <v>18.905999999999999</v>
      </c>
      <c r="X98" s="14" t="s">
        <v>798</v>
      </c>
      <c r="Y98" s="19">
        <v>1495.32</v>
      </c>
    </row>
    <row r="99" spans="1:25" x14ac:dyDescent="0.3">
      <c r="A99">
        <v>15676</v>
      </c>
      <c r="B99" s="1">
        <v>45404</v>
      </c>
      <c r="C99">
        <v>649</v>
      </c>
      <c r="D99">
        <v>40</v>
      </c>
      <c r="E99" t="s">
        <v>24</v>
      </c>
      <c r="F99" t="s">
        <v>65</v>
      </c>
      <c r="G99">
        <v>3</v>
      </c>
      <c r="H99">
        <v>355.78</v>
      </c>
      <c r="I99" t="s">
        <v>35</v>
      </c>
      <c r="J99" t="s">
        <v>102</v>
      </c>
      <c r="L99" t="s">
        <v>21</v>
      </c>
      <c r="M99">
        <v>72</v>
      </c>
      <c r="N99" s="18" t="str">
        <f t="shared" si="3"/>
        <v>60+</v>
      </c>
      <c r="O99" s="12">
        <f t="shared" si="4"/>
        <v>1067.3399999999999</v>
      </c>
      <c r="P99" s="12">
        <f t="shared" si="5"/>
        <v>320.20199999999994</v>
      </c>
      <c r="X99" s="14" t="s">
        <v>283</v>
      </c>
      <c r="Y99" s="19">
        <v>602.20000000000005</v>
      </c>
    </row>
    <row r="100" spans="1:25" x14ac:dyDescent="0.3">
      <c r="A100">
        <v>69990</v>
      </c>
      <c r="B100" s="1">
        <v>45404</v>
      </c>
      <c r="C100">
        <v>839</v>
      </c>
      <c r="D100">
        <v>20</v>
      </c>
      <c r="E100" t="s">
        <v>28</v>
      </c>
      <c r="F100" t="s">
        <v>51</v>
      </c>
      <c r="G100">
        <v>2</v>
      </c>
      <c r="H100">
        <v>265.33999999999997</v>
      </c>
      <c r="I100" t="s">
        <v>35</v>
      </c>
      <c r="J100" t="s">
        <v>469</v>
      </c>
      <c r="K100">
        <v>3</v>
      </c>
      <c r="L100" t="s">
        <v>21</v>
      </c>
      <c r="M100">
        <v>49</v>
      </c>
      <c r="N100" s="18" t="str">
        <f t="shared" si="3"/>
        <v>46-60</v>
      </c>
      <c r="O100" s="12">
        <f t="shared" si="4"/>
        <v>530.67999999999995</v>
      </c>
      <c r="P100" s="12">
        <f t="shared" si="5"/>
        <v>159.20399999999998</v>
      </c>
      <c r="X100" s="14" t="s">
        <v>727</v>
      </c>
      <c r="Y100" s="19">
        <v>751.11</v>
      </c>
    </row>
    <row r="101" spans="1:25" x14ac:dyDescent="0.3">
      <c r="A101">
        <v>35822</v>
      </c>
      <c r="B101" s="1">
        <v>45404</v>
      </c>
      <c r="C101">
        <v>748</v>
      </c>
      <c r="D101">
        <v>50</v>
      </c>
      <c r="E101" t="s">
        <v>18</v>
      </c>
      <c r="F101" t="s">
        <v>87</v>
      </c>
      <c r="G101">
        <v>1</v>
      </c>
      <c r="H101">
        <v>473.99</v>
      </c>
      <c r="I101" t="s">
        <v>26</v>
      </c>
      <c r="J101" t="s">
        <v>656</v>
      </c>
      <c r="K101">
        <v>5</v>
      </c>
      <c r="L101" t="s">
        <v>21</v>
      </c>
      <c r="M101">
        <v>57</v>
      </c>
      <c r="N101" s="18" t="str">
        <f t="shared" si="3"/>
        <v>46-60</v>
      </c>
      <c r="O101" s="12">
        <f t="shared" si="4"/>
        <v>473.99</v>
      </c>
      <c r="P101" s="12">
        <f t="shared" si="5"/>
        <v>142.197</v>
      </c>
      <c r="X101" s="14" t="s">
        <v>911</v>
      </c>
      <c r="Y101" s="19">
        <v>887.01</v>
      </c>
    </row>
    <row r="102" spans="1:25" x14ac:dyDescent="0.3">
      <c r="A102">
        <v>63919</v>
      </c>
      <c r="B102" s="1">
        <v>45405</v>
      </c>
      <c r="C102">
        <v>209</v>
      </c>
      <c r="D102">
        <v>40</v>
      </c>
      <c r="E102" t="s">
        <v>24</v>
      </c>
      <c r="F102" t="s">
        <v>49</v>
      </c>
      <c r="G102">
        <v>3</v>
      </c>
      <c r="H102">
        <v>12.89</v>
      </c>
      <c r="I102" t="s">
        <v>26</v>
      </c>
      <c r="J102" t="s">
        <v>137</v>
      </c>
      <c r="K102">
        <v>2</v>
      </c>
      <c r="L102" t="s">
        <v>21</v>
      </c>
      <c r="M102">
        <v>54</v>
      </c>
      <c r="N102" s="18" t="str">
        <f t="shared" si="3"/>
        <v>46-60</v>
      </c>
      <c r="O102" s="12">
        <f t="shared" si="4"/>
        <v>38.67</v>
      </c>
      <c r="P102" s="12">
        <f t="shared" si="5"/>
        <v>11.601000000000001</v>
      </c>
      <c r="X102" s="14" t="s">
        <v>204</v>
      </c>
      <c r="Y102" s="19">
        <v>768.36</v>
      </c>
    </row>
    <row r="103" spans="1:25" x14ac:dyDescent="0.3">
      <c r="A103">
        <v>71490</v>
      </c>
      <c r="B103" s="1">
        <v>45405</v>
      </c>
      <c r="C103">
        <v>364</v>
      </c>
      <c r="D103">
        <v>40</v>
      </c>
      <c r="E103" t="s">
        <v>24</v>
      </c>
      <c r="F103" t="s">
        <v>65</v>
      </c>
      <c r="G103">
        <v>1</v>
      </c>
      <c r="H103">
        <v>195.85</v>
      </c>
      <c r="I103" t="s">
        <v>15</v>
      </c>
      <c r="J103" t="s">
        <v>418</v>
      </c>
      <c r="K103">
        <v>1</v>
      </c>
      <c r="L103" t="s">
        <v>21</v>
      </c>
      <c r="M103">
        <v>45</v>
      </c>
      <c r="N103" s="18" t="str">
        <f t="shared" si="3"/>
        <v>31-45</v>
      </c>
      <c r="O103" s="12">
        <f t="shared" si="4"/>
        <v>195.85</v>
      </c>
      <c r="P103" s="12">
        <f t="shared" si="5"/>
        <v>58.754999999999995</v>
      </c>
      <c r="X103" s="14" t="s">
        <v>483</v>
      </c>
      <c r="Y103" s="19">
        <v>190.77</v>
      </c>
    </row>
    <row r="104" spans="1:25" x14ac:dyDescent="0.3">
      <c r="A104">
        <v>10679</v>
      </c>
      <c r="B104" s="1">
        <v>45405</v>
      </c>
      <c r="C104">
        <v>819</v>
      </c>
      <c r="D104">
        <v>10</v>
      </c>
      <c r="E104" t="s">
        <v>13</v>
      </c>
      <c r="F104" t="s">
        <v>47</v>
      </c>
      <c r="G104">
        <v>4</v>
      </c>
      <c r="H104">
        <v>192.51</v>
      </c>
      <c r="I104" t="s">
        <v>35</v>
      </c>
      <c r="J104" t="s">
        <v>640</v>
      </c>
      <c r="K104">
        <v>4</v>
      </c>
      <c r="M104">
        <v>53</v>
      </c>
      <c r="N104" s="18" t="str">
        <f t="shared" si="3"/>
        <v>46-60</v>
      </c>
      <c r="O104" s="12">
        <f t="shared" si="4"/>
        <v>770.04</v>
      </c>
      <c r="P104" s="12">
        <f t="shared" si="5"/>
        <v>231.01199999999997</v>
      </c>
      <c r="X104" s="14" t="s">
        <v>877</v>
      </c>
      <c r="Y104" s="19">
        <v>267.64999999999998</v>
      </c>
    </row>
    <row r="105" spans="1:25" x14ac:dyDescent="0.3">
      <c r="A105">
        <v>82764</v>
      </c>
      <c r="B105" s="1">
        <v>45405</v>
      </c>
      <c r="C105">
        <v>763</v>
      </c>
      <c r="D105">
        <v>10</v>
      </c>
      <c r="E105" t="s">
        <v>13</v>
      </c>
      <c r="F105" t="s">
        <v>14</v>
      </c>
      <c r="G105">
        <v>1</v>
      </c>
      <c r="H105">
        <v>317.08</v>
      </c>
      <c r="I105" t="s">
        <v>15</v>
      </c>
      <c r="J105" t="s">
        <v>667</v>
      </c>
      <c r="K105">
        <v>1</v>
      </c>
      <c r="L105" t="s">
        <v>17</v>
      </c>
      <c r="M105">
        <v>37</v>
      </c>
      <c r="N105" s="18" t="str">
        <f t="shared" si="3"/>
        <v>31-45</v>
      </c>
      <c r="O105" s="12">
        <f t="shared" si="4"/>
        <v>317.08</v>
      </c>
      <c r="P105" s="12">
        <f t="shared" si="5"/>
        <v>95.123999999999995</v>
      </c>
      <c r="X105" s="14" t="s">
        <v>671</v>
      </c>
      <c r="Y105" s="19">
        <v>363.16</v>
      </c>
    </row>
    <row r="106" spans="1:25" x14ac:dyDescent="0.3">
      <c r="A106">
        <v>93989</v>
      </c>
      <c r="B106" s="1">
        <v>45407</v>
      </c>
      <c r="C106">
        <v>573</v>
      </c>
      <c r="D106">
        <v>50</v>
      </c>
      <c r="E106" t="s">
        <v>18</v>
      </c>
      <c r="F106" t="s">
        <v>84</v>
      </c>
      <c r="G106">
        <v>5</v>
      </c>
      <c r="H106">
        <v>85.85</v>
      </c>
      <c r="I106" t="s">
        <v>26</v>
      </c>
      <c r="J106" t="s">
        <v>85</v>
      </c>
      <c r="K106">
        <v>1</v>
      </c>
      <c r="L106" t="s">
        <v>21</v>
      </c>
      <c r="M106">
        <v>70</v>
      </c>
      <c r="N106" s="18" t="str">
        <f t="shared" si="3"/>
        <v>60+</v>
      </c>
      <c r="O106" s="12">
        <f t="shared" si="4"/>
        <v>429.25</v>
      </c>
      <c r="P106" s="12">
        <f t="shared" si="5"/>
        <v>128.77500000000001</v>
      </c>
      <c r="X106" s="14" t="s">
        <v>930</v>
      </c>
      <c r="Y106" s="19">
        <v>195.76</v>
      </c>
    </row>
    <row r="107" spans="1:25" x14ac:dyDescent="0.3">
      <c r="A107">
        <v>93663</v>
      </c>
      <c r="B107" s="1">
        <v>45407</v>
      </c>
      <c r="C107">
        <v>482</v>
      </c>
      <c r="D107">
        <v>10</v>
      </c>
      <c r="E107" t="s">
        <v>13</v>
      </c>
      <c r="F107" t="s">
        <v>42</v>
      </c>
      <c r="G107">
        <v>1</v>
      </c>
      <c r="H107">
        <v>297.2</v>
      </c>
      <c r="I107" t="s">
        <v>15</v>
      </c>
      <c r="J107" t="s">
        <v>576</v>
      </c>
      <c r="L107" t="s">
        <v>21</v>
      </c>
      <c r="M107">
        <v>53</v>
      </c>
      <c r="N107" s="18" t="str">
        <f t="shared" si="3"/>
        <v>46-60</v>
      </c>
      <c r="O107" s="12">
        <f t="shared" si="4"/>
        <v>297.2</v>
      </c>
      <c r="P107" s="12">
        <f t="shared" si="5"/>
        <v>89.16</v>
      </c>
      <c r="X107" s="14" t="s">
        <v>223</v>
      </c>
      <c r="Y107" s="19">
        <v>541.95000000000005</v>
      </c>
    </row>
    <row r="108" spans="1:25" x14ac:dyDescent="0.3">
      <c r="A108">
        <v>99272</v>
      </c>
      <c r="B108" s="1">
        <v>45408</v>
      </c>
      <c r="C108">
        <v>847</v>
      </c>
      <c r="D108">
        <v>20</v>
      </c>
      <c r="E108" t="s">
        <v>28</v>
      </c>
      <c r="F108" t="s">
        <v>77</v>
      </c>
      <c r="G108">
        <v>3</v>
      </c>
      <c r="H108">
        <v>40.92</v>
      </c>
      <c r="I108" t="s">
        <v>26</v>
      </c>
      <c r="J108" t="s">
        <v>320</v>
      </c>
      <c r="L108" t="s">
        <v>21</v>
      </c>
      <c r="M108">
        <v>66</v>
      </c>
      <c r="N108" s="18" t="str">
        <f t="shared" si="3"/>
        <v>60+</v>
      </c>
      <c r="O108" s="12">
        <f t="shared" si="4"/>
        <v>122.76</v>
      </c>
      <c r="P108" s="12">
        <f t="shared" si="5"/>
        <v>36.828000000000003</v>
      </c>
      <c r="X108" s="14" t="s">
        <v>78</v>
      </c>
      <c r="Y108" s="19">
        <v>545.55999999999995</v>
      </c>
    </row>
    <row r="109" spans="1:25" x14ac:dyDescent="0.3">
      <c r="A109">
        <v>28381</v>
      </c>
      <c r="B109" s="1">
        <v>45408</v>
      </c>
      <c r="C109">
        <v>973</v>
      </c>
      <c r="D109">
        <v>30</v>
      </c>
      <c r="E109" t="s">
        <v>37</v>
      </c>
      <c r="F109" t="s">
        <v>38</v>
      </c>
      <c r="G109">
        <v>1</v>
      </c>
      <c r="H109">
        <v>324.51</v>
      </c>
      <c r="I109" t="s">
        <v>26</v>
      </c>
      <c r="J109" t="s">
        <v>616</v>
      </c>
      <c r="L109" t="s">
        <v>17</v>
      </c>
      <c r="M109">
        <v>35</v>
      </c>
      <c r="N109" s="18" t="str">
        <f t="shared" si="3"/>
        <v>31-45</v>
      </c>
      <c r="O109" s="12">
        <f t="shared" si="4"/>
        <v>324.51</v>
      </c>
      <c r="P109" s="12">
        <f t="shared" si="5"/>
        <v>97.352999999999994</v>
      </c>
      <c r="X109" s="14" t="s">
        <v>196</v>
      </c>
      <c r="Y109" s="19">
        <v>1778.25</v>
      </c>
    </row>
    <row r="110" spans="1:25" x14ac:dyDescent="0.3">
      <c r="A110">
        <v>43995</v>
      </c>
      <c r="B110" s="1">
        <v>45408</v>
      </c>
      <c r="C110">
        <v>537</v>
      </c>
      <c r="D110">
        <v>40</v>
      </c>
      <c r="E110" t="s">
        <v>24</v>
      </c>
      <c r="F110" t="s">
        <v>63</v>
      </c>
      <c r="G110">
        <v>4</v>
      </c>
      <c r="H110">
        <v>375.98</v>
      </c>
      <c r="I110" t="s">
        <v>15</v>
      </c>
      <c r="J110" t="s">
        <v>738</v>
      </c>
      <c r="L110" t="s">
        <v>17</v>
      </c>
      <c r="M110">
        <v>62</v>
      </c>
      <c r="N110" s="18" t="str">
        <f t="shared" si="3"/>
        <v>60+</v>
      </c>
      <c r="O110" s="12">
        <f t="shared" si="4"/>
        <v>1503.92</v>
      </c>
      <c r="P110" s="12">
        <f t="shared" si="5"/>
        <v>451.17599999999999</v>
      </c>
      <c r="X110" s="14" t="s">
        <v>879</v>
      </c>
      <c r="Y110" s="19">
        <v>239.35</v>
      </c>
    </row>
    <row r="111" spans="1:25" x14ac:dyDescent="0.3">
      <c r="A111">
        <v>19327</v>
      </c>
      <c r="B111" s="1">
        <v>45408</v>
      </c>
      <c r="C111">
        <v>454</v>
      </c>
      <c r="D111">
        <v>50</v>
      </c>
      <c r="E111" t="s">
        <v>18</v>
      </c>
      <c r="F111" t="s">
        <v>19</v>
      </c>
      <c r="G111">
        <v>3</v>
      </c>
      <c r="H111">
        <v>334.71</v>
      </c>
      <c r="I111" t="s">
        <v>35</v>
      </c>
      <c r="J111" t="s">
        <v>259</v>
      </c>
      <c r="K111">
        <v>5</v>
      </c>
      <c r="L111" t="s">
        <v>17</v>
      </c>
      <c r="M111">
        <v>26</v>
      </c>
      <c r="N111" s="18" t="str">
        <f t="shared" si="3"/>
        <v>18-30</v>
      </c>
      <c r="O111" s="12">
        <f t="shared" si="4"/>
        <v>1004.1299999999999</v>
      </c>
      <c r="P111" s="12">
        <f t="shared" si="5"/>
        <v>301.23899999999998</v>
      </c>
      <c r="X111" s="14" t="s">
        <v>153</v>
      </c>
      <c r="Y111" s="19">
        <v>961.58</v>
      </c>
    </row>
    <row r="112" spans="1:25" x14ac:dyDescent="0.3">
      <c r="A112">
        <v>45270</v>
      </c>
      <c r="B112" s="1">
        <v>45408</v>
      </c>
      <c r="C112">
        <v>685</v>
      </c>
      <c r="D112">
        <v>40</v>
      </c>
      <c r="E112" t="s">
        <v>24</v>
      </c>
      <c r="F112" t="s">
        <v>44</v>
      </c>
      <c r="G112">
        <v>1</v>
      </c>
      <c r="H112">
        <v>410.45</v>
      </c>
      <c r="I112" t="s">
        <v>26</v>
      </c>
      <c r="J112" t="s">
        <v>766</v>
      </c>
      <c r="K112">
        <v>4</v>
      </c>
      <c r="L112" t="s">
        <v>17</v>
      </c>
      <c r="M112">
        <v>71</v>
      </c>
      <c r="N112" s="18" t="str">
        <f t="shared" si="3"/>
        <v>60+</v>
      </c>
      <c r="O112" s="12">
        <f t="shared" si="4"/>
        <v>410.45</v>
      </c>
      <c r="P112" s="12">
        <f t="shared" si="5"/>
        <v>123.13499999999999</v>
      </c>
      <c r="X112" s="14" t="s">
        <v>549</v>
      </c>
      <c r="Y112" s="19">
        <v>138.85</v>
      </c>
    </row>
    <row r="113" spans="1:25" x14ac:dyDescent="0.3">
      <c r="A113">
        <v>46034</v>
      </c>
      <c r="B113" s="1">
        <v>45408</v>
      </c>
      <c r="C113">
        <v>995</v>
      </c>
      <c r="D113">
        <v>40</v>
      </c>
      <c r="E113" t="s">
        <v>24</v>
      </c>
      <c r="F113" t="s">
        <v>44</v>
      </c>
      <c r="G113">
        <v>5</v>
      </c>
      <c r="H113">
        <v>115.91</v>
      </c>
      <c r="I113" t="s">
        <v>26</v>
      </c>
      <c r="J113" t="s">
        <v>974</v>
      </c>
      <c r="L113" t="s">
        <v>21</v>
      </c>
      <c r="M113">
        <v>54</v>
      </c>
      <c r="N113" s="18" t="str">
        <f t="shared" si="3"/>
        <v>46-60</v>
      </c>
      <c r="O113" s="12">
        <f t="shared" si="4"/>
        <v>579.54999999999995</v>
      </c>
      <c r="P113" s="12">
        <f t="shared" si="5"/>
        <v>173.86499999999998</v>
      </c>
      <c r="X113" s="14" t="s">
        <v>835</v>
      </c>
      <c r="Y113" s="19">
        <v>938.61</v>
      </c>
    </row>
    <row r="114" spans="1:25" x14ac:dyDescent="0.3">
      <c r="A114">
        <v>85558</v>
      </c>
      <c r="B114" s="1">
        <v>45409</v>
      </c>
      <c r="C114">
        <v>619</v>
      </c>
      <c r="D114">
        <v>40</v>
      </c>
      <c r="E114" t="s">
        <v>24</v>
      </c>
      <c r="F114" t="s">
        <v>49</v>
      </c>
      <c r="G114">
        <v>3</v>
      </c>
      <c r="H114">
        <v>367.51</v>
      </c>
      <c r="I114" t="s">
        <v>26</v>
      </c>
      <c r="J114" t="s">
        <v>250</v>
      </c>
      <c r="K114">
        <v>4</v>
      </c>
      <c r="L114" t="s">
        <v>17</v>
      </c>
      <c r="M114">
        <v>60</v>
      </c>
      <c r="N114" s="18" t="str">
        <f t="shared" si="3"/>
        <v>46-60</v>
      </c>
      <c r="O114" s="12">
        <f t="shared" si="4"/>
        <v>1102.53</v>
      </c>
      <c r="P114" s="12">
        <f t="shared" si="5"/>
        <v>330.75899999999996</v>
      </c>
      <c r="X114" s="14" t="s">
        <v>479</v>
      </c>
      <c r="Y114" s="19">
        <v>1124.2</v>
      </c>
    </row>
    <row r="115" spans="1:25" x14ac:dyDescent="0.3">
      <c r="A115">
        <v>69895</v>
      </c>
      <c r="B115" s="1">
        <v>45409</v>
      </c>
      <c r="C115">
        <v>848</v>
      </c>
      <c r="D115">
        <v>20</v>
      </c>
      <c r="E115" t="s">
        <v>28</v>
      </c>
      <c r="F115" t="s">
        <v>77</v>
      </c>
      <c r="G115">
        <v>3</v>
      </c>
      <c r="H115">
        <v>435.72</v>
      </c>
      <c r="I115" t="s">
        <v>15</v>
      </c>
      <c r="J115" t="s">
        <v>947</v>
      </c>
      <c r="K115">
        <v>5</v>
      </c>
      <c r="L115" t="s">
        <v>21</v>
      </c>
      <c r="M115">
        <v>50</v>
      </c>
      <c r="N115" s="18" t="str">
        <f t="shared" si="3"/>
        <v>46-60</v>
      </c>
      <c r="O115" s="12">
        <f t="shared" si="4"/>
        <v>1307.1600000000001</v>
      </c>
      <c r="P115" s="12">
        <f t="shared" si="5"/>
        <v>392.14800000000002</v>
      </c>
      <c r="X115" s="14" t="s">
        <v>158</v>
      </c>
      <c r="Y115" s="19">
        <v>2002.94</v>
      </c>
    </row>
    <row r="116" spans="1:25" x14ac:dyDescent="0.3">
      <c r="A116">
        <v>37431</v>
      </c>
      <c r="B116" s="1">
        <v>45410</v>
      </c>
      <c r="C116">
        <v>736</v>
      </c>
      <c r="D116">
        <v>40</v>
      </c>
      <c r="E116" t="s">
        <v>24</v>
      </c>
      <c r="F116" t="s">
        <v>44</v>
      </c>
      <c r="G116">
        <v>5</v>
      </c>
      <c r="H116">
        <v>422.39</v>
      </c>
      <c r="I116" t="s">
        <v>26</v>
      </c>
      <c r="J116" t="s">
        <v>473</v>
      </c>
      <c r="K116">
        <v>5</v>
      </c>
      <c r="L116" t="s">
        <v>21</v>
      </c>
      <c r="M116">
        <v>26</v>
      </c>
      <c r="N116" s="18" t="str">
        <f t="shared" si="3"/>
        <v>18-30</v>
      </c>
      <c r="O116" s="12">
        <f t="shared" si="4"/>
        <v>2111.9499999999998</v>
      </c>
      <c r="P116" s="12">
        <f t="shared" si="5"/>
        <v>633.58499999999992</v>
      </c>
      <c r="X116" s="14" t="s">
        <v>958</v>
      </c>
      <c r="Y116" s="19">
        <v>268.26</v>
      </c>
    </row>
    <row r="117" spans="1:25" x14ac:dyDescent="0.3">
      <c r="A117">
        <v>73293</v>
      </c>
      <c r="B117" s="1">
        <v>45412</v>
      </c>
      <c r="C117">
        <v>799</v>
      </c>
      <c r="D117">
        <v>50</v>
      </c>
      <c r="E117" t="s">
        <v>18</v>
      </c>
      <c r="F117" t="s">
        <v>87</v>
      </c>
      <c r="G117">
        <v>1</v>
      </c>
      <c r="H117">
        <v>463.62</v>
      </c>
      <c r="I117" t="s">
        <v>15</v>
      </c>
      <c r="J117" t="s">
        <v>106</v>
      </c>
      <c r="K117">
        <v>5</v>
      </c>
      <c r="M117">
        <v>72</v>
      </c>
      <c r="N117" s="18" t="str">
        <f t="shared" si="3"/>
        <v>60+</v>
      </c>
      <c r="O117" s="12">
        <f t="shared" si="4"/>
        <v>463.62</v>
      </c>
      <c r="P117" s="12">
        <f t="shared" si="5"/>
        <v>139.08599999999998</v>
      </c>
      <c r="X117" s="14" t="s">
        <v>582</v>
      </c>
      <c r="Y117" s="19">
        <v>646.29</v>
      </c>
    </row>
    <row r="118" spans="1:25" x14ac:dyDescent="0.3">
      <c r="A118">
        <v>96674</v>
      </c>
      <c r="B118" s="1">
        <v>45412</v>
      </c>
      <c r="C118">
        <v>674</v>
      </c>
      <c r="D118">
        <v>40</v>
      </c>
      <c r="E118" t="s">
        <v>24</v>
      </c>
      <c r="F118" t="s">
        <v>65</v>
      </c>
      <c r="G118">
        <v>3</v>
      </c>
      <c r="H118">
        <v>312.17</v>
      </c>
      <c r="I118" t="s">
        <v>26</v>
      </c>
      <c r="J118" t="s">
        <v>472</v>
      </c>
      <c r="L118" t="s">
        <v>21</v>
      </c>
      <c r="M118">
        <v>21</v>
      </c>
      <c r="N118" s="18" t="str">
        <f t="shared" si="3"/>
        <v>18-30</v>
      </c>
      <c r="O118" s="12">
        <f t="shared" si="4"/>
        <v>936.51</v>
      </c>
      <c r="P118" s="12">
        <f t="shared" si="5"/>
        <v>280.95299999999997</v>
      </c>
      <c r="X118" s="14" t="s">
        <v>685</v>
      </c>
      <c r="Y118" s="19">
        <v>218.74</v>
      </c>
    </row>
    <row r="119" spans="1:25" x14ac:dyDescent="0.3">
      <c r="A119">
        <v>26759</v>
      </c>
      <c r="B119" s="1">
        <v>45412</v>
      </c>
      <c r="C119">
        <v>762</v>
      </c>
      <c r="D119">
        <v>30</v>
      </c>
      <c r="E119" t="s">
        <v>37</v>
      </c>
      <c r="F119" t="s">
        <v>38</v>
      </c>
      <c r="G119">
        <v>3</v>
      </c>
      <c r="H119">
        <v>110.55</v>
      </c>
      <c r="I119" t="s">
        <v>15</v>
      </c>
      <c r="J119" t="s">
        <v>562</v>
      </c>
      <c r="K119">
        <v>4</v>
      </c>
      <c r="M119">
        <v>44</v>
      </c>
      <c r="N119" s="18" t="str">
        <f t="shared" si="3"/>
        <v>31-45</v>
      </c>
      <c r="O119" s="12">
        <f t="shared" si="4"/>
        <v>331.65</v>
      </c>
      <c r="P119" s="12">
        <f t="shared" si="5"/>
        <v>99.49499999999999</v>
      </c>
      <c r="X119" s="14" t="s">
        <v>692</v>
      </c>
      <c r="Y119" s="19">
        <v>461</v>
      </c>
    </row>
    <row r="120" spans="1:25" x14ac:dyDescent="0.3">
      <c r="A120">
        <v>28844</v>
      </c>
      <c r="B120" s="1">
        <v>45412</v>
      </c>
      <c r="C120">
        <v>580</v>
      </c>
      <c r="D120">
        <v>40</v>
      </c>
      <c r="E120" t="s">
        <v>24</v>
      </c>
      <c r="F120" t="s">
        <v>49</v>
      </c>
      <c r="G120">
        <v>2</v>
      </c>
      <c r="H120">
        <v>378.89</v>
      </c>
      <c r="I120" t="s">
        <v>35</v>
      </c>
      <c r="J120" t="s">
        <v>898</v>
      </c>
      <c r="K120">
        <v>4</v>
      </c>
      <c r="L120" t="s">
        <v>21</v>
      </c>
      <c r="M120">
        <v>51</v>
      </c>
      <c r="N120" s="18" t="str">
        <f t="shared" si="3"/>
        <v>46-60</v>
      </c>
      <c r="O120" s="12">
        <f t="shared" si="4"/>
        <v>757.78</v>
      </c>
      <c r="P120" s="12">
        <f t="shared" si="5"/>
        <v>227.33399999999997</v>
      </c>
      <c r="X120" s="14" t="s">
        <v>226</v>
      </c>
      <c r="Y120" s="19">
        <v>967.92</v>
      </c>
    </row>
    <row r="121" spans="1:25" x14ac:dyDescent="0.3">
      <c r="A121">
        <v>61272</v>
      </c>
      <c r="B121" s="1">
        <v>45413</v>
      </c>
      <c r="C121">
        <v>192</v>
      </c>
      <c r="D121">
        <v>40</v>
      </c>
      <c r="E121" t="s">
        <v>24</v>
      </c>
      <c r="F121" t="s">
        <v>49</v>
      </c>
      <c r="G121">
        <v>3</v>
      </c>
      <c r="H121">
        <v>46.24</v>
      </c>
      <c r="I121" t="s">
        <v>35</v>
      </c>
      <c r="J121" t="s">
        <v>481</v>
      </c>
      <c r="K121">
        <v>4</v>
      </c>
      <c r="L121" t="s">
        <v>21</v>
      </c>
      <c r="M121">
        <v>18</v>
      </c>
      <c r="N121" s="18" t="str">
        <f t="shared" si="3"/>
        <v>18-30</v>
      </c>
      <c r="O121" s="12">
        <f t="shared" si="4"/>
        <v>138.72</v>
      </c>
      <c r="P121" s="12">
        <f t="shared" si="5"/>
        <v>41.616</v>
      </c>
      <c r="X121" s="14" t="s">
        <v>717</v>
      </c>
      <c r="Y121" s="19">
        <v>689.72</v>
      </c>
    </row>
    <row r="122" spans="1:25" x14ac:dyDescent="0.3">
      <c r="A122">
        <v>37265</v>
      </c>
      <c r="B122" s="1">
        <v>45413</v>
      </c>
      <c r="C122">
        <v>162</v>
      </c>
      <c r="D122">
        <v>20</v>
      </c>
      <c r="E122" t="s">
        <v>28</v>
      </c>
      <c r="F122" t="s">
        <v>51</v>
      </c>
      <c r="G122">
        <v>3</v>
      </c>
      <c r="H122">
        <v>198.02</v>
      </c>
      <c r="I122" t="s">
        <v>15</v>
      </c>
      <c r="J122" t="s">
        <v>502</v>
      </c>
      <c r="K122">
        <v>4</v>
      </c>
      <c r="L122" t="s">
        <v>17</v>
      </c>
      <c r="M122">
        <v>37</v>
      </c>
      <c r="N122" s="18" t="str">
        <f t="shared" si="3"/>
        <v>31-45</v>
      </c>
      <c r="O122" s="12">
        <f t="shared" si="4"/>
        <v>594.06000000000006</v>
      </c>
      <c r="P122" s="12">
        <f t="shared" si="5"/>
        <v>178.21800000000002</v>
      </c>
      <c r="X122" s="14" t="s">
        <v>214</v>
      </c>
      <c r="Y122" s="19">
        <v>1347</v>
      </c>
    </row>
    <row r="123" spans="1:25" x14ac:dyDescent="0.3">
      <c r="A123">
        <v>70446</v>
      </c>
      <c r="B123" s="1">
        <v>45414</v>
      </c>
      <c r="C123">
        <v>918</v>
      </c>
      <c r="D123">
        <v>50</v>
      </c>
      <c r="E123" t="s">
        <v>18</v>
      </c>
      <c r="F123" t="s">
        <v>84</v>
      </c>
      <c r="G123">
        <v>5</v>
      </c>
      <c r="H123">
        <v>237.79</v>
      </c>
      <c r="I123" t="s">
        <v>35</v>
      </c>
      <c r="J123" t="s">
        <v>155</v>
      </c>
      <c r="K123">
        <v>4</v>
      </c>
      <c r="L123" t="s">
        <v>21</v>
      </c>
      <c r="M123">
        <v>56</v>
      </c>
      <c r="N123" s="18" t="str">
        <f t="shared" si="3"/>
        <v>46-60</v>
      </c>
      <c r="O123" s="12">
        <f t="shared" si="4"/>
        <v>1188.95</v>
      </c>
      <c r="P123" s="12">
        <f t="shared" si="5"/>
        <v>356.685</v>
      </c>
      <c r="X123" s="14" t="s">
        <v>912</v>
      </c>
      <c r="Y123" s="19">
        <v>216.68</v>
      </c>
    </row>
    <row r="124" spans="1:25" x14ac:dyDescent="0.3">
      <c r="A124">
        <v>56073</v>
      </c>
      <c r="B124" s="1">
        <v>45414</v>
      </c>
      <c r="C124">
        <v>440</v>
      </c>
      <c r="D124">
        <v>50</v>
      </c>
      <c r="E124" t="s">
        <v>18</v>
      </c>
      <c r="F124" t="s">
        <v>22</v>
      </c>
      <c r="G124">
        <v>4</v>
      </c>
      <c r="H124">
        <v>121.5</v>
      </c>
      <c r="I124" t="s">
        <v>15</v>
      </c>
      <c r="J124" t="s">
        <v>373</v>
      </c>
      <c r="K124">
        <v>4</v>
      </c>
      <c r="L124" t="s">
        <v>21</v>
      </c>
      <c r="M124">
        <v>57</v>
      </c>
      <c r="N124" s="18" t="str">
        <f t="shared" si="3"/>
        <v>46-60</v>
      </c>
      <c r="O124" s="12">
        <f t="shared" si="4"/>
        <v>486</v>
      </c>
      <c r="P124" s="12">
        <f t="shared" si="5"/>
        <v>145.79999999999998</v>
      </c>
      <c r="X124" s="14" t="s">
        <v>963</v>
      </c>
      <c r="Y124" s="19">
        <v>999</v>
      </c>
    </row>
    <row r="125" spans="1:25" x14ac:dyDescent="0.3">
      <c r="A125">
        <v>84937</v>
      </c>
      <c r="B125" s="1">
        <v>45414</v>
      </c>
      <c r="C125">
        <v>186</v>
      </c>
      <c r="D125">
        <v>50</v>
      </c>
      <c r="E125" t="s">
        <v>18</v>
      </c>
      <c r="F125" t="s">
        <v>34</v>
      </c>
      <c r="G125">
        <v>4</v>
      </c>
      <c r="H125">
        <v>37.17</v>
      </c>
      <c r="I125" t="s">
        <v>35</v>
      </c>
      <c r="J125" t="s">
        <v>550</v>
      </c>
      <c r="L125" t="s">
        <v>21</v>
      </c>
      <c r="M125">
        <v>45</v>
      </c>
      <c r="N125" s="18" t="str">
        <f t="shared" si="3"/>
        <v>31-45</v>
      </c>
      <c r="O125" s="12">
        <f t="shared" si="4"/>
        <v>148.68</v>
      </c>
      <c r="P125" s="12">
        <f t="shared" si="5"/>
        <v>44.603999999999999</v>
      </c>
      <c r="X125" s="14" t="s">
        <v>640</v>
      </c>
      <c r="Y125" s="19">
        <v>770.04</v>
      </c>
    </row>
    <row r="126" spans="1:25" x14ac:dyDescent="0.3">
      <c r="A126">
        <v>28063</v>
      </c>
      <c r="B126" s="1">
        <v>45415</v>
      </c>
      <c r="C126">
        <v>398</v>
      </c>
      <c r="D126">
        <v>30</v>
      </c>
      <c r="E126" t="s">
        <v>37</v>
      </c>
      <c r="F126" t="s">
        <v>58</v>
      </c>
      <c r="G126">
        <v>5</v>
      </c>
      <c r="H126">
        <v>16.7</v>
      </c>
      <c r="I126" t="s">
        <v>26</v>
      </c>
      <c r="J126" t="s">
        <v>194</v>
      </c>
      <c r="M126">
        <v>26</v>
      </c>
      <c r="N126" s="18" t="str">
        <f t="shared" si="3"/>
        <v>18-30</v>
      </c>
      <c r="O126" s="12">
        <f t="shared" si="4"/>
        <v>83.5</v>
      </c>
      <c r="P126" s="12">
        <f t="shared" si="5"/>
        <v>25.05</v>
      </c>
      <c r="X126" s="14" t="s">
        <v>62</v>
      </c>
      <c r="Y126" s="19">
        <v>38.380000000000003</v>
      </c>
    </row>
    <row r="127" spans="1:25" x14ac:dyDescent="0.3">
      <c r="A127">
        <v>10403</v>
      </c>
      <c r="B127" s="1">
        <v>45415</v>
      </c>
      <c r="C127">
        <v>643</v>
      </c>
      <c r="D127">
        <v>10</v>
      </c>
      <c r="E127" t="s">
        <v>13</v>
      </c>
      <c r="F127" t="s">
        <v>14</v>
      </c>
      <c r="G127">
        <v>5</v>
      </c>
      <c r="H127">
        <v>263.87</v>
      </c>
      <c r="I127" t="s">
        <v>26</v>
      </c>
      <c r="J127" t="s">
        <v>345</v>
      </c>
      <c r="L127" t="s">
        <v>21</v>
      </c>
      <c r="M127">
        <v>65</v>
      </c>
      <c r="N127" s="18" t="str">
        <f t="shared" si="3"/>
        <v>60+</v>
      </c>
      <c r="O127" s="12">
        <f t="shared" si="4"/>
        <v>1319.35</v>
      </c>
      <c r="P127" s="12">
        <f t="shared" si="5"/>
        <v>395.80499999999995</v>
      </c>
      <c r="X127" s="14" t="s">
        <v>1006</v>
      </c>
      <c r="Y127" s="19">
        <v>2138.65</v>
      </c>
    </row>
    <row r="128" spans="1:25" x14ac:dyDescent="0.3">
      <c r="A128">
        <v>50200</v>
      </c>
      <c r="B128" s="1">
        <v>45415</v>
      </c>
      <c r="C128">
        <v>841</v>
      </c>
      <c r="D128">
        <v>50</v>
      </c>
      <c r="E128" t="s">
        <v>18</v>
      </c>
      <c r="F128" t="s">
        <v>34</v>
      </c>
      <c r="G128">
        <v>2</v>
      </c>
      <c r="H128">
        <v>257.01</v>
      </c>
      <c r="I128" t="s">
        <v>26</v>
      </c>
      <c r="J128" t="s">
        <v>656</v>
      </c>
      <c r="K128">
        <v>4</v>
      </c>
      <c r="L128" t="s">
        <v>17</v>
      </c>
      <c r="M128">
        <v>39</v>
      </c>
      <c r="N128" s="18" t="str">
        <f t="shared" si="3"/>
        <v>31-45</v>
      </c>
      <c r="O128" s="12">
        <f t="shared" si="4"/>
        <v>514.02</v>
      </c>
      <c r="P128" s="12">
        <f t="shared" si="5"/>
        <v>154.20599999999999</v>
      </c>
      <c r="X128" s="14" t="s">
        <v>709</v>
      </c>
      <c r="Y128" s="19">
        <v>482.29</v>
      </c>
    </row>
    <row r="129" spans="1:25" x14ac:dyDescent="0.3">
      <c r="A129">
        <v>77187</v>
      </c>
      <c r="B129" s="1">
        <v>45415</v>
      </c>
      <c r="C129">
        <v>500</v>
      </c>
      <c r="D129">
        <v>20</v>
      </c>
      <c r="E129" t="s">
        <v>28</v>
      </c>
      <c r="F129" t="s">
        <v>79</v>
      </c>
      <c r="G129">
        <v>1</v>
      </c>
      <c r="H129">
        <v>149.72</v>
      </c>
      <c r="I129" t="s">
        <v>15</v>
      </c>
      <c r="J129" t="s">
        <v>751</v>
      </c>
      <c r="K129">
        <v>5</v>
      </c>
      <c r="L129" t="s">
        <v>21</v>
      </c>
      <c r="M129">
        <v>40</v>
      </c>
      <c r="N129" s="18" t="str">
        <f t="shared" si="3"/>
        <v>31-45</v>
      </c>
      <c r="O129" s="12">
        <f t="shared" si="4"/>
        <v>149.72</v>
      </c>
      <c r="P129" s="12">
        <f t="shared" si="5"/>
        <v>44.915999999999997</v>
      </c>
      <c r="X129" s="14" t="s">
        <v>367</v>
      </c>
      <c r="Y129" s="19">
        <v>64.400000000000006</v>
      </c>
    </row>
    <row r="130" spans="1:25" x14ac:dyDescent="0.3">
      <c r="A130">
        <v>87513</v>
      </c>
      <c r="B130" s="1">
        <v>45416</v>
      </c>
      <c r="C130">
        <v>782</v>
      </c>
      <c r="D130">
        <v>50</v>
      </c>
      <c r="E130" t="s">
        <v>18</v>
      </c>
      <c r="F130" t="s">
        <v>19</v>
      </c>
      <c r="G130">
        <v>2</v>
      </c>
      <c r="H130">
        <v>285.98</v>
      </c>
      <c r="I130" t="s">
        <v>35</v>
      </c>
      <c r="J130" t="s">
        <v>484</v>
      </c>
      <c r="K130">
        <v>5</v>
      </c>
      <c r="L130" t="s">
        <v>21</v>
      </c>
      <c r="M130">
        <v>44</v>
      </c>
      <c r="N130" s="18" t="str">
        <f t="shared" si="3"/>
        <v>31-45</v>
      </c>
      <c r="O130" s="12">
        <f t="shared" si="4"/>
        <v>571.96</v>
      </c>
      <c r="P130" s="12">
        <f t="shared" si="5"/>
        <v>171.58799999999999</v>
      </c>
      <c r="X130" s="14" t="s">
        <v>151</v>
      </c>
      <c r="Y130" s="19">
        <v>786.98</v>
      </c>
    </row>
    <row r="131" spans="1:25" x14ac:dyDescent="0.3">
      <c r="A131">
        <v>53575</v>
      </c>
      <c r="B131" s="1">
        <v>45416</v>
      </c>
      <c r="C131">
        <v>622</v>
      </c>
      <c r="D131">
        <v>40</v>
      </c>
      <c r="E131" t="s">
        <v>24</v>
      </c>
      <c r="F131" t="s">
        <v>63</v>
      </c>
      <c r="G131">
        <v>3</v>
      </c>
      <c r="H131">
        <v>75.02</v>
      </c>
      <c r="I131" t="s">
        <v>15</v>
      </c>
      <c r="J131" t="s">
        <v>520</v>
      </c>
      <c r="K131">
        <v>4</v>
      </c>
      <c r="L131" t="s">
        <v>21</v>
      </c>
      <c r="M131">
        <v>33</v>
      </c>
      <c r="N131" s="18" t="str">
        <f t="shared" ref="N131:N194" si="6">IF(M131&lt;=30,"18-30",IF(M131&lt;=45,"31-45",IF(M131&lt;=60,"46-60","60+")))</f>
        <v>31-45</v>
      </c>
      <c r="O131" s="12">
        <f t="shared" ref="O131:O194" si="7">H131*G131</f>
        <v>225.06</v>
      </c>
      <c r="P131" s="12">
        <f t="shared" ref="P131:P194" si="8">O131*0.3</f>
        <v>67.518000000000001</v>
      </c>
      <c r="X131" s="14" t="s">
        <v>718</v>
      </c>
      <c r="Y131" s="19">
        <v>1517.04</v>
      </c>
    </row>
    <row r="132" spans="1:25" x14ac:dyDescent="0.3">
      <c r="A132">
        <v>81927</v>
      </c>
      <c r="B132" s="1">
        <v>45416</v>
      </c>
      <c r="C132">
        <v>669</v>
      </c>
      <c r="D132">
        <v>50</v>
      </c>
      <c r="E132" t="s">
        <v>18</v>
      </c>
      <c r="F132" t="s">
        <v>87</v>
      </c>
      <c r="G132">
        <v>1</v>
      </c>
      <c r="H132">
        <v>482.29</v>
      </c>
      <c r="I132" t="s">
        <v>15</v>
      </c>
      <c r="J132" t="s">
        <v>709</v>
      </c>
      <c r="K132">
        <v>4</v>
      </c>
      <c r="L132" t="s">
        <v>21</v>
      </c>
      <c r="M132">
        <v>61</v>
      </c>
      <c r="N132" s="18" t="str">
        <f t="shared" si="6"/>
        <v>60+</v>
      </c>
      <c r="O132" s="12">
        <f t="shared" si="7"/>
        <v>482.29</v>
      </c>
      <c r="P132" s="12">
        <f t="shared" si="8"/>
        <v>144.68700000000001</v>
      </c>
      <c r="X132" s="14" t="s">
        <v>123</v>
      </c>
      <c r="Y132" s="19">
        <v>745.3</v>
      </c>
    </row>
    <row r="133" spans="1:25" x14ac:dyDescent="0.3">
      <c r="A133">
        <v>41333</v>
      </c>
      <c r="B133" s="1">
        <v>45416</v>
      </c>
      <c r="C133">
        <v>459</v>
      </c>
      <c r="D133">
        <v>10</v>
      </c>
      <c r="E133" t="s">
        <v>13</v>
      </c>
      <c r="F133" t="s">
        <v>47</v>
      </c>
      <c r="G133">
        <v>3</v>
      </c>
      <c r="H133">
        <v>398.31</v>
      </c>
      <c r="I133" t="s">
        <v>35</v>
      </c>
      <c r="J133" t="s">
        <v>884</v>
      </c>
      <c r="K133">
        <v>4</v>
      </c>
      <c r="L133" t="s">
        <v>21</v>
      </c>
      <c r="M133">
        <v>43</v>
      </c>
      <c r="N133" s="18" t="str">
        <f t="shared" si="6"/>
        <v>31-45</v>
      </c>
      <c r="O133" s="12">
        <f t="shared" si="7"/>
        <v>1194.93</v>
      </c>
      <c r="P133" s="12">
        <f t="shared" si="8"/>
        <v>358.47899999999998</v>
      </c>
      <c r="X133" s="14" t="s">
        <v>197</v>
      </c>
      <c r="Y133" s="19">
        <v>280.12</v>
      </c>
    </row>
    <row r="134" spans="1:25" x14ac:dyDescent="0.3">
      <c r="A134">
        <v>67967</v>
      </c>
      <c r="B134" s="1">
        <v>45416</v>
      </c>
      <c r="C134">
        <v>965</v>
      </c>
      <c r="D134">
        <v>40</v>
      </c>
      <c r="E134" t="s">
        <v>24</v>
      </c>
      <c r="F134" t="s">
        <v>44</v>
      </c>
      <c r="G134">
        <v>3</v>
      </c>
      <c r="H134">
        <v>495.24</v>
      </c>
      <c r="I134" t="s">
        <v>35</v>
      </c>
      <c r="J134" t="s">
        <v>1005</v>
      </c>
      <c r="M134">
        <v>30</v>
      </c>
      <c r="N134" s="18" t="str">
        <f t="shared" si="6"/>
        <v>18-30</v>
      </c>
      <c r="O134" s="12">
        <f t="shared" si="7"/>
        <v>1485.72</v>
      </c>
      <c r="P134" s="12">
        <f t="shared" si="8"/>
        <v>445.71600000000001</v>
      </c>
      <c r="X134" s="14" t="s">
        <v>415</v>
      </c>
      <c r="Y134" s="19">
        <v>496.5</v>
      </c>
    </row>
    <row r="135" spans="1:25" x14ac:dyDescent="0.3">
      <c r="A135">
        <v>87219</v>
      </c>
      <c r="B135" s="1">
        <v>45418</v>
      </c>
      <c r="C135">
        <v>234</v>
      </c>
      <c r="D135">
        <v>50</v>
      </c>
      <c r="E135" t="s">
        <v>18</v>
      </c>
      <c r="F135" t="s">
        <v>34</v>
      </c>
      <c r="G135">
        <v>1</v>
      </c>
      <c r="H135">
        <v>52.5</v>
      </c>
      <c r="I135" t="s">
        <v>35</v>
      </c>
      <c r="J135" t="s">
        <v>399</v>
      </c>
      <c r="M135">
        <v>25</v>
      </c>
      <c r="N135" s="18" t="str">
        <f t="shared" si="6"/>
        <v>18-30</v>
      </c>
      <c r="O135" s="12">
        <f t="shared" si="7"/>
        <v>52.5</v>
      </c>
      <c r="P135" s="12">
        <f t="shared" si="8"/>
        <v>15.75</v>
      </c>
      <c r="X135" s="14" t="s">
        <v>703</v>
      </c>
      <c r="Y135" s="19">
        <v>1427.01</v>
      </c>
    </row>
    <row r="136" spans="1:25" x14ac:dyDescent="0.3">
      <c r="A136">
        <v>49017</v>
      </c>
      <c r="B136" s="1">
        <v>45419</v>
      </c>
      <c r="C136">
        <v>128</v>
      </c>
      <c r="D136">
        <v>20</v>
      </c>
      <c r="E136" t="s">
        <v>28</v>
      </c>
      <c r="F136" t="s">
        <v>77</v>
      </c>
      <c r="G136">
        <v>1</v>
      </c>
      <c r="H136">
        <v>255.32</v>
      </c>
      <c r="I136" t="s">
        <v>26</v>
      </c>
      <c r="J136" t="s">
        <v>916</v>
      </c>
      <c r="K136">
        <v>4</v>
      </c>
      <c r="L136" t="s">
        <v>17</v>
      </c>
      <c r="M136">
        <v>70</v>
      </c>
      <c r="N136" s="18" t="str">
        <f t="shared" si="6"/>
        <v>60+</v>
      </c>
      <c r="O136" s="12">
        <f t="shared" si="7"/>
        <v>255.32</v>
      </c>
      <c r="P136" s="12">
        <f t="shared" si="8"/>
        <v>76.595999999999989</v>
      </c>
      <c r="X136" s="14" t="s">
        <v>559</v>
      </c>
      <c r="Y136" s="19">
        <v>1106.73</v>
      </c>
    </row>
    <row r="137" spans="1:25" x14ac:dyDescent="0.3">
      <c r="A137">
        <v>26545</v>
      </c>
      <c r="B137" s="1">
        <v>45420</v>
      </c>
      <c r="C137">
        <v>985</v>
      </c>
      <c r="D137">
        <v>30</v>
      </c>
      <c r="E137" t="s">
        <v>37</v>
      </c>
      <c r="F137" t="s">
        <v>58</v>
      </c>
      <c r="G137">
        <v>2</v>
      </c>
      <c r="H137">
        <v>470.08</v>
      </c>
      <c r="I137" t="s">
        <v>15</v>
      </c>
      <c r="J137" t="s">
        <v>366</v>
      </c>
      <c r="L137" t="s">
        <v>17</v>
      </c>
      <c r="M137">
        <v>54</v>
      </c>
      <c r="N137" s="18" t="str">
        <f t="shared" si="6"/>
        <v>46-60</v>
      </c>
      <c r="O137" s="12">
        <f t="shared" si="7"/>
        <v>940.16</v>
      </c>
      <c r="P137" s="12">
        <f t="shared" si="8"/>
        <v>282.048</v>
      </c>
      <c r="X137" s="14" t="s">
        <v>459</v>
      </c>
      <c r="Y137" s="19">
        <v>198.08</v>
      </c>
    </row>
    <row r="138" spans="1:25" x14ac:dyDescent="0.3">
      <c r="A138">
        <v>42097</v>
      </c>
      <c r="B138" s="1">
        <v>45420</v>
      </c>
      <c r="C138">
        <v>317</v>
      </c>
      <c r="D138">
        <v>10</v>
      </c>
      <c r="E138" t="s">
        <v>13</v>
      </c>
      <c r="F138" t="s">
        <v>47</v>
      </c>
      <c r="G138">
        <v>3</v>
      </c>
      <c r="H138">
        <v>213.16</v>
      </c>
      <c r="I138" t="s">
        <v>26</v>
      </c>
      <c r="J138" t="s">
        <v>769</v>
      </c>
      <c r="K138">
        <v>5</v>
      </c>
      <c r="L138" t="s">
        <v>17</v>
      </c>
      <c r="M138">
        <v>63</v>
      </c>
      <c r="N138" s="18" t="str">
        <f t="shared" si="6"/>
        <v>60+</v>
      </c>
      <c r="O138" s="12">
        <f t="shared" si="7"/>
        <v>639.48</v>
      </c>
      <c r="P138" s="12">
        <f t="shared" si="8"/>
        <v>191.84399999999999</v>
      </c>
      <c r="X138" s="14" t="s">
        <v>971</v>
      </c>
      <c r="Y138" s="19">
        <v>983.94</v>
      </c>
    </row>
    <row r="139" spans="1:25" x14ac:dyDescent="0.3">
      <c r="A139">
        <v>62506</v>
      </c>
      <c r="B139" s="1">
        <v>45421</v>
      </c>
      <c r="C139">
        <v>560</v>
      </c>
      <c r="D139">
        <v>50</v>
      </c>
      <c r="E139" t="s">
        <v>18</v>
      </c>
      <c r="F139" t="s">
        <v>22</v>
      </c>
      <c r="G139">
        <v>1</v>
      </c>
      <c r="H139">
        <v>294.45</v>
      </c>
      <c r="I139" t="s">
        <v>35</v>
      </c>
      <c r="J139" t="s">
        <v>486</v>
      </c>
      <c r="K139">
        <v>1</v>
      </c>
      <c r="L139" t="s">
        <v>21</v>
      </c>
      <c r="M139">
        <v>65</v>
      </c>
      <c r="N139" s="18" t="str">
        <f t="shared" si="6"/>
        <v>60+</v>
      </c>
      <c r="O139" s="12">
        <f t="shared" si="7"/>
        <v>294.45</v>
      </c>
      <c r="P139" s="12">
        <f t="shared" si="8"/>
        <v>88.334999999999994</v>
      </c>
      <c r="X139" s="14" t="s">
        <v>844</v>
      </c>
      <c r="Y139" s="19">
        <v>57.88</v>
      </c>
    </row>
    <row r="140" spans="1:25" x14ac:dyDescent="0.3">
      <c r="A140">
        <v>57366</v>
      </c>
      <c r="B140" s="1">
        <v>45421</v>
      </c>
      <c r="C140">
        <v>267</v>
      </c>
      <c r="D140">
        <v>10</v>
      </c>
      <c r="E140" t="s">
        <v>13</v>
      </c>
      <c r="F140" t="s">
        <v>47</v>
      </c>
      <c r="G140">
        <v>2</v>
      </c>
      <c r="H140">
        <v>331.86</v>
      </c>
      <c r="I140" t="s">
        <v>26</v>
      </c>
      <c r="J140" t="s">
        <v>587</v>
      </c>
      <c r="K140">
        <v>4</v>
      </c>
      <c r="L140" t="s">
        <v>17</v>
      </c>
      <c r="M140">
        <v>32</v>
      </c>
      <c r="N140" s="18" t="str">
        <f t="shared" si="6"/>
        <v>31-45</v>
      </c>
      <c r="O140" s="12">
        <f t="shared" si="7"/>
        <v>663.72</v>
      </c>
      <c r="P140" s="12">
        <f t="shared" si="8"/>
        <v>199.11600000000001</v>
      </c>
      <c r="X140" s="14" t="s">
        <v>740</v>
      </c>
      <c r="Y140" s="19">
        <v>1369.1399999999999</v>
      </c>
    </row>
    <row r="141" spans="1:25" x14ac:dyDescent="0.3">
      <c r="A141">
        <v>24024</v>
      </c>
      <c r="B141" s="1">
        <v>45421</v>
      </c>
      <c r="C141">
        <v>869</v>
      </c>
      <c r="D141">
        <v>50</v>
      </c>
      <c r="E141" t="s">
        <v>18</v>
      </c>
      <c r="F141" t="s">
        <v>87</v>
      </c>
      <c r="G141">
        <v>5</v>
      </c>
      <c r="H141">
        <v>419.98</v>
      </c>
      <c r="I141" t="s">
        <v>26</v>
      </c>
      <c r="J141" t="s">
        <v>591</v>
      </c>
      <c r="K141">
        <v>4</v>
      </c>
      <c r="L141" t="s">
        <v>21</v>
      </c>
      <c r="M141">
        <v>55</v>
      </c>
      <c r="N141" s="18" t="str">
        <f t="shared" si="6"/>
        <v>46-60</v>
      </c>
      <c r="O141" s="12">
        <f t="shared" si="7"/>
        <v>2099.9</v>
      </c>
      <c r="P141" s="12">
        <f t="shared" si="8"/>
        <v>629.97</v>
      </c>
      <c r="X141" s="14" t="s">
        <v>429</v>
      </c>
      <c r="Y141" s="19">
        <v>404.83</v>
      </c>
    </row>
    <row r="142" spans="1:25" x14ac:dyDescent="0.3">
      <c r="A142">
        <v>38114</v>
      </c>
      <c r="B142" s="1">
        <v>45421</v>
      </c>
      <c r="C142">
        <v>817</v>
      </c>
      <c r="D142">
        <v>30</v>
      </c>
      <c r="E142" t="s">
        <v>37</v>
      </c>
      <c r="F142" t="s">
        <v>58</v>
      </c>
      <c r="G142">
        <v>2</v>
      </c>
      <c r="H142">
        <v>287.85000000000002</v>
      </c>
      <c r="I142" t="s">
        <v>15</v>
      </c>
      <c r="J142" t="s">
        <v>929</v>
      </c>
      <c r="K142">
        <v>4</v>
      </c>
      <c r="L142" t="s">
        <v>21</v>
      </c>
      <c r="M142">
        <v>20</v>
      </c>
      <c r="N142" s="18" t="str">
        <f t="shared" si="6"/>
        <v>18-30</v>
      </c>
      <c r="O142" s="12">
        <f t="shared" si="7"/>
        <v>575.70000000000005</v>
      </c>
      <c r="P142" s="12">
        <f t="shared" si="8"/>
        <v>172.71</v>
      </c>
      <c r="X142" s="14" t="s">
        <v>116</v>
      </c>
      <c r="Y142" s="19">
        <v>127</v>
      </c>
    </row>
    <row r="143" spans="1:25" x14ac:dyDescent="0.3">
      <c r="A143">
        <v>63872</v>
      </c>
      <c r="B143" s="1">
        <v>45422</v>
      </c>
      <c r="C143">
        <v>202</v>
      </c>
      <c r="D143">
        <v>20</v>
      </c>
      <c r="E143" t="s">
        <v>28</v>
      </c>
      <c r="F143" t="s">
        <v>29</v>
      </c>
      <c r="G143">
        <v>4</v>
      </c>
      <c r="H143">
        <v>176.72</v>
      </c>
      <c r="I143" t="s">
        <v>15</v>
      </c>
      <c r="J143" t="s">
        <v>30</v>
      </c>
      <c r="K143">
        <v>1</v>
      </c>
      <c r="L143" t="s">
        <v>17</v>
      </c>
      <c r="M143">
        <v>33</v>
      </c>
      <c r="N143" s="18" t="str">
        <f t="shared" si="6"/>
        <v>31-45</v>
      </c>
      <c r="O143" s="12">
        <f t="shared" si="7"/>
        <v>706.88</v>
      </c>
      <c r="P143" s="12">
        <f t="shared" si="8"/>
        <v>212.06399999999999</v>
      </c>
      <c r="X143" s="14" t="s">
        <v>384</v>
      </c>
      <c r="Y143" s="19">
        <v>91.83</v>
      </c>
    </row>
    <row r="144" spans="1:25" x14ac:dyDescent="0.3">
      <c r="A144">
        <v>11829</v>
      </c>
      <c r="B144" s="1">
        <v>45422</v>
      </c>
      <c r="C144">
        <v>651</v>
      </c>
      <c r="D144">
        <v>20</v>
      </c>
      <c r="E144" t="s">
        <v>28</v>
      </c>
      <c r="F144" t="s">
        <v>77</v>
      </c>
      <c r="G144">
        <v>5</v>
      </c>
      <c r="H144">
        <v>85.92</v>
      </c>
      <c r="I144" t="s">
        <v>26</v>
      </c>
      <c r="J144" t="s">
        <v>295</v>
      </c>
      <c r="K144">
        <v>5</v>
      </c>
      <c r="L144" t="s">
        <v>21</v>
      </c>
      <c r="M144">
        <v>41</v>
      </c>
      <c r="N144" s="18" t="str">
        <f t="shared" si="6"/>
        <v>31-45</v>
      </c>
      <c r="O144" s="12">
        <f t="shared" si="7"/>
        <v>429.6</v>
      </c>
      <c r="P144" s="12">
        <f t="shared" si="8"/>
        <v>128.88</v>
      </c>
      <c r="X144" s="14" t="s">
        <v>59</v>
      </c>
      <c r="Y144" s="19">
        <v>2919.2</v>
      </c>
    </row>
    <row r="145" spans="1:25" x14ac:dyDescent="0.3">
      <c r="A145">
        <v>47189</v>
      </c>
      <c r="B145" s="1">
        <v>45422</v>
      </c>
      <c r="C145">
        <v>700</v>
      </c>
      <c r="D145">
        <v>30</v>
      </c>
      <c r="E145" t="s">
        <v>37</v>
      </c>
      <c r="F145" t="s">
        <v>58</v>
      </c>
      <c r="G145">
        <v>1</v>
      </c>
      <c r="H145">
        <v>385.88</v>
      </c>
      <c r="I145" t="s">
        <v>26</v>
      </c>
      <c r="J145" t="s">
        <v>541</v>
      </c>
      <c r="K145">
        <v>5</v>
      </c>
      <c r="L145" t="s">
        <v>21</v>
      </c>
      <c r="M145">
        <v>57</v>
      </c>
      <c r="N145" s="18" t="str">
        <f t="shared" si="6"/>
        <v>46-60</v>
      </c>
      <c r="O145" s="12">
        <f t="shared" si="7"/>
        <v>385.88</v>
      </c>
      <c r="P145" s="12">
        <f t="shared" si="8"/>
        <v>115.764</v>
      </c>
      <c r="X145" s="14" t="s">
        <v>61</v>
      </c>
      <c r="Y145" s="19">
        <v>910.44</v>
      </c>
    </row>
    <row r="146" spans="1:25" x14ac:dyDescent="0.3">
      <c r="A146">
        <v>57457</v>
      </c>
      <c r="B146" s="1">
        <v>45423</v>
      </c>
      <c r="C146">
        <v>284</v>
      </c>
      <c r="D146">
        <v>20</v>
      </c>
      <c r="E146" t="s">
        <v>28</v>
      </c>
      <c r="F146" t="s">
        <v>51</v>
      </c>
      <c r="G146">
        <v>1</v>
      </c>
      <c r="H146">
        <v>80.650000000000006</v>
      </c>
      <c r="I146" t="s">
        <v>35</v>
      </c>
      <c r="J146" t="s">
        <v>457</v>
      </c>
      <c r="K146">
        <v>5</v>
      </c>
      <c r="M146">
        <v>37</v>
      </c>
      <c r="N146" s="18" t="str">
        <f t="shared" si="6"/>
        <v>31-45</v>
      </c>
      <c r="O146" s="12">
        <f t="shared" si="7"/>
        <v>80.650000000000006</v>
      </c>
      <c r="P146" s="12">
        <f t="shared" si="8"/>
        <v>24.195</v>
      </c>
      <c r="X146" s="14" t="s">
        <v>252</v>
      </c>
      <c r="Y146" s="19">
        <v>171.96</v>
      </c>
    </row>
    <row r="147" spans="1:25" x14ac:dyDescent="0.3">
      <c r="A147">
        <v>25761</v>
      </c>
      <c r="B147" s="1">
        <v>45423</v>
      </c>
      <c r="C147">
        <v>657</v>
      </c>
      <c r="D147">
        <v>40</v>
      </c>
      <c r="E147" t="s">
        <v>24</v>
      </c>
      <c r="F147" t="s">
        <v>44</v>
      </c>
      <c r="G147">
        <v>4</v>
      </c>
      <c r="H147">
        <v>449.55</v>
      </c>
      <c r="I147" t="s">
        <v>15</v>
      </c>
      <c r="J147" t="s">
        <v>632</v>
      </c>
      <c r="K147">
        <v>3</v>
      </c>
      <c r="L147" t="s">
        <v>17</v>
      </c>
      <c r="M147">
        <v>29</v>
      </c>
      <c r="N147" s="18" t="str">
        <f t="shared" si="6"/>
        <v>18-30</v>
      </c>
      <c r="O147" s="12">
        <f t="shared" si="7"/>
        <v>1798.2</v>
      </c>
      <c r="P147" s="12">
        <f t="shared" si="8"/>
        <v>539.46</v>
      </c>
      <c r="X147" s="14" t="s">
        <v>695</v>
      </c>
      <c r="Y147" s="19">
        <v>888.4</v>
      </c>
    </row>
    <row r="148" spans="1:25" x14ac:dyDescent="0.3">
      <c r="A148">
        <v>42068</v>
      </c>
      <c r="B148" s="1">
        <v>45424</v>
      </c>
      <c r="C148">
        <v>529</v>
      </c>
      <c r="D148">
        <v>40</v>
      </c>
      <c r="E148" t="s">
        <v>24</v>
      </c>
      <c r="F148" t="s">
        <v>44</v>
      </c>
      <c r="G148">
        <v>5</v>
      </c>
      <c r="H148">
        <v>152.81</v>
      </c>
      <c r="I148" t="s">
        <v>35</v>
      </c>
      <c r="J148" t="s">
        <v>476</v>
      </c>
      <c r="K148">
        <v>5</v>
      </c>
      <c r="M148">
        <v>19</v>
      </c>
      <c r="N148" s="18" t="str">
        <f t="shared" si="6"/>
        <v>18-30</v>
      </c>
      <c r="O148" s="12">
        <f t="shared" si="7"/>
        <v>764.05</v>
      </c>
      <c r="P148" s="12">
        <f t="shared" si="8"/>
        <v>229.21499999999997</v>
      </c>
      <c r="X148" s="14" t="s">
        <v>80</v>
      </c>
      <c r="Y148" s="19">
        <v>454.26</v>
      </c>
    </row>
    <row r="149" spans="1:25" x14ac:dyDescent="0.3">
      <c r="A149">
        <v>48362</v>
      </c>
      <c r="B149" s="1">
        <v>45424</v>
      </c>
      <c r="C149">
        <v>186</v>
      </c>
      <c r="D149">
        <v>10</v>
      </c>
      <c r="E149" t="s">
        <v>13</v>
      </c>
      <c r="F149" t="s">
        <v>32</v>
      </c>
      <c r="G149">
        <v>1</v>
      </c>
      <c r="H149">
        <v>81.209999999999994</v>
      </c>
      <c r="I149" t="s">
        <v>35</v>
      </c>
      <c r="J149" t="s">
        <v>716</v>
      </c>
      <c r="L149" t="s">
        <v>21</v>
      </c>
      <c r="M149">
        <v>45</v>
      </c>
      <c r="N149" s="18" t="str">
        <f t="shared" si="6"/>
        <v>31-45</v>
      </c>
      <c r="O149" s="12">
        <f t="shared" si="7"/>
        <v>81.209999999999994</v>
      </c>
      <c r="P149" s="12">
        <f t="shared" si="8"/>
        <v>24.362999999999996</v>
      </c>
      <c r="X149" s="14" t="s">
        <v>771</v>
      </c>
      <c r="Y149" s="19">
        <v>217.98</v>
      </c>
    </row>
    <row r="150" spans="1:25" x14ac:dyDescent="0.3">
      <c r="A150">
        <v>72159</v>
      </c>
      <c r="B150" s="1">
        <v>45424</v>
      </c>
      <c r="C150">
        <v>329</v>
      </c>
      <c r="D150">
        <v>40</v>
      </c>
      <c r="E150" t="s">
        <v>24</v>
      </c>
      <c r="F150" t="s">
        <v>44</v>
      </c>
      <c r="G150">
        <v>3</v>
      </c>
      <c r="H150">
        <v>227.07</v>
      </c>
      <c r="I150" t="s">
        <v>35</v>
      </c>
      <c r="J150" t="s">
        <v>927</v>
      </c>
      <c r="K150">
        <v>5</v>
      </c>
      <c r="L150" t="s">
        <v>21</v>
      </c>
      <c r="M150">
        <v>64</v>
      </c>
      <c r="N150" s="18" t="str">
        <f t="shared" si="6"/>
        <v>60+</v>
      </c>
      <c r="O150" s="12">
        <f t="shared" si="7"/>
        <v>681.21</v>
      </c>
      <c r="P150" s="12">
        <f t="shared" si="8"/>
        <v>204.363</v>
      </c>
      <c r="X150" s="14" t="s">
        <v>216</v>
      </c>
      <c r="Y150" s="19">
        <v>467.7</v>
      </c>
    </row>
    <row r="151" spans="1:25" x14ac:dyDescent="0.3">
      <c r="A151">
        <v>46992</v>
      </c>
      <c r="B151" s="1">
        <v>45425</v>
      </c>
      <c r="C151">
        <v>824</v>
      </c>
      <c r="D151">
        <v>20</v>
      </c>
      <c r="E151" t="s">
        <v>28</v>
      </c>
      <c r="F151" t="s">
        <v>79</v>
      </c>
      <c r="G151">
        <v>2</v>
      </c>
      <c r="H151">
        <v>227.13</v>
      </c>
      <c r="I151" t="s">
        <v>35</v>
      </c>
      <c r="J151" t="s">
        <v>80</v>
      </c>
      <c r="L151" t="s">
        <v>17</v>
      </c>
      <c r="M151">
        <v>30</v>
      </c>
      <c r="N151" s="18" t="str">
        <f t="shared" si="6"/>
        <v>18-30</v>
      </c>
      <c r="O151" s="12">
        <f t="shared" si="7"/>
        <v>454.26</v>
      </c>
      <c r="P151" s="12">
        <f t="shared" si="8"/>
        <v>136.27799999999999</v>
      </c>
      <c r="X151" s="14" t="s">
        <v>141</v>
      </c>
      <c r="Y151" s="19">
        <v>2888.5299999999997</v>
      </c>
    </row>
    <row r="152" spans="1:25" x14ac:dyDescent="0.3">
      <c r="A152">
        <v>32080</v>
      </c>
      <c r="B152" s="1">
        <v>45425</v>
      </c>
      <c r="C152">
        <v>354</v>
      </c>
      <c r="D152">
        <v>20</v>
      </c>
      <c r="E152" t="s">
        <v>28</v>
      </c>
      <c r="F152" t="s">
        <v>77</v>
      </c>
      <c r="G152">
        <v>4</v>
      </c>
      <c r="H152">
        <v>21.6</v>
      </c>
      <c r="I152" t="s">
        <v>15</v>
      </c>
      <c r="J152" t="s">
        <v>110</v>
      </c>
      <c r="K152">
        <v>3</v>
      </c>
      <c r="L152" t="s">
        <v>21</v>
      </c>
      <c r="M152">
        <v>18</v>
      </c>
      <c r="N152" s="18" t="str">
        <f t="shared" si="6"/>
        <v>18-30</v>
      </c>
      <c r="O152" s="12">
        <f t="shared" si="7"/>
        <v>86.4</v>
      </c>
      <c r="P152" s="12">
        <f t="shared" si="8"/>
        <v>25.92</v>
      </c>
      <c r="X152" s="14" t="s">
        <v>192</v>
      </c>
      <c r="Y152" s="19">
        <v>1395.6</v>
      </c>
    </row>
    <row r="153" spans="1:25" x14ac:dyDescent="0.3">
      <c r="A153">
        <v>87787</v>
      </c>
      <c r="B153" s="1">
        <v>45425</v>
      </c>
      <c r="C153">
        <v>836</v>
      </c>
      <c r="D153">
        <v>40</v>
      </c>
      <c r="E153" t="s">
        <v>24</v>
      </c>
      <c r="F153" t="s">
        <v>44</v>
      </c>
      <c r="G153">
        <v>2</v>
      </c>
      <c r="H153">
        <v>233.85</v>
      </c>
      <c r="I153" t="s">
        <v>26</v>
      </c>
      <c r="J153" t="s">
        <v>216</v>
      </c>
      <c r="L153" t="s">
        <v>21</v>
      </c>
      <c r="M153">
        <v>67</v>
      </c>
      <c r="N153" s="18" t="str">
        <f t="shared" si="6"/>
        <v>60+</v>
      </c>
      <c r="O153" s="12">
        <f t="shared" si="7"/>
        <v>467.7</v>
      </c>
      <c r="P153" s="12">
        <f t="shared" si="8"/>
        <v>140.31</v>
      </c>
      <c r="X153" s="14" t="s">
        <v>533</v>
      </c>
      <c r="Y153" s="19">
        <v>235.82999999999998</v>
      </c>
    </row>
    <row r="154" spans="1:25" x14ac:dyDescent="0.3">
      <c r="A154">
        <v>89887</v>
      </c>
      <c r="B154" s="1">
        <v>45425</v>
      </c>
      <c r="C154">
        <v>576</v>
      </c>
      <c r="D154">
        <v>30</v>
      </c>
      <c r="E154" t="s">
        <v>37</v>
      </c>
      <c r="F154" t="s">
        <v>40</v>
      </c>
      <c r="G154">
        <v>3</v>
      </c>
      <c r="H154">
        <v>197.53</v>
      </c>
      <c r="I154" t="s">
        <v>15</v>
      </c>
      <c r="J154" t="s">
        <v>530</v>
      </c>
      <c r="K154">
        <v>5</v>
      </c>
      <c r="L154" t="s">
        <v>17</v>
      </c>
      <c r="M154">
        <v>32</v>
      </c>
      <c r="N154" s="18" t="str">
        <f t="shared" si="6"/>
        <v>31-45</v>
      </c>
      <c r="O154" s="12">
        <f t="shared" si="7"/>
        <v>592.59</v>
      </c>
      <c r="P154" s="12">
        <f t="shared" si="8"/>
        <v>177.77700000000002</v>
      </c>
      <c r="X154" s="14" t="s">
        <v>515</v>
      </c>
      <c r="Y154" s="19">
        <v>92.5</v>
      </c>
    </row>
    <row r="155" spans="1:25" x14ac:dyDescent="0.3">
      <c r="A155">
        <v>48665</v>
      </c>
      <c r="B155" s="1">
        <v>45426</v>
      </c>
      <c r="C155">
        <v>620</v>
      </c>
      <c r="D155">
        <v>10</v>
      </c>
      <c r="E155" t="s">
        <v>13</v>
      </c>
      <c r="F155" t="s">
        <v>32</v>
      </c>
      <c r="G155">
        <v>2</v>
      </c>
      <c r="H155">
        <v>455.6</v>
      </c>
      <c r="I155" t="s">
        <v>26</v>
      </c>
      <c r="J155" t="s">
        <v>229</v>
      </c>
      <c r="K155">
        <v>5</v>
      </c>
      <c r="L155" t="s">
        <v>21</v>
      </c>
      <c r="M155">
        <v>65</v>
      </c>
      <c r="N155" s="18" t="str">
        <f t="shared" si="6"/>
        <v>60+</v>
      </c>
      <c r="O155" s="12">
        <f t="shared" si="7"/>
        <v>911.2</v>
      </c>
      <c r="P155" s="12">
        <f t="shared" si="8"/>
        <v>273.36</v>
      </c>
      <c r="X155" s="14" t="s">
        <v>887</v>
      </c>
      <c r="Y155" s="19">
        <v>255.9</v>
      </c>
    </row>
    <row r="156" spans="1:25" x14ac:dyDescent="0.3">
      <c r="A156">
        <v>53860</v>
      </c>
      <c r="B156" s="1">
        <v>45426</v>
      </c>
      <c r="C156">
        <v>490</v>
      </c>
      <c r="D156">
        <v>50</v>
      </c>
      <c r="E156" t="s">
        <v>18</v>
      </c>
      <c r="F156" t="s">
        <v>19</v>
      </c>
      <c r="G156">
        <v>2</v>
      </c>
      <c r="H156">
        <v>179.13</v>
      </c>
      <c r="I156" t="s">
        <v>15</v>
      </c>
      <c r="J156" t="s">
        <v>265</v>
      </c>
      <c r="K156">
        <v>2</v>
      </c>
      <c r="L156" t="s">
        <v>17</v>
      </c>
      <c r="M156">
        <v>62</v>
      </c>
      <c r="N156" s="18" t="str">
        <f t="shared" si="6"/>
        <v>60+</v>
      </c>
      <c r="O156" s="12">
        <f t="shared" si="7"/>
        <v>358.26</v>
      </c>
      <c r="P156" s="12">
        <f t="shared" si="8"/>
        <v>107.47799999999999</v>
      </c>
      <c r="X156" s="14" t="s">
        <v>512</v>
      </c>
      <c r="Y156" s="19">
        <v>433.99</v>
      </c>
    </row>
    <row r="157" spans="1:25" x14ac:dyDescent="0.3">
      <c r="A157">
        <v>79004</v>
      </c>
      <c r="B157" s="1">
        <v>45426</v>
      </c>
      <c r="C157">
        <v>190</v>
      </c>
      <c r="D157">
        <v>30</v>
      </c>
      <c r="E157" t="s">
        <v>37</v>
      </c>
      <c r="F157" t="s">
        <v>95</v>
      </c>
      <c r="G157">
        <v>4</v>
      </c>
      <c r="H157">
        <v>68.790000000000006</v>
      </c>
      <c r="I157" t="s">
        <v>26</v>
      </c>
      <c r="J157" t="s">
        <v>268</v>
      </c>
      <c r="K157">
        <v>5</v>
      </c>
      <c r="L157" t="s">
        <v>21</v>
      </c>
      <c r="M157">
        <v>50</v>
      </c>
      <c r="N157" s="18" t="str">
        <f t="shared" si="6"/>
        <v>46-60</v>
      </c>
      <c r="O157" s="12">
        <f t="shared" si="7"/>
        <v>275.16000000000003</v>
      </c>
      <c r="P157" s="12">
        <f t="shared" si="8"/>
        <v>82.548000000000002</v>
      </c>
      <c r="X157" s="14" t="s">
        <v>290</v>
      </c>
      <c r="Y157" s="19">
        <v>693.4</v>
      </c>
    </row>
    <row r="158" spans="1:25" x14ac:dyDescent="0.3">
      <c r="A158">
        <v>98151</v>
      </c>
      <c r="B158" s="1">
        <v>45426</v>
      </c>
      <c r="C158">
        <v>707</v>
      </c>
      <c r="D158">
        <v>50</v>
      </c>
      <c r="E158" t="s">
        <v>18</v>
      </c>
      <c r="F158" t="s">
        <v>34</v>
      </c>
      <c r="G158">
        <v>2</v>
      </c>
      <c r="H158">
        <v>75.599999999999994</v>
      </c>
      <c r="I158" t="s">
        <v>35</v>
      </c>
      <c r="J158" t="s">
        <v>758</v>
      </c>
      <c r="K158">
        <v>4</v>
      </c>
      <c r="L158" t="s">
        <v>21</v>
      </c>
      <c r="M158">
        <v>45</v>
      </c>
      <c r="N158" s="18" t="str">
        <f t="shared" si="6"/>
        <v>31-45</v>
      </c>
      <c r="O158" s="12">
        <f t="shared" si="7"/>
        <v>151.19999999999999</v>
      </c>
      <c r="P158" s="12">
        <f t="shared" si="8"/>
        <v>45.359999999999992</v>
      </c>
      <c r="X158" s="14" t="s">
        <v>905</v>
      </c>
      <c r="Y158" s="19">
        <v>987.9</v>
      </c>
    </row>
    <row r="159" spans="1:25" x14ac:dyDescent="0.3">
      <c r="A159">
        <v>19863</v>
      </c>
      <c r="B159" s="1">
        <v>45426</v>
      </c>
      <c r="C159">
        <v>315</v>
      </c>
      <c r="D159">
        <v>40</v>
      </c>
      <c r="E159" t="s">
        <v>24</v>
      </c>
      <c r="F159" t="s">
        <v>44</v>
      </c>
      <c r="G159">
        <v>2</v>
      </c>
      <c r="H159">
        <v>180.67</v>
      </c>
      <c r="I159" t="s">
        <v>26</v>
      </c>
      <c r="J159" t="s">
        <v>904</v>
      </c>
      <c r="K159">
        <v>3</v>
      </c>
      <c r="L159" t="s">
        <v>17</v>
      </c>
      <c r="M159">
        <v>24</v>
      </c>
      <c r="N159" s="18" t="str">
        <f t="shared" si="6"/>
        <v>18-30</v>
      </c>
      <c r="O159" s="12">
        <f t="shared" si="7"/>
        <v>361.34</v>
      </c>
      <c r="P159" s="12">
        <f t="shared" si="8"/>
        <v>108.40199999999999</v>
      </c>
      <c r="X159" s="14" t="s">
        <v>1004</v>
      </c>
      <c r="Y159" s="19">
        <v>627.48</v>
      </c>
    </row>
    <row r="160" spans="1:25" x14ac:dyDescent="0.3">
      <c r="A160">
        <v>84845</v>
      </c>
      <c r="B160" s="1">
        <v>45427</v>
      </c>
      <c r="C160">
        <v>614</v>
      </c>
      <c r="D160">
        <v>40</v>
      </c>
      <c r="E160" t="s">
        <v>24</v>
      </c>
      <c r="F160" t="s">
        <v>65</v>
      </c>
      <c r="G160">
        <v>4</v>
      </c>
      <c r="H160">
        <v>73.59</v>
      </c>
      <c r="I160" t="s">
        <v>15</v>
      </c>
      <c r="J160" t="s">
        <v>341</v>
      </c>
      <c r="L160" t="s">
        <v>21</v>
      </c>
      <c r="M160">
        <v>71</v>
      </c>
      <c r="N160" s="18" t="str">
        <f t="shared" si="6"/>
        <v>60+</v>
      </c>
      <c r="O160" s="12">
        <f t="shared" si="7"/>
        <v>294.36</v>
      </c>
      <c r="P160" s="12">
        <f t="shared" si="8"/>
        <v>88.308000000000007</v>
      </c>
      <c r="X160" s="14" t="s">
        <v>395</v>
      </c>
      <c r="Y160" s="19">
        <v>1978.64</v>
      </c>
    </row>
    <row r="161" spans="1:25" x14ac:dyDescent="0.3">
      <c r="A161">
        <v>13042</v>
      </c>
      <c r="B161" s="1">
        <v>45427</v>
      </c>
      <c r="C161">
        <v>464</v>
      </c>
      <c r="D161">
        <v>20</v>
      </c>
      <c r="E161" t="s">
        <v>28</v>
      </c>
      <c r="F161" t="s">
        <v>29</v>
      </c>
      <c r="G161">
        <v>5</v>
      </c>
      <c r="H161">
        <v>254.8</v>
      </c>
      <c r="I161" t="s">
        <v>35</v>
      </c>
      <c r="J161" t="s">
        <v>821</v>
      </c>
      <c r="K161">
        <v>4</v>
      </c>
      <c r="L161" t="s">
        <v>17</v>
      </c>
      <c r="M161">
        <v>54</v>
      </c>
      <c r="N161" s="18" t="str">
        <f t="shared" si="6"/>
        <v>46-60</v>
      </c>
      <c r="O161" s="12">
        <f t="shared" si="7"/>
        <v>1274</v>
      </c>
      <c r="P161" s="12">
        <f t="shared" si="8"/>
        <v>382.2</v>
      </c>
      <c r="X161" s="14" t="s">
        <v>991</v>
      </c>
      <c r="Y161" s="19">
        <v>233.24</v>
      </c>
    </row>
    <row r="162" spans="1:25" x14ac:dyDescent="0.3">
      <c r="A162">
        <v>95274</v>
      </c>
      <c r="B162" s="1">
        <v>45427</v>
      </c>
      <c r="C162">
        <v>126</v>
      </c>
      <c r="D162">
        <v>20</v>
      </c>
      <c r="E162" t="s">
        <v>28</v>
      </c>
      <c r="F162" t="s">
        <v>79</v>
      </c>
      <c r="G162">
        <v>5</v>
      </c>
      <c r="H162">
        <v>323.89999999999998</v>
      </c>
      <c r="I162" t="s">
        <v>35</v>
      </c>
      <c r="J162" t="s">
        <v>964</v>
      </c>
      <c r="K162">
        <v>2</v>
      </c>
      <c r="L162" t="s">
        <v>17</v>
      </c>
      <c r="M162">
        <v>45</v>
      </c>
      <c r="N162" s="18" t="str">
        <f t="shared" si="6"/>
        <v>31-45</v>
      </c>
      <c r="O162" s="12">
        <f t="shared" si="7"/>
        <v>1619.5</v>
      </c>
      <c r="P162" s="12">
        <f t="shared" si="8"/>
        <v>485.84999999999997</v>
      </c>
      <c r="X162" s="14" t="s">
        <v>951</v>
      </c>
      <c r="Y162" s="19">
        <v>146.28</v>
      </c>
    </row>
    <row r="163" spans="1:25" x14ac:dyDescent="0.3">
      <c r="A163">
        <v>50771</v>
      </c>
      <c r="B163" s="1">
        <v>45428</v>
      </c>
      <c r="C163">
        <v>472</v>
      </c>
      <c r="D163">
        <v>50</v>
      </c>
      <c r="E163" t="s">
        <v>18</v>
      </c>
      <c r="F163" t="s">
        <v>34</v>
      </c>
      <c r="G163">
        <v>4</v>
      </c>
      <c r="H163">
        <v>213.76</v>
      </c>
      <c r="I163" t="s">
        <v>35</v>
      </c>
      <c r="J163" t="s">
        <v>405</v>
      </c>
      <c r="K163">
        <v>5</v>
      </c>
      <c r="L163" t="s">
        <v>17</v>
      </c>
      <c r="M163">
        <v>24</v>
      </c>
      <c r="N163" s="18" t="str">
        <f t="shared" si="6"/>
        <v>18-30</v>
      </c>
      <c r="O163" s="12">
        <f t="shared" si="7"/>
        <v>855.04</v>
      </c>
      <c r="P163" s="12">
        <f t="shared" si="8"/>
        <v>256.512</v>
      </c>
      <c r="X163" s="14" t="s">
        <v>819</v>
      </c>
      <c r="Y163" s="19">
        <v>2044.75</v>
      </c>
    </row>
    <row r="164" spans="1:25" x14ac:dyDescent="0.3">
      <c r="A164">
        <v>93806</v>
      </c>
      <c r="B164" s="1">
        <v>45429</v>
      </c>
      <c r="C164">
        <v>606</v>
      </c>
      <c r="D164">
        <v>40</v>
      </c>
      <c r="E164" t="s">
        <v>24</v>
      </c>
      <c r="F164" t="s">
        <v>44</v>
      </c>
      <c r="G164">
        <v>4</v>
      </c>
      <c r="H164">
        <v>336.75</v>
      </c>
      <c r="I164" t="s">
        <v>26</v>
      </c>
      <c r="J164" t="s">
        <v>214</v>
      </c>
      <c r="K164">
        <v>5</v>
      </c>
      <c r="L164" t="s">
        <v>17</v>
      </c>
      <c r="M164">
        <v>37</v>
      </c>
      <c r="N164" s="18" t="str">
        <f t="shared" si="6"/>
        <v>31-45</v>
      </c>
      <c r="O164" s="12">
        <f t="shared" si="7"/>
        <v>1347</v>
      </c>
      <c r="P164" s="12">
        <f t="shared" si="8"/>
        <v>404.09999999999997</v>
      </c>
      <c r="X164" s="14" t="s">
        <v>383</v>
      </c>
      <c r="Y164" s="19">
        <v>2244.6</v>
      </c>
    </row>
    <row r="165" spans="1:25" x14ac:dyDescent="0.3">
      <c r="A165">
        <v>28186</v>
      </c>
      <c r="B165" s="1">
        <v>45429</v>
      </c>
      <c r="C165">
        <v>889</v>
      </c>
      <c r="D165">
        <v>50</v>
      </c>
      <c r="E165" t="s">
        <v>18</v>
      </c>
      <c r="F165" t="s">
        <v>22</v>
      </c>
      <c r="G165">
        <v>1</v>
      </c>
      <c r="H165">
        <v>75.709999999999994</v>
      </c>
      <c r="I165" t="s">
        <v>15</v>
      </c>
      <c r="J165" t="s">
        <v>430</v>
      </c>
      <c r="K165">
        <v>2</v>
      </c>
      <c r="L165" t="s">
        <v>21</v>
      </c>
      <c r="M165">
        <v>41</v>
      </c>
      <c r="N165" s="18" t="str">
        <f t="shared" si="6"/>
        <v>31-45</v>
      </c>
      <c r="O165" s="12">
        <f t="shared" si="7"/>
        <v>75.709999999999994</v>
      </c>
      <c r="P165" s="12">
        <f t="shared" si="8"/>
        <v>22.712999999999997</v>
      </c>
      <c r="X165" s="14" t="s">
        <v>516</v>
      </c>
      <c r="Y165" s="19">
        <v>229.32</v>
      </c>
    </row>
    <row r="166" spans="1:25" x14ac:dyDescent="0.3">
      <c r="A166">
        <v>58130</v>
      </c>
      <c r="B166" s="1">
        <v>45429</v>
      </c>
      <c r="C166">
        <v>171</v>
      </c>
      <c r="D166">
        <v>40</v>
      </c>
      <c r="E166" t="s">
        <v>24</v>
      </c>
      <c r="F166" t="s">
        <v>63</v>
      </c>
      <c r="G166">
        <v>1</v>
      </c>
      <c r="H166">
        <v>138.55000000000001</v>
      </c>
      <c r="I166" t="s">
        <v>26</v>
      </c>
      <c r="J166" t="s">
        <v>497</v>
      </c>
      <c r="K166">
        <v>4</v>
      </c>
      <c r="L166" t="s">
        <v>17</v>
      </c>
      <c r="M166">
        <v>56</v>
      </c>
      <c r="N166" s="18" t="str">
        <f t="shared" si="6"/>
        <v>46-60</v>
      </c>
      <c r="O166" s="12">
        <f t="shared" si="7"/>
        <v>138.55000000000001</v>
      </c>
      <c r="P166" s="12">
        <f t="shared" si="8"/>
        <v>41.565000000000005</v>
      </c>
      <c r="X166" s="14" t="s">
        <v>165</v>
      </c>
      <c r="Y166" s="19">
        <v>580.15</v>
      </c>
    </row>
    <row r="167" spans="1:25" x14ac:dyDescent="0.3">
      <c r="A167">
        <v>44793</v>
      </c>
      <c r="B167" s="1">
        <v>45429</v>
      </c>
      <c r="C167">
        <v>401</v>
      </c>
      <c r="D167">
        <v>10</v>
      </c>
      <c r="E167" t="s">
        <v>13</v>
      </c>
      <c r="F167" t="s">
        <v>42</v>
      </c>
      <c r="G167">
        <v>5</v>
      </c>
      <c r="H167">
        <v>340.32</v>
      </c>
      <c r="I167" t="s">
        <v>15</v>
      </c>
      <c r="J167" t="s">
        <v>551</v>
      </c>
      <c r="K167">
        <v>1</v>
      </c>
      <c r="L167" t="s">
        <v>17</v>
      </c>
      <c r="M167">
        <v>54</v>
      </c>
      <c r="N167" s="18" t="str">
        <f t="shared" si="6"/>
        <v>46-60</v>
      </c>
      <c r="O167" s="12">
        <f t="shared" si="7"/>
        <v>1701.6</v>
      </c>
      <c r="P167" s="12">
        <f t="shared" si="8"/>
        <v>510.47999999999996</v>
      </c>
      <c r="X167" s="14" t="s">
        <v>211</v>
      </c>
      <c r="Y167" s="19">
        <v>928.25</v>
      </c>
    </row>
    <row r="168" spans="1:25" x14ac:dyDescent="0.3">
      <c r="A168">
        <v>55956</v>
      </c>
      <c r="B168" s="1">
        <v>45429</v>
      </c>
      <c r="C168">
        <v>110</v>
      </c>
      <c r="D168">
        <v>20</v>
      </c>
      <c r="E168" t="s">
        <v>28</v>
      </c>
      <c r="F168" t="s">
        <v>77</v>
      </c>
      <c r="G168">
        <v>3</v>
      </c>
      <c r="H168">
        <v>416.88</v>
      </c>
      <c r="I168" t="s">
        <v>35</v>
      </c>
      <c r="J168" t="s">
        <v>775</v>
      </c>
      <c r="L168" t="s">
        <v>17</v>
      </c>
      <c r="M168">
        <v>70</v>
      </c>
      <c r="N168" s="18" t="str">
        <f t="shared" si="6"/>
        <v>60+</v>
      </c>
      <c r="O168" s="12">
        <f t="shared" si="7"/>
        <v>1250.6399999999999</v>
      </c>
      <c r="P168" s="12">
        <f t="shared" si="8"/>
        <v>375.19199999999995</v>
      </c>
      <c r="X168" s="14" t="s">
        <v>965</v>
      </c>
      <c r="Y168" s="19">
        <v>774.83999999999992</v>
      </c>
    </row>
    <row r="169" spans="1:25" x14ac:dyDescent="0.3">
      <c r="A169">
        <v>36231</v>
      </c>
      <c r="B169" s="1">
        <v>45430</v>
      </c>
      <c r="C169">
        <v>606</v>
      </c>
      <c r="D169">
        <v>30</v>
      </c>
      <c r="E169" t="s">
        <v>37</v>
      </c>
      <c r="F169" t="s">
        <v>40</v>
      </c>
      <c r="G169">
        <v>5</v>
      </c>
      <c r="H169">
        <v>143.13999999999999</v>
      </c>
      <c r="I169" t="s">
        <v>26</v>
      </c>
      <c r="J169" t="s">
        <v>133</v>
      </c>
      <c r="K169">
        <v>5</v>
      </c>
      <c r="L169" t="s">
        <v>21</v>
      </c>
      <c r="M169">
        <v>72</v>
      </c>
      <c r="N169" s="18" t="str">
        <f t="shared" si="6"/>
        <v>60+</v>
      </c>
      <c r="O169" s="12">
        <f t="shared" si="7"/>
        <v>715.69999999999993</v>
      </c>
      <c r="P169" s="12">
        <f t="shared" si="8"/>
        <v>214.70999999999998</v>
      </c>
      <c r="X169" s="14" t="s">
        <v>264</v>
      </c>
      <c r="Y169" s="19">
        <v>247.97</v>
      </c>
    </row>
    <row r="170" spans="1:25" x14ac:dyDescent="0.3">
      <c r="A170">
        <v>16821</v>
      </c>
      <c r="B170" s="1">
        <v>45430</v>
      </c>
      <c r="C170">
        <v>175</v>
      </c>
      <c r="D170">
        <v>50</v>
      </c>
      <c r="E170" t="s">
        <v>18</v>
      </c>
      <c r="F170" t="s">
        <v>22</v>
      </c>
      <c r="G170">
        <v>4</v>
      </c>
      <c r="H170">
        <v>358.95</v>
      </c>
      <c r="I170" t="s">
        <v>26</v>
      </c>
      <c r="J170" t="s">
        <v>247</v>
      </c>
      <c r="K170">
        <v>5</v>
      </c>
      <c r="L170" t="s">
        <v>17</v>
      </c>
      <c r="M170">
        <v>68</v>
      </c>
      <c r="N170" s="18" t="str">
        <f t="shared" si="6"/>
        <v>60+</v>
      </c>
      <c r="O170" s="12">
        <f t="shared" si="7"/>
        <v>1435.8</v>
      </c>
      <c r="P170" s="12">
        <f t="shared" si="8"/>
        <v>430.73999999999995</v>
      </c>
      <c r="X170" s="14" t="s">
        <v>368</v>
      </c>
      <c r="Y170" s="19">
        <v>414.90000000000003</v>
      </c>
    </row>
    <row r="171" spans="1:25" x14ac:dyDescent="0.3">
      <c r="A171">
        <v>88015</v>
      </c>
      <c r="B171" s="1">
        <v>45432</v>
      </c>
      <c r="C171">
        <v>285</v>
      </c>
      <c r="D171">
        <v>20</v>
      </c>
      <c r="E171" t="s">
        <v>28</v>
      </c>
      <c r="F171" t="s">
        <v>29</v>
      </c>
      <c r="G171">
        <v>4</v>
      </c>
      <c r="H171">
        <v>264.29000000000002</v>
      </c>
      <c r="I171" t="s">
        <v>26</v>
      </c>
      <c r="J171" t="s">
        <v>185</v>
      </c>
      <c r="K171">
        <v>5</v>
      </c>
      <c r="L171" t="s">
        <v>21</v>
      </c>
      <c r="M171">
        <v>62</v>
      </c>
      <c r="N171" s="18" t="str">
        <f t="shared" si="6"/>
        <v>60+</v>
      </c>
      <c r="O171" s="12">
        <f t="shared" si="7"/>
        <v>1057.1600000000001</v>
      </c>
      <c r="P171" s="12">
        <f t="shared" si="8"/>
        <v>317.14800000000002</v>
      </c>
      <c r="X171" s="14" t="s">
        <v>658</v>
      </c>
      <c r="Y171" s="19">
        <v>240.56</v>
      </c>
    </row>
    <row r="172" spans="1:25" x14ac:dyDescent="0.3">
      <c r="A172">
        <v>91867</v>
      </c>
      <c r="B172" s="1">
        <v>45432</v>
      </c>
      <c r="C172">
        <v>893</v>
      </c>
      <c r="D172">
        <v>20</v>
      </c>
      <c r="E172" t="s">
        <v>28</v>
      </c>
      <c r="F172" t="s">
        <v>51</v>
      </c>
      <c r="G172">
        <v>1</v>
      </c>
      <c r="H172">
        <v>316.41000000000003</v>
      </c>
      <c r="I172" t="s">
        <v>15</v>
      </c>
      <c r="J172" t="s">
        <v>882</v>
      </c>
      <c r="K172">
        <v>4</v>
      </c>
      <c r="L172" t="s">
        <v>17</v>
      </c>
      <c r="M172">
        <v>45</v>
      </c>
      <c r="N172" s="18" t="str">
        <f t="shared" si="6"/>
        <v>31-45</v>
      </c>
      <c r="O172" s="12">
        <f t="shared" si="7"/>
        <v>316.41000000000003</v>
      </c>
      <c r="P172" s="12">
        <f t="shared" si="8"/>
        <v>94.923000000000002</v>
      </c>
      <c r="X172" s="14" t="s">
        <v>69</v>
      </c>
      <c r="Y172" s="19">
        <v>450.81</v>
      </c>
    </row>
    <row r="173" spans="1:25" x14ac:dyDescent="0.3">
      <c r="A173">
        <v>49331</v>
      </c>
      <c r="B173" s="1">
        <v>45433</v>
      </c>
      <c r="C173">
        <v>526</v>
      </c>
      <c r="D173">
        <v>30</v>
      </c>
      <c r="E173" t="s">
        <v>37</v>
      </c>
      <c r="F173" t="s">
        <v>38</v>
      </c>
      <c r="G173">
        <v>5</v>
      </c>
      <c r="H173">
        <v>122.23</v>
      </c>
      <c r="I173" t="s">
        <v>15</v>
      </c>
      <c r="J173" t="s">
        <v>46</v>
      </c>
      <c r="K173">
        <v>5</v>
      </c>
      <c r="L173" t="s">
        <v>21</v>
      </c>
      <c r="M173">
        <v>32</v>
      </c>
      <c r="N173" s="18" t="str">
        <f t="shared" si="6"/>
        <v>31-45</v>
      </c>
      <c r="O173" s="12">
        <f t="shared" si="7"/>
        <v>611.15</v>
      </c>
      <c r="P173" s="12">
        <f t="shared" si="8"/>
        <v>183.345</v>
      </c>
      <c r="X173" s="14" t="s">
        <v>946</v>
      </c>
      <c r="Y173" s="19">
        <v>63.02</v>
      </c>
    </row>
    <row r="174" spans="1:25" x14ac:dyDescent="0.3">
      <c r="A174">
        <v>23570</v>
      </c>
      <c r="B174" s="1">
        <v>45433</v>
      </c>
      <c r="C174">
        <v>721</v>
      </c>
      <c r="D174">
        <v>40</v>
      </c>
      <c r="E174" t="s">
        <v>24</v>
      </c>
      <c r="F174" t="s">
        <v>63</v>
      </c>
      <c r="G174">
        <v>5</v>
      </c>
      <c r="H174">
        <v>192.8</v>
      </c>
      <c r="I174" t="s">
        <v>26</v>
      </c>
      <c r="J174" t="s">
        <v>451</v>
      </c>
      <c r="K174">
        <v>4</v>
      </c>
      <c r="L174" t="s">
        <v>21</v>
      </c>
      <c r="M174">
        <v>35</v>
      </c>
      <c r="N174" s="18" t="str">
        <f t="shared" si="6"/>
        <v>31-45</v>
      </c>
      <c r="O174" s="12">
        <f t="shared" si="7"/>
        <v>964</v>
      </c>
      <c r="P174" s="12">
        <f t="shared" si="8"/>
        <v>289.2</v>
      </c>
      <c r="X174" s="14" t="s">
        <v>562</v>
      </c>
      <c r="Y174" s="19">
        <v>331.65</v>
      </c>
    </row>
    <row r="175" spans="1:25" x14ac:dyDescent="0.3">
      <c r="A175">
        <v>97308</v>
      </c>
      <c r="B175" s="1">
        <v>45433</v>
      </c>
      <c r="C175">
        <v>712</v>
      </c>
      <c r="D175">
        <v>40</v>
      </c>
      <c r="E175" t="s">
        <v>24</v>
      </c>
      <c r="F175" t="s">
        <v>44</v>
      </c>
      <c r="G175">
        <v>2</v>
      </c>
      <c r="H175">
        <v>18.28</v>
      </c>
      <c r="I175" t="s">
        <v>35</v>
      </c>
      <c r="J175" t="s">
        <v>645</v>
      </c>
      <c r="L175" t="s">
        <v>21</v>
      </c>
      <c r="M175">
        <v>64</v>
      </c>
      <c r="N175" s="18" t="str">
        <f t="shared" si="6"/>
        <v>60+</v>
      </c>
      <c r="O175" s="12">
        <f t="shared" si="7"/>
        <v>36.56</v>
      </c>
      <c r="P175" s="12">
        <f t="shared" si="8"/>
        <v>10.968</v>
      </c>
      <c r="X175" s="14" t="s">
        <v>412</v>
      </c>
      <c r="Y175" s="19">
        <v>1640.24</v>
      </c>
    </row>
    <row r="176" spans="1:25" x14ac:dyDescent="0.3">
      <c r="A176">
        <v>73858</v>
      </c>
      <c r="B176" s="1">
        <v>45433</v>
      </c>
      <c r="C176">
        <v>604</v>
      </c>
      <c r="D176">
        <v>20</v>
      </c>
      <c r="E176" t="s">
        <v>28</v>
      </c>
      <c r="F176" t="s">
        <v>29</v>
      </c>
      <c r="G176">
        <v>4</v>
      </c>
      <c r="H176">
        <v>488.49</v>
      </c>
      <c r="I176" t="s">
        <v>35</v>
      </c>
      <c r="J176" t="s">
        <v>814</v>
      </c>
      <c r="K176">
        <v>4</v>
      </c>
      <c r="L176" t="s">
        <v>21</v>
      </c>
      <c r="M176">
        <v>42</v>
      </c>
      <c r="N176" s="18" t="str">
        <f t="shared" si="6"/>
        <v>31-45</v>
      </c>
      <c r="O176" s="12">
        <f t="shared" si="7"/>
        <v>1953.96</v>
      </c>
      <c r="P176" s="12">
        <f t="shared" si="8"/>
        <v>586.18799999999999</v>
      </c>
      <c r="X176" s="14" t="s">
        <v>607</v>
      </c>
      <c r="Y176" s="19">
        <v>92.24</v>
      </c>
    </row>
    <row r="177" spans="1:25" x14ac:dyDescent="0.3">
      <c r="A177">
        <v>75474</v>
      </c>
      <c r="B177" s="1">
        <v>45434</v>
      </c>
      <c r="C177">
        <v>107</v>
      </c>
      <c r="D177">
        <v>40</v>
      </c>
      <c r="E177" t="s">
        <v>24</v>
      </c>
      <c r="F177" t="s">
        <v>44</v>
      </c>
      <c r="G177">
        <v>1</v>
      </c>
      <c r="H177">
        <v>117.47</v>
      </c>
      <c r="I177" t="s">
        <v>15</v>
      </c>
      <c r="J177" t="s">
        <v>53</v>
      </c>
      <c r="K177">
        <v>4</v>
      </c>
      <c r="L177" t="s">
        <v>21</v>
      </c>
      <c r="M177">
        <v>73</v>
      </c>
      <c r="N177" s="18" t="str">
        <f t="shared" si="6"/>
        <v>60+</v>
      </c>
      <c r="O177" s="12">
        <f t="shared" si="7"/>
        <v>117.47</v>
      </c>
      <c r="P177" s="12">
        <f t="shared" si="8"/>
        <v>35.241</v>
      </c>
      <c r="X177" s="14" t="s">
        <v>826</v>
      </c>
      <c r="Y177" s="19">
        <v>292.66000000000003</v>
      </c>
    </row>
    <row r="178" spans="1:25" x14ac:dyDescent="0.3">
      <c r="A178">
        <v>54459</v>
      </c>
      <c r="B178" s="1">
        <v>45434</v>
      </c>
      <c r="C178">
        <v>676</v>
      </c>
      <c r="D178">
        <v>30</v>
      </c>
      <c r="E178" t="s">
        <v>37</v>
      </c>
      <c r="F178" t="s">
        <v>95</v>
      </c>
      <c r="G178">
        <v>5</v>
      </c>
      <c r="H178">
        <v>355.4</v>
      </c>
      <c r="I178" t="s">
        <v>35</v>
      </c>
      <c r="J178" t="s">
        <v>381</v>
      </c>
      <c r="K178">
        <v>5</v>
      </c>
      <c r="L178" t="s">
        <v>21</v>
      </c>
      <c r="M178">
        <v>35</v>
      </c>
      <c r="N178" s="18" t="str">
        <f t="shared" si="6"/>
        <v>31-45</v>
      </c>
      <c r="O178" s="12">
        <f t="shared" si="7"/>
        <v>1777</v>
      </c>
      <c r="P178" s="12">
        <f t="shared" si="8"/>
        <v>533.1</v>
      </c>
      <c r="X178" s="14" t="s">
        <v>935</v>
      </c>
      <c r="Y178" s="19">
        <v>1548.1999999999998</v>
      </c>
    </row>
    <row r="179" spans="1:25" x14ac:dyDescent="0.3">
      <c r="A179">
        <v>11578</v>
      </c>
      <c r="B179" s="1">
        <v>45434</v>
      </c>
      <c r="C179">
        <v>787</v>
      </c>
      <c r="D179">
        <v>40</v>
      </c>
      <c r="E179" t="s">
        <v>24</v>
      </c>
      <c r="F179" t="s">
        <v>65</v>
      </c>
      <c r="G179">
        <v>2</v>
      </c>
      <c r="H179">
        <v>36.369999999999997</v>
      </c>
      <c r="I179" t="s">
        <v>26</v>
      </c>
      <c r="J179" t="s">
        <v>834</v>
      </c>
      <c r="K179">
        <v>4</v>
      </c>
      <c r="M179">
        <v>35</v>
      </c>
      <c r="N179" s="18" t="str">
        <f t="shared" si="6"/>
        <v>31-45</v>
      </c>
      <c r="O179" s="12">
        <f t="shared" si="7"/>
        <v>72.739999999999995</v>
      </c>
      <c r="P179" s="12">
        <f t="shared" si="8"/>
        <v>21.821999999999999</v>
      </c>
      <c r="X179" s="14" t="s">
        <v>242</v>
      </c>
      <c r="Y179" s="19">
        <v>65.69</v>
      </c>
    </row>
    <row r="180" spans="1:25" x14ac:dyDescent="0.3">
      <c r="A180">
        <v>82945</v>
      </c>
      <c r="B180" s="1">
        <v>45435</v>
      </c>
      <c r="C180">
        <v>952</v>
      </c>
      <c r="D180">
        <v>40</v>
      </c>
      <c r="E180" t="s">
        <v>24</v>
      </c>
      <c r="F180" t="s">
        <v>49</v>
      </c>
      <c r="G180">
        <v>2</v>
      </c>
      <c r="H180">
        <v>203.61</v>
      </c>
      <c r="I180" t="s">
        <v>35</v>
      </c>
      <c r="J180" t="s">
        <v>743</v>
      </c>
      <c r="L180" t="s">
        <v>21</v>
      </c>
      <c r="M180">
        <v>39</v>
      </c>
      <c r="N180" s="18" t="str">
        <f t="shared" si="6"/>
        <v>31-45</v>
      </c>
      <c r="O180" s="12">
        <f t="shared" si="7"/>
        <v>407.22</v>
      </c>
      <c r="P180" s="12">
        <f t="shared" si="8"/>
        <v>122.166</v>
      </c>
      <c r="X180" s="14" t="s">
        <v>213</v>
      </c>
      <c r="Y180" s="19">
        <v>457.29</v>
      </c>
    </row>
    <row r="181" spans="1:25" x14ac:dyDescent="0.3">
      <c r="A181">
        <v>82989</v>
      </c>
      <c r="B181" s="1">
        <v>45436</v>
      </c>
      <c r="C181">
        <v>892</v>
      </c>
      <c r="D181">
        <v>10</v>
      </c>
      <c r="E181" t="s">
        <v>13</v>
      </c>
      <c r="F181" t="s">
        <v>111</v>
      </c>
      <c r="G181">
        <v>1</v>
      </c>
      <c r="H181">
        <v>474.75</v>
      </c>
      <c r="I181" t="s">
        <v>26</v>
      </c>
      <c r="J181" t="s">
        <v>669</v>
      </c>
      <c r="K181">
        <v>5</v>
      </c>
      <c r="L181" t="s">
        <v>17</v>
      </c>
      <c r="M181">
        <v>61</v>
      </c>
      <c r="N181" s="18" t="str">
        <f t="shared" si="6"/>
        <v>60+</v>
      </c>
      <c r="O181" s="12">
        <f t="shared" si="7"/>
        <v>474.75</v>
      </c>
      <c r="P181" s="12">
        <f t="shared" si="8"/>
        <v>142.42499999999998</v>
      </c>
      <c r="X181" s="14" t="s">
        <v>767</v>
      </c>
      <c r="Y181" s="19">
        <v>511.8</v>
      </c>
    </row>
    <row r="182" spans="1:25" x14ac:dyDescent="0.3">
      <c r="A182">
        <v>51031</v>
      </c>
      <c r="B182" s="1">
        <v>45437</v>
      </c>
      <c r="C182">
        <v>216</v>
      </c>
      <c r="D182">
        <v>40</v>
      </c>
      <c r="E182" t="s">
        <v>24</v>
      </c>
      <c r="F182" t="s">
        <v>25</v>
      </c>
      <c r="G182">
        <v>4</v>
      </c>
      <c r="H182">
        <v>140.72999999999999</v>
      </c>
      <c r="I182" t="s">
        <v>35</v>
      </c>
      <c r="J182" t="s">
        <v>108</v>
      </c>
      <c r="L182" t="s">
        <v>17</v>
      </c>
      <c r="M182">
        <v>50</v>
      </c>
      <c r="N182" s="18" t="str">
        <f t="shared" si="6"/>
        <v>46-60</v>
      </c>
      <c r="O182" s="12">
        <f t="shared" si="7"/>
        <v>562.91999999999996</v>
      </c>
      <c r="P182" s="12">
        <f t="shared" si="8"/>
        <v>168.87599999999998</v>
      </c>
      <c r="X182" s="14" t="s">
        <v>742</v>
      </c>
      <c r="Y182" s="19">
        <v>124.02</v>
      </c>
    </row>
    <row r="183" spans="1:25" x14ac:dyDescent="0.3">
      <c r="A183">
        <v>27303</v>
      </c>
      <c r="B183" s="1">
        <v>45437</v>
      </c>
      <c r="C183">
        <v>119</v>
      </c>
      <c r="D183">
        <v>50</v>
      </c>
      <c r="E183" t="s">
        <v>18</v>
      </c>
      <c r="F183" t="s">
        <v>34</v>
      </c>
      <c r="G183">
        <v>1</v>
      </c>
      <c r="H183">
        <v>470.23</v>
      </c>
      <c r="I183" t="s">
        <v>15</v>
      </c>
      <c r="J183" t="s">
        <v>113</v>
      </c>
      <c r="K183">
        <v>5</v>
      </c>
      <c r="L183" t="s">
        <v>21</v>
      </c>
      <c r="M183">
        <v>26</v>
      </c>
      <c r="N183" s="18" t="str">
        <f t="shared" si="6"/>
        <v>18-30</v>
      </c>
      <c r="O183" s="12">
        <f t="shared" si="7"/>
        <v>470.23</v>
      </c>
      <c r="P183" s="12">
        <f t="shared" si="8"/>
        <v>141.06899999999999</v>
      </c>
      <c r="X183" s="14" t="s">
        <v>597</v>
      </c>
      <c r="Y183" s="19">
        <v>656.2</v>
      </c>
    </row>
    <row r="184" spans="1:25" x14ac:dyDescent="0.3">
      <c r="A184">
        <v>89883</v>
      </c>
      <c r="B184" s="1">
        <v>45437</v>
      </c>
      <c r="C184">
        <v>182</v>
      </c>
      <c r="D184">
        <v>20</v>
      </c>
      <c r="E184" t="s">
        <v>28</v>
      </c>
      <c r="F184" t="s">
        <v>77</v>
      </c>
      <c r="G184">
        <v>5</v>
      </c>
      <c r="H184">
        <v>116.03</v>
      </c>
      <c r="I184" t="s">
        <v>26</v>
      </c>
      <c r="J184" t="s">
        <v>165</v>
      </c>
      <c r="K184">
        <v>2</v>
      </c>
      <c r="L184" t="s">
        <v>17</v>
      </c>
      <c r="M184">
        <v>66</v>
      </c>
      <c r="N184" s="18" t="str">
        <f t="shared" si="6"/>
        <v>60+</v>
      </c>
      <c r="O184" s="12">
        <f t="shared" si="7"/>
        <v>580.15</v>
      </c>
      <c r="P184" s="12">
        <f t="shared" si="8"/>
        <v>174.04499999999999</v>
      </c>
      <c r="X184" s="14" t="s">
        <v>545</v>
      </c>
      <c r="Y184" s="19">
        <v>2299.41</v>
      </c>
    </row>
    <row r="185" spans="1:25" x14ac:dyDescent="0.3">
      <c r="A185">
        <v>16669</v>
      </c>
      <c r="B185" s="1">
        <v>45437</v>
      </c>
      <c r="C185">
        <v>360</v>
      </c>
      <c r="D185">
        <v>40</v>
      </c>
      <c r="E185" t="s">
        <v>24</v>
      </c>
      <c r="F185" t="s">
        <v>65</v>
      </c>
      <c r="G185">
        <v>3</v>
      </c>
      <c r="H185">
        <v>238.74</v>
      </c>
      <c r="I185" t="s">
        <v>26</v>
      </c>
      <c r="J185" t="s">
        <v>359</v>
      </c>
      <c r="K185">
        <v>4</v>
      </c>
      <c r="L185" t="s">
        <v>21</v>
      </c>
      <c r="M185">
        <v>34</v>
      </c>
      <c r="N185" s="18" t="str">
        <f t="shared" si="6"/>
        <v>31-45</v>
      </c>
      <c r="O185" s="12">
        <f t="shared" si="7"/>
        <v>716.22</v>
      </c>
      <c r="P185" s="12">
        <f t="shared" si="8"/>
        <v>214.86600000000001</v>
      </c>
      <c r="X185" s="14" t="s">
        <v>875</v>
      </c>
      <c r="Y185" s="19">
        <v>1664.3000000000002</v>
      </c>
    </row>
    <row r="186" spans="1:25" x14ac:dyDescent="0.3">
      <c r="A186">
        <v>95641</v>
      </c>
      <c r="B186" s="1">
        <v>45437</v>
      </c>
      <c r="C186">
        <v>887</v>
      </c>
      <c r="D186">
        <v>50</v>
      </c>
      <c r="E186" t="s">
        <v>18</v>
      </c>
      <c r="F186" t="s">
        <v>19</v>
      </c>
      <c r="G186">
        <v>3</v>
      </c>
      <c r="H186">
        <v>421.14</v>
      </c>
      <c r="I186" t="s">
        <v>15</v>
      </c>
      <c r="J186" t="s">
        <v>444</v>
      </c>
      <c r="K186">
        <v>5</v>
      </c>
      <c r="L186" t="s">
        <v>17</v>
      </c>
      <c r="M186">
        <v>74</v>
      </c>
      <c r="N186" s="18" t="str">
        <f t="shared" si="6"/>
        <v>60+</v>
      </c>
      <c r="O186" s="12">
        <f t="shared" si="7"/>
        <v>1263.42</v>
      </c>
      <c r="P186" s="12">
        <f t="shared" si="8"/>
        <v>379.02600000000001</v>
      </c>
      <c r="X186" s="14" t="s">
        <v>132</v>
      </c>
      <c r="Y186" s="19">
        <v>247.45</v>
      </c>
    </row>
    <row r="187" spans="1:25" x14ac:dyDescent="0.3">
      <c r="A187">
        <v>20004</v>
      </c>
      <c r="B187" s="1">
        <v>45437</v>
      </c>
      <c r="C187">
        <v>137</v>
      </c>
      <c r="D187">
        <v>30</v>
      </c>
      <c r="E187" t="s">
        <v>37</v>
      </c>
      <c r="F187" t="s">
        <v>40</v>
      </c>
      <c r="G187">
        <v>3</v>
      </c>
      <c r="H187">
        <v>220.32</v>
      </c>
      <c r="I187" t="s">
        <v>15</v>
      </c>
      <c r="J187" t="s">
        <v>527</v>
      </c>
      <c r="K187">
        <v>5</v>
      </c>
      <c r="L187" t="s">
        <v>21</v>
      </c>
      <c r="M187">
        <v>49</v>
      </c>
      <c r="N187" s="18" t="str">
        <f t="shared" si="6"/>
        <v>46-60</v>
      </c>
      <c r="O187" s="12">
        <f t="shared" si="7"/>
        <v>660.96</v>
      </c>
      <c r="P187" s="12">
        <f t="shared" si="8"/>
        <v>198.28800000000001</v>
      </c>
      <c r="X187" s="14" t="s">
        <v>917</v>
      </c>
      <c r="Y187" s="19">
        <v>1385.73</v>
      </c>
    </row>
    <row r="188" spans="1:25" x14ac:dyDescent="0.3">
      <c r="A188">
        <v>98227</v>
      </c>
      <c r="B188" s="1">
        <v>45437</v>
      </c>
      <c r="C188">
        <v>960</v>
      </c>
      <c r="D188">
        <v>10</v>
      </c>
      <c r="E188" t="s">
        <v>13</v>
      </c>
      <c r="F188" t="s">
        <v>32</v>
      </c>
      <c r="G188">
        <v>4</v>
      </c>
      <c r="H188">
        <v>356.25</v>
      </c>
      <c r="I188" t="s">
        <v>35</v>
      </c>
      <c r="J188" t="s">
        <v>868</v>
      </c>
      <c r="K188">
        <v>2</v>
      </c>
      <c r="L188" t="s">
        <v>17</v>
      </c>
      <c r="M188">
        <v>75</v>
      </c>
      <c r="N188" s="18" t="str">
        <f t="shared" si="6"/>
        <v>60+</v>
      </c>
      <c r="O188" s="12">
        <f t="shared" si="7"/>
        <v>1425</v>
      </c>
      <c r="P188" s="12">
        <f t="shared" si="8"/>
        <v>427.5</v>
      </c>
      <c r="X188" s="14" t="s">
        <v>660</v>
      </c>
      <c r="Y188" s="19">
        <v>1062.0999999999999</v>
      </c>
    </row>
    <row r="189" spans="1:25" x14ac:dyDescent="0.3">
      <c r="A189">
        <v>10848</v>
      </c>
      <c r="B189" s="1">
        <v>45438</v>
      </c>
      <c r="C189">
        <v>281</v>
      </c>
      <c r="D189">
        <v>10</v>
      </c>
      <c r="E189" t="s">
        <v>13</v>
      </c>
      <c r="F189" t="s">
        <v>111</v>
      </c>
      <c r="G189">
        <v>5</v>
      </c>
      <c r="H189">
        <v>120.02</v>
      </c>
      <c r="I189" t="s">
        <v>26</v>
      </c>
      <c r="J189" t="s">
        <v>307</v>
      </c>
      <c r="K189">
        <v>5</v>
      </c>
      <c r="L189" t="s">
        <v>17</v>
      </c>
      <c r="M189">
        <v>67</v>
      </c>
      <c r="N189" s="18" t="str">
        <f t="shared" si="6"/>
        <v>60+</v>
      </c>
      <c r="O189" s="12">
        <f t="shared" si="7"/>
        <v>600.1</v>
      </c>
      <c r="P189" s="12">
        <f t="shared" si="8"/>
        <v>180.03</v>
      </c>
      <c r="X189" s="14" t="s">
        <v>791</v>
      </c>
      <c r="Y189" s="19">
        <v>88.76</v>
      </c>
    </row>
    <row r="190" spans="1:25" x14ac:dyDescent="0.3">
      <c r="A190">
        <v>90560</v>
      </c>
      <c r="B190" s="1">
        <v>45438</v>
      </c>
      <c r="C190">
        <v>739</v>
      </c>
      <c r="D190">
        <v>30</v>
      </c>
      <c r="E190" t="s">
        <v>37</v>
      </c>
      <c r="F190" t="s">
        <v>40</v>
      </c>
      <c r="G190">
        <v>2</v>
      </c>
      <c r="H190">
        <v>68.53</v>
      </c>
      <c r="I190" t="s">
        <v>35</v>
      </c>
      <c r="J190" t="s">
        <v>546</v>
      </c>
      <c r="L190" t="s">
        <v>21</v>
      </c>
      <c r="M190">
        <v>69</v>
      </c>
      <c r="N190" s="18" t="str">
        <f t="shared" si="6"/>
        <v>60+</v>
      </c>
      <c r="O190" s="12">
        <f t="shared" si="7"/>
        <v>137.06</v>
      </c>
      <c r="P190" s="12">
        <f t="shared" si="8"/>
        <v>41.118000000000002</v>
      </c>
      <c r="X190" s="14" t="s">
        <v>31</v>
      </c>
      <c r="Y190" s="19">
        <v>784.64</v>
      </c>
    </row>
    <row r="191" spans="1:25" x14ac:dyDescent="0.3">
      <c r="A191">
        <v>74490</v>
      </c>
      <c r="B191" s="1">
        <v>45438</v>
      </c>
      <c r="C191">
        <v>677</v>
      </c>
      <c r="D191">
        <v>50</v>
      </c>
      <c r="E191" t="s">
        <v>18</v>
      </c>
      <c r="F191" t="s">
        <v>22</v>
      </c>
      <c r="G191">
        <v>1</v>
      </c>
      <c r="H191">
        <v>409.85</v>
      </c>
      <c r="I191" t="s">
        <v>26</v>
      </c>
      <c r="J191" t="s">
        <v>653</v>
      </c>
      <c r="K191">
        <v>5</v>
      </c>
      <c r="L191" t="s">
        <v>21</v>
      </c>
      <c r="M191">
        <v>65</v>
      </c>
      <c r="N191" s="18" t="str">
        <f t="shared" si="6"/>
        <v>60+</v>
      </c>
      <c r="O191" s="12">
        <f t="shared" si="7"/>
        <v>409.85</v>
      </c>
      <c r="P191" s="12">
        <f t="shared" si="8"/>
        <v>122.955</v>
      </c>
      <c r="X191" s="14" t="s">
        <v>762</v>
      </c>
      <c r="Y191" s="19">
        <v>480.28</v>
      </c>
    </row>
    <row r="192" spans="1:25" x14ac:dyDescent="0.3">
      <c r="A192">
        <v>99042</v>
      </c>
      <c r="B192" s="1">
        <v>45438</v>
      </c>
      <c r="C192">
        <v>343</v>
      </c>
      <c r="D192">
        <v>20</v>
      </c>
      <c r="E192" t="s">
        <v>28</v>
      </c>
      <c r="F192" t="s">
        <v>77</v>
      </c>
      <c r="G192">
        <v>2</v>
      </c>
      <c r="H192">
        <v>212.25</v>
      </c>
      <c r="I192" t="s">
        <v>35</v>
      </c>
      <c r="J192" t="s">
        <v>713</v>
      </c>
      <c r="K192">
        <v>5</v>
      </c>
      <c r="L192" t="s">
        <v>17</v>
      </c>
      <c r="M192">
        <v>69</v>
      </c>
      <c r="N192" s="18" t="str">
        <f t="shared" si="6"/>
        <v>60+</v>
      </c>
      <c r="O192" s="12">
        <f t="shared" si="7"/>
        <v>424.5</v>
      </c>
      <c r="P192" s="12">
        <f t="shared" si="8"/>
        <v>127.35</v>
      </c>
      <c r="X192" s="14" t="s">
        <v>580</v>
      </c>
      <c r="Y192" s="19">
        <v>685.65000000000009</v>
      </c>
    </row>
    <row r="193" spans="1:25" x14ac:dyDescent="0.3">
      <c r="A193">
        <v>32058</v>
      </c>
      <c r="B193" s="1">
        <v>45439</v>
      </c>
      <c r="C193">
        <v>843</v>
      </c>
      <c r="D193">
        <v>10</v>
      </c>
      <c r="E193" t="s">
        <v>13</v>
      </c>
      <c r="F193" t="s">
        <v>32</v>
      </c>
      <c r="G193">
        <v>3</v>
      </c>
      <c r="H193">
        <v>57.32</v>
      </c>
      <c r="I193" t="s">
        <v>35</v>
      </c>
      <c r="J193" t="s">
        <v>252</v>
      </c>
      <c r="K193">
        <v>3</v>
      </c>
      <c r="L193" t="s">
        <v>21</v>
      </c>
      <c r="M193">
        <v>28</v>
      </c>
      <c r="N193" s="18" t="str">
        <f t="shared" si="6"/>
        <v>18-30</v>
      </c>
      <c r="O193" s="12">
        <f t="shared" si="7"/>
        <v>171.96</v>
      </c>
      <c r="P193" s="12">
        <f t="shared" si="8"/>
        <v>51.588000000000001</v>
      </c>
      <c r="X193" s="14" t="s">
        <v>292</v>
      </c>
      <c r="Y193" s="19">
        <v>3011.36</v>
      </c>
    </row>
    <row r="194" spans="1:25" x14ac:dyDescent="0.3">
      <c r="A194">
        <v>83207</v>
      </c>
      <c r="B194" s="1">
        <v>45439</v>
      </c>
      <c r="C194">
        <v>530</v>
      </c>
      <c r="D194">
        <v>50</v>
      </c>
      <c r="E194" t="s">
        <v>18</v>
      </c>
      <c r="F194" t="s">
        <v>19</v>
      </c>
      <c r="G194">
        <v>5</v>
      </c>
      <c r="H194">
        <v>228.76</v>
      </c>
      <c r="I194" t="s">
        <v>35</v>
      </c>
      <c r="J194" t="s">
        <v>421</v>
      </c>
      <c r="K194">
        <v>5</v>
      </c>
      <c r="L194" t="s">
        <v>21</v>
      </c>
      <c r="M194">
        <v>56</v>
      </c>
      <c r="N194" s="18" t="str">
        <f t="shared" si="6"/>
        <v>46-60</v>
      </c>
      <c r="O194" s="12">
        <f t="shared" si="7"/>
        <v>1143.8</v>
      </c>
      <c r="P194" s="12">
        <f t="shared" si="8"/>
        <v>343.14</v>
      </c>
      <c r="X194" s="14" t="s">
        <v>407</v>
      </c>
      <c r="Y194" s="19">
        <v>709.7</v>
      </c>
    </row>
    <row r="195" spans="1:25" x14ac:dyDescent="0.3">
      <c r="A195">
        <v>26186</v>
      </c>
      <c r="B195" s="1">
        <v>45439</v>
      </c>
      <c r="C195">
        <v>822</v>
      </c>
      <c r="D195">
        <v>50</v>
      </c>
      <c r="E195" t="s">
        <v>18</v>
      </c>
      <c r="F195" t="s">
        <v>84</v>
      </c>
      <c r="G195">
        <v>3</v>
      </c>
      <c r="H195">
        <v>142.84</v>
      </c>
      <c r="I195" t="s">
        <v>15</v>
      </c>
      <c r="J195" t="s">
        <v>455</v>
      </c>
      <c r="K195">
        <v>5</v>
      </c>
      <c r="L195" t="s">
        <v>21</v>
      </c>
      <c r="M195">
        <v>38</v>
      </c>
      <c r="N195" s="18" t="str">
        <f t="shared" ref="N195:N258" si="9">IF(M195&lt;=30,"18-30",IF(M195&lt;=45,"31-45",IF(M195&lt;=60,"46-60","60+")))</f>
        <v>31-45</v>
      </c>
      <c r="O195" s="12">
        <f t="shared" ref="O195:O258" si="10">H195*G195</f>
        <v>428.52</v>
      </c>
      <c r="P195" s="12">
        <f t="shared" ref="P195:P258" si="11">O195*0.3</f>
        <v>128.55599999999998</v>
      </c>
      <c r="X195" s="14" t="s">
        <v>224</v>
      </c>
      <c r="Y195" s="19">
        <v>833.86</v>
      </c>
    </row>
    <row r="196" spans="1:25" x14ac:dyDescent="0.3">
      <c r="A196">
        <v>86056</v>
      </c>
      <c r="B196" s="1">
        <v>45439</v>
      </c>
      <c r="C196">
        <v>629</v>
      </c>
      <c r="D196">
        <v>20</v>
      </c>
      <c r="E196" t="s">
        <v>28</v>
      </c>
      <c r="F196" t="s">
        <v>72</v>
      </c>
      <c r="G196">
        <v>2</v>
      </c>
      <c r="H196">
        <v>344.86</v>
      </c>
      <c r="I196" t="s">
        <v>15</v>
      </c>
      <c r="J196" t="s">
        <v>717</v>
      </c>
      <c r="K196">
        <v>5</v>
      </c>
      <c r="L196" t="s">
        <v>17</v>
      </c>
      <c r="M196">
        <v>63</v>
      </c>
      <c r="N196" s="18" t="str">
        <f t="shared" si="9"/>
        <v>60+</v>
      </c>
      <c r="O196" s="12">
        <f t="shared" si="10"/>
        <v>689.72</v>
      </c>
      <c r="P196" s="12">
        <f t="shared" si="11"/>
        <v>206.916</v>
      </c>
      <c r="X196" s="14" t="s">
        <v>625</v>
      </c>
      <c r="Y196" s="19">
        <v>400.34</v>
      </c>
    </row>
    <row r="197" spans="1:25" x14ac:dyDescent="0.3">
      <c r="A197">
        <v>77076</v>
      </c>
      <c r="B197" s="1">
        <v>45439</v>
      </c>
      <c r="C197">
        <v>973</v>
      </c>
      <c r="D197">
        <v>10</v>
      </c>
      <c r="E197" t="s">
        <v>13</v>
      </c>
      <c r="F197" t="s">
        <v>111</v>
      </c>
      <c r="G197">
        <v>3</v>
      </c>
      <c r="H197">
        <v>83.17</v>
      </c>
      <c r="I197" t="s">
        <v>26</v>
      </c>
      <c r="J197" t="s">
        <v>983</v>
      </c>
      <c r="M197">
        <v>71</v>
      </c>
      <c r="N197" s="18" t="str">
        <f t="shared" si="9"/>
        <v>60+</v>
      </c>
      <c r="O197" s="12">
        <f t="shared" si="10"/>
        <v>249.51</v>
      </c>
      <c r="P197" s="12">
        <f t="shared" si="11"/>
        <v>74.852999999999994</v>
      </c>
      <c r="X197" s="14" t="s">
        <v>43</v>
      </c>
      <c r="Y197" s="19">
        <v>642.28</v>
      </c>
    </row>
    <row r="198" spans="1:25" x14ac:dyDescent="0.3">
      <c r="A198">
        <v>45232</v>
      </c>
      <c r="B198" s="1">
        <v>45440</v>
      </c>
      <c r="C198">
        <v>140</v>
      </c>
      <c r="D198">
        <v>30</v>
      </c>
      <c r="E198" t="s">
        <v>37</v>
      </c>
      <c r="F198" t="s">
        <v>68</v>
      </c>
      <c r="G198">
        <v>2</v>
      </c>
      <c r="H198">
        <v>139.43</v>
      </c>
      <c r="I198" t="s">
        <v>35</v>
      </c>
      <c r="J198" t="s">
        <v>629</v>
      </c>
      <c r="K198">
        <v>4</v>
      </c>
      <c r="L198" t="s">
        <v>17</v>
      </c>
      <c r="M198">
        <v>67</v>
      </c>
      <c r="N198" s="18" t="str">
        <f t="shared" si="9"/>
        <v>60+</v>
      </c>
      <c r="O198" s="12">
        <f t="shared" si="10"/>
        <v>278.86</v>
      </c>
      <c r="P198" s="12">
        <f t="shared" si="11"/>
        <v>83.658000000000001</v>
      </c>
      <c r="X198" s="14" t="s">
        <v>338</v>
      </c>
      <c r="Y198" s="19">
        <v>357.67</v>
      </c>
    </row>
    <row r="199" spans="1:25" x14ac:dyDescent="0.3">
      <c r="A199">
        <v>62030</v>
      </c>
      <c r="B199" s="1">
        <v>45440</v>
      </c>
      <c r="C199">
        <v>375</v>
      </c>
      <c r="D199">
        <v>10</v>
      </c>
      <c r="E199" t="s">
        <v>13</v>
      </c>
      <c r="F199" t="s">
        <v>14</v>
      </c>
      <c r="G199">
        <v>2</v>
      </c>
      <c r="H199">
        <v>45.89</v>
      </c>
      <c r="I199" t="s">
        <v>15</v>
      </c>
      <c r="J199" t="s">
        <v>739</v>
      </c>
      <c r="K199">
        <v>5</v>
      </c>
      <c r="L199" t="s">
        <v>17</v>
      </c>
      <c r="M199">
        <v>64</v>
      </c>
      <c r="N199" s="18" t="str">
        <f t="shared" si="9"/>
        <v>60+</v>
      </c>
      <c r="O199" s="12">
        <f t="shared" si="10"/>
        <v>91.78</v>
      </c>
      <c r="P199" s="12">
        <f t="shared" si="11"/>
        <v>27.533999999999999</v>
      </c>
      <c r="X199" s="14" t="s">
        <v>825</v>
      </c>
      <c r="Y199" s="19">
        <v>39.44</v>
      </c>
    </row>
    <row r="200" spans="1:25" x14ac:dyDescent="0.3">
      <c r="A200">
        <v>98418</v>
      </c>
      <c r="B200" s="1">
        <v>45440</v>
      </c>
      <c r="C200">
        <v>471</v>
      </c>
      <c r="D200">
        <v>30</v>
      </c>
      <c r="E200" t="s">
        <v>37</v>
      </c>
      <c r="F200" t="s">
        <v>40</v>
      </c>
      <c r="G200">
        <v>2</v>
      </c>
      <c r="H200">
        <v>493.95</v>
      </c>
      <c r="I200" t="s">
        <v>35</v>
      </c>
      <c r="J200" t="s">
        <v>905</v>
      </c>
      <c r="K200">
        <v>5</v>
      </c>
      <c r="L200" t="s">
        <v>17</v>
      </c>
      <c r="M200">
        <v>63</v>
      </c>
      <c r="N200" s="18" t="str">
        <f t="shared" si="9"/>
        <v>60+</v>
      </c>
      <c r="O200" s="12">
        <f t="shared" si="10"/>
        <v>987.9</v>
      </c>
      <c r="P200" s="12">
        <f t="shared" si="11"/>
        <v>296.37</v>
      </c>
      <c r="X200" s="14" t="s">
        <v>801</v>
      </c>
      <c r="Y200" s="19">
        <v>191.54</v>
      </c>
    </row>
    <row r="201" spans="1:25" x14ac:dyDescent="0.3">
      <c r="A201">
        <v>50980</v>
      </c>
      <c r="B201" s="1">
        <v>45441</v>
      </c>
      <c r="C201">
        <v>688</v>
      </c>
      <c r="D201">
        <v>40</v>
      </c>
      <c r="E201" t="s">
        <v>24</v>
      </c>
      <c r="F201" t="s">
        <v>65</v>
      </c>
      <c r="G201">
        <v>2</v>
      </c>
      <c r="H201">
        <v>44.8</v>
      </c>
      <c r="I201" t="s">
        <v>15</v>
      </c>
      <c r="J201" t="s">
        <v>538</v>
      </c>
      <c r="K201">
        <v>5</v>
      </c>
      <c r="M201">
        <v>27</v>
      </c>
      <c r="N201" s="18" t="str">
        <f t="shared" si="9"/>
        <v>18-30</v>
      </c>
      <c r="O201" s="12">
        <f t="shared" si="10"/>
        <v>89.6</v>
      </c>
      <c r="P201" s="12">
        <f t="shared" si="11"/>
        <v>26.88</v>
      </c>
      <c r="X201" s="14" t="s">
        <v>230</v>
      </c>
      <c r="Y201" s="19">
        <v>636.55999999999995</v>
      </c>
    </row>
    <row r="202" spans="1:25" x14ac:dyDescent="0.3">
      <c r="A202">
        <v>67232</v>
      </c>
      <c r="B202" s="1">
        <v>45441</v>
      </c>
      <c r="C202">
        <v>645</v>
      </c>
      <c r="D202">
        <v>20</v>
      </c>
      <c r="E202" t="s">
        <v>28</v>
      </c>
      <c r="F202" t="s">
        <v>72</v>
      </c>
      <c r="G202">
        <v>2</v>
      </c>
      <c r="H202">
        <v>172.22</v>
      </c>
      <c r="I202" t="s">
        <v>26</v>
      </c>
      <c r="J202" t="s">
        <v>730</v>
      </c>
      <c r="K202">
        <v>1</v>
      </c>
      <c r="L202" t="s">
        <v>17</v>
      </c>
      <c r="M202">
        <v>52</v>
      </c>
      <c r="N202" s="18" t="str">
        <f t="shared" si="9"/>
        <v>46-60</v>
      </c>
      <c r="O202" s="12">
        <f t="shared" si="10"/>
        <v>344.44</v>
      </c>
      <c r="P202" s="12">
        <f t="shared" si="11"/>
        <v>103.33199999999999</v>
      </c>
      <c r="X202" s="14" t="s">
        <v>469</v>
      </c>
      <c r="Y202" s="19">
        <v>530.67999999999995</v>
      </c>
    </row>
    <row r="203" spans="1:25" x14ac:dyDescent="0.3">
      <c r="A203">
        <v>91161</v>
      </c>
      <c r="B203" s="1">
        <v>45441</v>
      </c>
      <c r="C203">
        <v>556</v>
      </c>
      <c r="D203">
        <v>50</v>
      </c>
      <c r="E203" t="s">
        <v>18</v>
      </c>
      <c r="F203" t="s">
        <v>22</v>
      </c>
      <c r="G203">
        <v>3</v>
      </c>
      <c r="H203">
        <v>378.67</v>
      </c>
      <c r="I203" t="s">
        <v>15</v>
      </c>
      <c r="J203" t="s">
        <v>676</v>
      </c>
      <c r="K203">
        <v>4</v>
      </c>
      <c r="L203" t="s">
        <v>21</v>
      </c>
      <c r="M203">
        <v>25</v>
      </c>
      <c r="N203" s="18" t="str">
        <f t="shared" si="9"/>
        <v>18-30</v>
      </c>
      <c r="O203" s="12">
        <f t="shared" si="10"/>
        <v>1136.01</v>
      </c>
      <c r="P203" s="12">
        <f t="shared" si="11"/>
        <v>340.803</v>
      </c>
      <c r="X203" s="14" t="s">
        <v>867</v>
      </c>
      <c r="Y203" s="19">
        <v>102.30000000000001</v>
      </c>
    </row>
    <row r="204" spans="1:25" x14ac:dyDescent="0.3">
      <c r="A204">
        <v>82700</v>
      </c>
      <c r="B204" s="1">
        <v>45442</v>
      </c>
      <c r="C204">
        <v>410</v>
      </c>
      <c r="D204">
        <v>50</v>
      </c>
      <c r="E204" t="s">
        <v>18</v>
      </c>
      <c r="F204" t="s">
        <v>87</v>
      </c>
      <c r="G204">
        <v>5</v>
      </c>
      <c r="H204">
        <v>37.869999999999997</v>
      </c>
      <c r="I204" t="s">
        <v>35</v>
      </c>
      <c r="J204" t="s">
        <v>88</v>
      </c>
      <c r="L204" t="s">
        <v>21</v>
      </c>
      <c r="M204">
        <v>55</v>
      </c>
      <c r="N204" s="18" t="str">
        <f t="shared" si="9"/>
        <v>46-60</v>
      </c>
      <c r="O204" s="12">
        <f t="shared" si="10"/>
        <v>189.35</v>
      </c>
      <c r="P204" s="12">
        <f t="shared" si="11"/>
        <v>56.805</v>
      </c>
      <c r="X204" s="14" t="s">
        <v>328</v>
      </c>
      <c r="Y204" s="19">
        <v>1098.42</v>
      </c>
    </row>
    <row r="205" spans="1:25" x14ac:dyDescent="0.3">
      <c r="A205">
        <v>69170</v>
      </c>
      <c r="B205" s="1">
        <v>45442</v>
      </c>
      <c r="C205">
        <v>660</v>
      </c>
      <c r="D205">
        <v>20</v>
      </c>
      <c r="E205" t="s">
        <v>28</v>
      </c>
      <c r="F205" t="s">
        <v>72</v>
      </c>
      <c r="G205">
        <v>4</v>
      </c>
      <c r="H205">
        <v>66.56</v>
      </c>
      <c r="I205" t="s">
        <v>15</v>
      </c>
      <c r="J205" t="s">
        <v>98</v>
      </c>
      <c r="K205">
        <v>5</v>
      </c>
      <c r="L205" t="s">
        <v>21</v>
      </c>
      <c r="M205">
        <v>62</v>
      </c>
      <c r="N205" s="18" t="str">
        <f t="shared" si="9"/>
        <v>60+</v>
      </c>
      <c r="O205" s="12">
        <f t="shared" si="10"/>
        <v>266.24</v>
      </c>
      <c r="P205" s="12">
        <f t="shared" si="11"/>
        <v>79.872</v>
      </c>
      <c r="X205" s="14" t="s">
        <v>323</v>
      </c>
      <c r="Y205" s="19">
        <v>287.76</v>
      </c>
    </row>
    <row r="206" spans="1:25" x14ac:dyDescent="0.3">
      <c r="A206">
        <v>38096</v>
      </c>
      <c r="B206" s="1">
        <v>45442</v>
      </c>
      <c r="C206">
        <v>826</v>
      </c>
      <c r="D206">
        <v>40</v>
      </c>
      <c r="E206" t="s">
        <v>24</v>
      </c>
      <c r="F206" t="s">
        <v>65</v>
      </c>
      <c r="G206">
        <v>1</v>
      </c>
      <c r="H206">
        <v>67.7</v>
      </c>
      <c r="I206" t="s">
        <v>26</v>
      </c>
      <c r="J206" t="s">
        <v>335</v>
      </c>
      <c r="K206">
        <v>5</v>
      </c>
      <c r="L206" t="s">
        <v>21</v>
      </c>
      <c r="M206">
        <v>58</v>
      </c>
      <c r="N206" s="18" t="str">
        <f t="shared" si="9"/>
        <v>46-60</v>
      </c>
      <c r="O206" s="12">
        <f t="shared" si="10"/>
        <v>67.7</v>
      </c>
      <c r="P206" s="12">
        <f t="shared" si="11"/>
        <v>20.309999999999999</v>
      </c>
      <c r="X206" s="14" t="s">
        <v>442</v>
      </c>
      <c r="Y206" s="19">
        <v>943.24</v>
      </c>
    </row>
    <row r="207" spans="1:25" x14ac:dyDescent="0.3">
      <c r="A207">
        <v>20351</v>
      </c>
      <c r="B207" s="1">
        <v>45442</v>
      </c>
      <c r="C207">
        <v>627</v>
      </c>
      <c r="D207">
        <v>40</v>
      </c>
      <c r="E207" t="s">
        <v>24</v>
      </c>
      <c r="F207" t="s">
        <v>44</v>
      </c>
      <c r="G207">
        <v>5</v>
      </c>
      <c r="H207">
        <v>362.11</v>
      </c>
      <c r="I207" t="s">
        <v>15</v>
      </c>
      <c r="J207" t="s">
        <v>397</v>
      </c>
      <c r="K207">
        <v>5</v>
      </c>
      <c r="L207" t="s">
        <v>17</v>
      </c>
      <c r="M207">
        <v>62</v>
      </c>
      <c r="N207" s="18" t="str">
        <f t="shared" si="9"/>
        <v>60+</v>
      </c>
      <c r="O207" s="12">
        <f t="shared" si="10"/>
        <v>1810.5500000000002</v>
      </c>
      <c r="P207" s="12">
        <f t="shared" si="11"/>
        <v>543.16500000000008</v>
      </c>
      <c r="X207" s="14" t="s">
        <v>382</v>
      </c>
      <c r="Y207" s="19">
        <v>1402.53</v>
      </c>
    </row>
    <row r="208" spans="1:25" x14ac:dyDescent="0.3">
      <c r="A208">
        <v>97874</v>
      </c>
      <c r="B208" s="1">
        <v>45442</v>
      </c>
      <c r="C208">
        <v>967</v>
      </c>
      <c r="D208">
        <v>20</v>
      </c>
      <c r="E208" t="s">
        <v>28</v>
      </c>
      <c r="F208" t="s">
        <v>77</v>
      </c>
      <c r="G208">
        <v>5</v>
      </c>
      <c r="H208">
        <v>381.31</v>
      </c>
      <c r="I208" t="s">
        <v>15</v>
      </c>
      <c r="J208" t="s">
        <v>620</v>
      </c>
      <c r="M208">
        <v>71</v>
      </c>
      <c r="N208" s="18" t="str">
        <f t="shared" si="9"/>
        <v>60+</v>
      </c>
      <c r="O208" s="12">
        <f t="shared" si="10"/>
        <v>1906.55</v>
      </c>
      <c r="P208" s="12">
        <f t="shared" si="11"/>
        <v>571.96499999999992</v>
      </c>
      <c r="X208" s="14" t="s">
        <v>743</v>
      </c>
      <c r="Y208" s="19">
        <v>407.22</v>
      </c>
    </row>
    <row r="209" spans="1:25" x14ac:dyDescent="0.3">
      <c r="A209">
        <v>24639</v>
      </c>
      <c r="B209" s="1">
        <v>45442</v>
      </c>
      <c r="C209">
        <v>797</v>
      </c>
      <c r="D209">
        <v>10</v>
      </c>
      <c r="E209" t="s">
        <v>13</v>
      </c>
      <c r="F209" t="s">
        <v>111</v>
      </c>
      <c r="G209">
        <v>3</v>
      </c>
      <c r="H209">
        <v>238.77</v>
      </c>
      <c r="I209" t="s">
        <v>15</v>
      </c>
      <c r="J209" t="s">
        <v>980</v>
      </c>
      <c r="L209" t="s">
        <v>17</v>
      </c>
      <c r="M209">
        <v>49</v>
      </c>
      <c r="N209" s="18" t="str">
        <f t="shared" si="9"/>
        <v>46-60</v>
      </c>
      <c r="O209" s="12">
        <f t="shared" si="10"/>
        <v>716.31000000000006</v>
      </c>
      <c r="P209" s="12">
        <f t="shared" si="11"/>
        <v>214.893</v>
      </c>
      <c r="X209" s="14" t="s">
        <v>1001</v>
      </c>
      <c r="Y209" s="19">
        <v>681.72</v>
      </c>
    </row>
    <row r="210" spans="1:25" x14ac:dyDescent="0.3">
      <c r="A210">
        <v>75314</v>
      </c>
      <c r="B210" s="1">
        <v>45443</v>
      </c>
      <c r="C210">
        <v>417</v>
      </c>
      <c r="D210">
        <v>20</v>
      </c>
      <c r="E210" t="s">
        <v>28</v>
      </c>
      <c r="F210" t="s">
        <v>79</v>
      </c>
      <c r="G210">
        <v>1</v>
      </c>
      <c r="H210">
        <v>181.56</v>
      </c>
      <c r="I210" t="s">
        <v>35</v>
      </c>
      <c r="J210" t="s">
        <v>256</v>
      </c>
      <c r="K210">
        <v>3</v>
      </c>
      <c r="L210" t="s">
        <v>17</v>
      </c>
      <c r="M210">
        <v>24</v>
      </c>
      <c r="N210" s="18" t="str">
        <f t="shared" si="9"/>
        <v>18-30</v>
      </c>
      <c r="O210" s="12">
        <f t="shared" si="10"/>
        <v>181.56</v>
      </c>
      <c r="P210" s="12">
        <f t="shared" si="11"/>
        <v>54.467999999999996</v>
      </c>
      <c r="X210" s="14" t="s">
        <v>89</v>
      </c>
      <c r="Y210" s="19">
        <v>1363.4</v>
      </c>
    </row>
    <row r="211" spans="1:25" x14ac:dyDescent="0.3">
      <c r="A211">
        <v>63278</v>
      </c>
      <c r="B211" s="1">
        <v>45443</v>
      </c>
      <c r="C211">
        <v>722</v>
      </c>
      <c r="D211">
        <v>40</v>
      </c>
      <c r="E211" t="s">
        <v>24</v>
      </c>
      <c r="F211" t="s">
        <v>65</v>
      </c>
      <c r="G211">
        <v>2</v>
      </c>
      <c r="H211">
        <v>215.13</v>
      </c>
      <c r="I211" t="s">
        <v>35</v>
      </c>
      <c r="J211" t="s">
        <v>620</v>
      </c>
      <c r="K211">
        <v>5</v>
      </c>
      <c r="M211">
        <v>53</v>
      </c>
      <c r="N211" s="18" t="str">
        <f t="shared" si="9"/>
        <v>46-60</v>
      </c>
      <c r="O211" s="12">
        <f t="shared" si="10"/>
        <v>430.26</v>
      </c>
      <c r="P211" s="12">
        <f t="shared" si="11"/>
        <v>129.078</v>
      </c>
      <c r="X211" s="14" t="s">
        <v>813</v>
      </c>
      <c r="Y211" s="19">
        <v>2352.15</v>
      </c>
    </row>
    <row r="212" spans="1:25" x14ac:dyDescent="0.3">
      <c r="A212">
        <v>33203</v>
      </c>
      <c r="B212" s="1">
        <v>45443</v>
      </c>
      <c r="C212">
        <v>236</v>
      </c>
      <c r="D212">
        <v>50</v>
      </c>
      <c r="E212" t="s">
        <v>18</v>
      </c>
      <c r="F212" t="s">
        <v>84</v>
      </c>
      <c r="G212">
        <v>5</v>
      </c>
      <c r="H212">
        <v>366.17</v>
      </c>
      <c r="I212" t="s">
        <v>35</v>
      </c>
      <c r="J212" t="s">
        <v>945</v>
      </c>
      <c r="K212">
        <v>5</v>
      </c>
      <c r="L212" t="s">
        <v>21</v>
      </c>
      <c r="M212">
        <v>62</v>
      </c>
      <c r="N212" s="18" t="str">
        <f t="shared" si="9"/>
        <v>60+</v>
      </c>
      <c r="O212" s="12">
        <f t="shared" si="10"/>
        <v>1830.8500000000001</v>
      </c>
      <c r="P212" s="12">
        <f t="shared" si="11"/>
        <v>549.255</v>
      </c>
      <c r="X212" s="14" t="s">
        <v>566</v>
      </c>
      <c r="Y212" s="19">
        <v>413.66999999999996</v>
      </c>
    </row>
    <row r="213" spans="1:25" x14ac:dyDescent="0.3">
      <c r="A213">
        <v>23188</v>
      </c>
      <c r="B213" s="1">
        <v>45444</v>
      </c>
      <c r="C213">
        <v>682</v>
      </c>
      <c r="D213">
        <v>50</v>
      </c>
      <c r="E213" t="s">
        <v>18</v>
      </c>
      <c r="F213" t="s">
        <v>19</v>
      </c>
      <c r="G213">
        <v>5</v>
      </c>
      <c r="H213">
        <v>299.33999999999997</v>
      </c>
      <c r="I213" t="s">
        <v>15</v>
      </c>
      <c r="J213" t="s">
        <v>20</v>
      </c>
      <c r="L213" t="s">
        <v>21</v>
      </c>
      <c r="M213">
        <v>59</v>
      </c>
      <c r="N213" s="18" t="str">
        <f t="shared" si="9"/>
        <v>46-60</v>
      </c>
      <c r="O213" s="12">
        <f t="shared" si="10"/>
        <v>1496.6999999999998</v>
      </c>
      <c r="P213" s="12">
        <f t="shared" si="11"/>
        <v>449.00999999999993</v>
      </c>
      <c r="X213" s="14" t="s">
        <v>462</v>
      </c>
      <c r="Y213" s="19">
        <v>1282.8800000000001</v>
      </c>
    </row>
    <row r="214" spans="1:25" x14ac:dyDescent="0.3">
      <c r="A214">
        <v>61332</v>
      </c>
      <c r="B214" s="1">
        <v>45444</v>
      </c>
      <c r="C214">
        <v>200</v>
      </c>
      <c r="D214">
        <v>50</v>
      </c>
      <c r="E214" t="s">
        <v>18</v>
      </c>
      <c r="F214" t="s">
        <v>87</v>
      </c>
      <c r="G214">
        <v>2</v>
      </c>
      <c r="H214">
        <v>68.94</v>
      </c>
      <c r="I214" t="s">
        <v>26</v>
      </c>
      <c r="J214" t="s">
        <v>623</v>
      </c>
      <c r="M214">
        <v>39</v>
      </c>
      <c r="N214" s="18" t="str">
        <f t="shared" si="9"/>
        <v>31-45</v>
      </c>
      <c r="O214" s="12">
        <f t="shared" si="10"/>
        <v>137.88</v>
      </c>
      <c r="P214" s="12">
        <f t="shared" si="11"/>
        <v>41.363999999999997</v>
      </c>
      <c r="X214" s="14" t="s">
        <v>74</v>
      </c>
      <c r="Y214" s="19">
        <v>241.61</v>
      </c>
    </row>
    <row r="215" spans="1:25" x14ac:dyDescent="0.3">
      <c r="A215">
        <v>60796</v>
      </c>
      <c r="B215" s="1">
        <v>45444</v>
      </c>
      <c r="C215">
        <v>535</v>
      </c>
      <c r="D215">
        <v>50</v>
      </c>
      <c r="E215" t="s">
        <v>18</v>
      </c>
      <c r="F215" t="s">
        <v>22</v>
      </c>
      <c r="G215">
        <v>2</v>
      </c>
      <c r="H215">
        <v>241.33</v>
      </c>
      <c r="I215" t="s">
        <v>15</v>
      </c>
      <c r="J215" t="s">
        <v>757</v>
      </c>
      <c r="K215">
        <v>3</v>
      </c>
      <c r="L215" t="s">
        <v>21</v>
      </c>
      <c r="M215">
        <v>73</v>
      </c>
      <c r="N215" s="18" t="str">
        <f t="shared" si="9"/>
        <v>60+</v>
      </c>
      <c r="O215" s="12">
        <f t="shared" si="10"/>
        <v>482.66</v>
      </c>
      <c r="P215" s="12">
        <f t="shared" si="11"/>
        <v>144.798</v>
      </c>
      <c r="X215" s="14" t="s">
        <v>54</v>
      </c>
      <c r="Y215" s="19">
        <v>424.45</v>
      </c>
    </row>
    <row r="216" spans="1:25" x14ac:dyDescent="0.3">
      <c r="A216">
        <v>79880</v>
      </c>
      <c r="B216" s="1">
        <v>45444</v>
      </c>
      <c r="C216">
        <v>664</v>
      </c>
      <c r="D216">
        <v>30</v>
      </c>
      <c r="E216" t="s">
        <v>37</v>
      </c>
      <c r="F216" t="s">
        <v>38</v>
      </c>
      <c r="G216">
        <v>5</v>
      </c>
      <c r="H216">
        <v>308.42</v>
      </c>
      <c r="I216" t="s">
        <v>35</v>
      </c>
      <c r="J216" t="s">
        <v>793</v>
      </c>
      <c r="K216">
        <v>3</v>
      </c>
      <c r="M216">
        <v>20</v>
      </c>
      <c r="N216" s="18" t="str">
        <f t="shared" si="9"/>
        <v>18-30</v>
      </c>
      <c r="O216" s="12">
        <f t="shared" si="10"/>
        <v>1542.1000000000001</v>
      </c>
      <c r="P216" s="12">
        <f t="shared" si="11"/>
        <v>462.63</v>
      </c>
      <c r="X216" s="14" t="s">
        <v>753</v>
      </c>
      <c r="Y216" s="19">
        <v>2028.85</v>
      </c>
    </row>
    <row r="217" spans="1:25" x14ac:dyDescent="0.3">
      <c r="A217">
        <v>28742</v>
      </c>
      <c r="B217" s="1">
        <v>45445</v>
      </c>
      <c r="C217">
        <v>184</v>
      </c>
      <c r="D217">
        <v>10</v>
      </c>
      <c r="E217" t="s">
        <v>13</v>
      </c>
      <c r="F217" t="s">
        <v>111</v>
      </c>
      <c r="G217">
        <v>5</v>
      </c>
      <c r="H217">
        <v>335.61</v>
      </c>
      <c r="I217" t="s">
        <v>35</v>
      </c>
      <c r="J217" t="s">
        <v>526</v>
      </c>
      <c r="L217" t="s">
        <v>21</v>
      </c>
      <c r="M217">
        <v>34</v>
      </c>
      <c r="N217" s="18" t="str">
        <f t="shared" si="9"/>
        <v>31-45</v>
      </c>
      <c r="O217" s="12">
        <f t="shared" si="10"/>
        <v>1678.0500000000002</v>
      </c>
      <c r="P217" s="12">
        <f t="shared" si="11"/>
        <v>503.41500000000002</v>
      </c>
      <c r="X217" s="14" t="s">
        <v>202</v>
      </c>
      <c r="Y217" s="19">
        <v>592.98</v>
      </c>
    </row>
    <row r="218" spans="1:25" x14ac:dyDescent="0.3">
      <c r="A218">
        <v>48725</v>
      </c>
      <c r="B218" s="1">
        <v>45445</v>
      </c>
      <c r="C218">
        <v>471</v>
      </c>
      <c r="D218">
        <v>10</v>
      </c>
      <c r="E218" t="s">
        <v>13</v>
      </c>
      <c r="F218" t="s">
        <v>42</v>
      </c>
      <c r="G218">
        <v>2</v>
      </c>
      <c r="H218">
        <v>411.33</v>
      </c>
      <c r="I218" t="s">
        <v>15</v>
      </c>
      <c r="J218" t="s">
        <v>873</v>
      </c>
      <c r="K218">
        <v>4</v>
      </c>
      <c r="L218" t="s">
        <v>17</v>
      </c>
      <c r="M218">
        <v>64</v>
      </c>
      <c r="N218" s="18" t="str">
        <f t="shared" si="9"/>
        <v>60+</v>
      </c>
      <c r="O218" s="12">
        <f t="shared" si="10"/>
        <v>822.66</v>
      </c>
      <c r="P218" s="12">
        <f t="shared" si="11"/>
        <v>246.79799999999997</v>
      </c>
      <c r="X218" s="14" t="s">
        <v>749</v>
      </c>
      <c r="Y218" s="19">
        <v>651.78</v>
      </c>
    </row>
    <row r="219" spans="1:25" x14ac:dyDescent="0.3">
      <c r="A219">
        <v>17074</v>
      </c>
      <c r="B219" s="1">
        <v>45445</v>
      </c>
      <c r="C219">
        <v>224</v>
      </c>
      <c r="D219">
        <v>30</v>
      </c>
      <c r="E219" t="s">
        <v>37</v>
      </c>
      <c r="F219" t="s">
        <v>58</v>
      </c>
      <c r="G219">
        <v>1</v>
      </c>
      <c r="H219">
        <v>260.52</v>
      </c>
      <c r="I219" t="s">
        <v>35</v>
      </c>
      <c r="J219" t="s">
        <v>890</v>
      </c>
      <c r="K219">
        <v>5</v>
      </c>
      <c r="L219" t="s">
        <v>21</v>
      </c>
      <c r="M219">
        <v>37</v>
      </c>
      <c r="N219" s="18" t="str">
        <f t="shared" si="9"/>
        <v>31-45</v>
      </c>
      <c r="O219" s="12">
        <f t="shared" si="10"/>
        <v>260.52</v>
      </c>
      <c r="P219" s="12">
        <f t="shared" si="11"/>
        <v>78.155999999999992</v>
      </c>
      <c r="X219" s="14" t="s">
        <v>405</v>
      </c>
      <c r="Y219" s="19">
        <v>855.04</v>
      </c>
    </row>
    <row r="220" spans="1:25" x14ac:dyDescent="0.3">
      <c r="A220">
        <v>54901</v>
      </c>
      <c r="B220" s="1">
        <v>45447</v>
      </c>
      <c r="C220">
        <v>491</v>
      </c>
      <c r="D220">
        <v>40</v>
      </c>
      <c r="E220" t="s">
        <v>24</v>
      </c>
      <c r="F220" t="s">
        <v>65</v>
      </c>
      <c r="G220">
        <v>3</v>
      </c>
      <c r="H220">
        <v>376.28</v>
      </c>
      <c r="I220" t="s">
        <v>35</v>
      </c>
      <c r="J220" t="s">
        <v>138</v>
      </c>
      <c r="K220">
        <v>5</v>
      </c>
      <c r="L220" t="s">
        <v>17</v>
      </c>
      <c r="M220">
        <v>23</v>
      </c>
      <c r="N220" s="18" t="str">
        <f t="shared" si="9"/>
        <v>18-30</v>
      </c>
      <c r="O220" s="12">
        <f t="shared" si="10"/>
        <v>1128.8399999999999</v>
      </c>
      <c r="P220" s="12">
        <f t="shared" si="11"/>
        <v>338.65199999999999</v>
      </c>
      <c r="X220" s="14" t="s">
        <v>522</v>
      </c>
      <c r="Y220" s="19">
        <v>350.21999999999997</v>
      </c>
    </row>
    <row r="221" spans="1:25" x14ac:dyDescent="0.3">
      <c r="A221">
        <v>39236</v>
      </c>
      <c r="B221" s="1">
        <v>45448</v>
      </c>
      <c r="C221">
        <v>793</v>
      </c>
      <c r="D221">
        <v>30</v>
      </c>
      <c r="E221" t="s">
        <v>37</v>
      </c>
      <c r="F221" t="s">
        <v>40</v>
      </c>
      <c r="G221">
        <v>1</v>
      </c>
      <c r="H221">
        <v>158.11000000000001</v>
      </c>
      <c r="I221" t="s">
        <v>35</v>
      </c>
      <c r="J221" t="s">
        <v>167</v>
      </c>
      <c r="K221">
        <v>4</v>
      </c>
      <c r="L221" t="s">
        <v>21</v>
      </c>
      <c r="M221">
        <v>47</v>
      </c>
      <c r="N221" s="18" t="str">
        <f t="shared" si="9"/>
        <v>46-60</v>
      </c>
      <c r="O221" s="12">
        <f t="shared" si="10"/>
        <v>158.11000000000001</v>
      </c>
      <c r="P221" s="12">
        <f t="shared" si="11"/>
        <v>47.433</v>
      </c>
      <c r="X221" s="14" t="s">
        <v>110</v>
      </c>
      <c r="Y221" s="19">
        <v>86.4</v>
      </c>
    </row>
    <row r="222" spans="1:25" x14ac:dyDescent="0.3">
      <c r="A222">
        <v>14284</v>
      </c>
      <c r="B222" s="1">
        <v>45448</v>
      </c>
      <c r="C222">
        <v>865</v>
      </c>
      <c r="D222">
        <v>20</v>
      </c>
      <c r="E222" t="s">
        <v>28</v>
      </c>
      <c r="F222" t="s">
        <v>77</v>
      </c>
      <c r="G222">
        <v>1</v>
      </c>
      <c r="H222">
        <v>323.83</v>
      </c>
      <c r="I222" t="s">
        <v>26</v>
      </c>
      <c r="J222" t="s">
        <v>494</v>
      </c>
      <c r="K222">
        <v>3</v>
      </c>
      <c r="L222" t="s">
        <v>17</v>
      </c>
      <c r="M222">
        <v>63</v>
      </c>
      <c r="N222" s="18" t="str">
        <f t="shared" si="9"/>
        <v>60+</v>
      </c>
      <c r="O222" s="12">
        <f t="shared" si="10"/>
        <v>323.83</v>
      </c>
      <c r="P222" s="12">
        <f t="shared" si="11"/>
        <v>97.148999999999987</v>
      </c>
      <c r="X222" s="14" t="s">
        <v>785</v>
      </c>
      <c r="Y222" s="19">
        <v>1330.2</v>
      </c>
    </row>
    <row r="223" spans="1:25" x14ac:dyDescent="0.3">
      <c r="A223">
        <v>23300</v>
      </c>
      <c r="B223" s="1">
        <v>45448</v>
      </c>
      <c r="C223">
        <v>737</v>
      </c>
      <c r="D223">
        <v>20</v>
      </c>
      <c r="E223" t="s">
        <v>28</v>
      </c>
      <c r="F223" t="s">
        <v>29</v>
      </c>
      <c r="G223">
        <v>2</v>
      </c>
      <c r="H223">
        <v>46.12</v>
      </c>
      <c r="I223" t="s">
        <v>15</v>
      </c>
      <c r="J223" t="s">
        <v>607</v>
      </c>
      <c r="K223">
        <v>2</v>
      </c>
      <c r="L223" t="s">
        <v>21</v>
      </c>
      <c r="M223">
        <v>66</v>
      </c>
      <c r="N223" s="18" t="str">
        <f t="shared" si="9"/>
        <v>60+</v>
      </c>
      <c r="O223" s="12">
        <f t="shared" si="10"/>
        <v>92.24</v>
      </c>
      <c r="P223" s="12">
        <f t="shared" si="11"/>
        <v>27.671999999999997</v>
      </c>
      <c r="X223" s="14" t="s">
        <v>143</v>
      </c>
      <c r="Y223" s="19">
        <v>146.35</v>
      </c>
    </row>
    <row r="224" spans="1:25" x14ac:dyDescent="0.3">
      <c r="A224">
        <v>39945</v>
      </c>
      <c r="B224" s="1">
        <v>45449</v>
      </c>
      <c r="C224">
        <v>273</v>
      </c>
      <c r="D224">
        <v>50</v>
      </c>
      <c r="E224" t="s">
        <v>18</v>
      </c>
      <c r="F224" t="s">
        <v>34</v>
      </c>
      <c r="G224">
        <v>5</v>
      </c>
      <c r="H224">
        <v>182.39</v>
      </c>
      <c r="I224" t="s">
        <v>26</v>
      </c>
      <c r="J224" t="s">
        <v>163</v>
      </c>
      <c r="K224">
        <v>2</v>
      </c>
      <c r="L224" t="s">
        <v>21</v>
      </c>
      <c r="M224">
        <v>75</v>
      </c>
      <c r="N224" s="18" t="str">
        <f t="shared" si="9"/>
        <v>60+</v>
      </c>
      <c r="O224" s="12">
        <f t="shared" si="10"/>
        <v>911.94999999999993</v>
      </c>
      <c r="P224" s="12">
        <f t="shared" si="11"/>
        <v>273.58499999999998</v>
      </c>
      <c r="X224" s="14" t="s">
        <v>980</v>
      </c>
      <c r="Y224" s="19">
        <v>716.31000000000006</v>
      </c>
    </row>
    <row r="225" spans="1:25" x14ac:dyDescent="0.3">
      <c r="A225">
        <v>12817</v>
      </c>
      <c r="B225" s="1">
        <v>45449</v>
      </c>
      <c r="C225">
        <v>466</v>
      </c>
      <c r="D225">
        <v>50</v>
      </c>
      <c r="E225" t="s">
        <v>18</v>
      </c>
      <c r="F225" t="s">
        <v>22</v>
      </c>
      <c r="G225">
        <v>4</v>
      </c>
      <c r="H225">
        <v>397.46</v>
      </c>
      <c r="I225" t="s">
        <v>15</v>
      </c>
      <c r="J225" t="s">
        <v>173</v>
      </c>
      <c r="K225">
        <v>5</v>
      </c>
      <c r="L225" t="s">
        <v>21</v>
      </c>
      <c r="M225">
        <v>40</v>
      </c>
      <c r="N225" s="18" t="str">
        <f t="shared" si="9"/>
        <v>31-45</v>
      </c>
      <c r="O225" s="12">
        <f t="shared" si="10"/>
        <v>1589.84</v>
      </c>
      <c r="P225" s="12">
        <f t="shared" si="11"/>
        <v>476.95199999999994</v>
      </c>
      <c r="X225" s="14" t="s">
        <v>638</v>
      </c>
      <c r="Y225" s="19">
        <v>120.9</v>
      </c>
    </row>
    <row r="226" spans="1:25" x14ac:dyDescent="0.3">
      <c r="A226">
        <v>88424</v>
      </c>
      <c r="B226" s="1">
        <v>45449</v>
      </c>
      <c r="C226">
        <v>535</v>
      </c>
      <c r="D226">
        <v>10</v>
      </c>
      <c r="E226" t="s">
        <v>13</v>
      </c>
      <c r="F226" t="s">
        <v>14</v>
      </c>
      <c r="G226">
        <v>2</v>
      </c>
      <c r="H226">
        <v>190.68</v>
      </c>
      <c r="I226" t="s">
        <v>26</v>
      </c>
      <c r="J226" t="s">
        <v>282</v>
      </c>
      <c r="L226" t="s">
        <v>17</v>
      </c>
      <c r="M226">
        <v>44</v>
      </c>
      <c r="N226" s="18" t="str">
        <f t="shared" si="9"/>
        <v>31-45</v>
      </c>
      <c r="O226" s="12">
        <f t="shared" si="10"/>
        <v>381.36</v>
      </c>
      <c r="P226" s="12">
        <f t="shared" si="11"/>
        <v>114.408</v>
      </c>
      <c r="X226" s="14" t="s">
        <v>335</v>
      </c>
      <c r="Y226" s="19">
        <v>67.7</v>
      </c>
    </row>
    <row r="227" spans="1:25" x14ac:dyDescent="0.3">
      <c r="A227">
        <v>36125</v>
      </c>
      <c r="B227" s="1">
        <v>45449</v>
      </c>
      <c r="C227">
        <v>521</v>
      </c>
      <c r="D227">
        <v>50</v>
      </c>
      <c r="E227" t="s">
        <v>18</v>
      </c>
      <c r="F227" t="s">
        <v>84</v>
      </c>
      <c r="G227">
        <v>5</v>
      </c>
      <c r="H227">
        <v>406.26</v>
      </c>
      <c r="I227" t="s">
        <v>26</v>
      </c>
      <c r="J227" t="s">
        <v>410</v>
      </c>
      <c r="L227" t="s">
        <v>21</v>
      </c>
      <c r="M227">
        <v>30</v>
      </c>
      <c r="N227" s="18" t="str">
        <f t="shared" si="9"/>
        <v>18-30</v>
      </c>
      <c r="O227" s="12">
        <f t="shared" si="10"/>
        <v>2031.3</v>
      </c>
      <c r="P227" s="12">
        <f t="shared" si="11"/>
        <v>609.39</v>
      </c>
      <c r="X227" s="14" t="s">
        <v>919</v>
      </c>
      <c r="Y227" s="19">
        <v>475.07</v>
      </c>
    </row>
    <row r="228" spans="1:25" x14ac:dyDescent="0.3">
      <c r="A228">
        <v>79809</v>
      </c>
      <c r="B228" s="1">
        <v>45450</v>
      </c>
      <c r="C228">
        <v>706</v>
      </c>
      <c r="D228">
        <v>10</v>
      </c>
      <c r="E228" t="s">
        <v>13</v>
      </c>
      <c r="F228" t="s">
        <v>32</v>
      </c>
      <c r="G228">
        <v>5</v>
      </c>
      <c r="H228">
        <v>272.75</v>
      </c>
      <c r="I228" t="s">
        <v>26</v>
      </c>
      <c r="J228" t="s">
        <v>33</v>
      </c>
      <c r="L228" t="s">
        <v>21</v>
      </c>
      <c r="M228">
        <v>57</v>
      </c>
      <c r="N228" s="18" t="str">
        <f t="shared" si="9"/>
        <v>46-60</v>
      </c>
      <c r="O228" s="12">
        <f t="shared" si="10"/>
        <v>1363.75</v>
      </c>
      <c r="P228" s="12">
        <f t="shared" si="11"/>
        <v>409.125</v>
      </c>
      <c r="X228" s="14" t="s">
        <v>576</v>
      </c>
      <c r="Y228" s="19">
        <v>297.2</v>
      </c>
    </row>
    <row r="229" spans="1:25" x14ac:dyDescent="0.3">
      <c r="A229">
        <v>28298</v>
      </c>
      <c r="B229" s="1">
        <v>45450</v>
      </c>
      <c r="C229">
        <v>555</v>
      </c>
      <c r="D229">
        <v>40</v>
      </c>
      <c r="E229" t="s">
        <v>24</v>
      </c>
      <c r="F229" t="s">
        <v>63</v>
      </c>
      <c r="G229">
        <v>3</v>
      </c>
      <c r="H229">
        <v>346.82</v>
      </c>
      <c r="I229" t="s">
        <v>26</v>
      </c>
      <c r="J229" t="s">
        <v>178</v>
      </c>
      <c r="K229">
        <v>5</v>
      </c>
      <c r="L229" t="s">
        <v>17</v>
      </c>
      <c r="M229">
        <v>18</v>
      </c>
      <c r="N229" s="18" t="str">
        <f t="shared" si="9"/>
        <v>18-30</v>
      </c>
      <c r="O229" s="12">
        <f t="shared" si="10"/>
        <v>1040.46</v>
      </c>
      <c r="P229" s="12">
        <f t="shared" si="11"/>
        <v>312.13799999999998</v>
      </c>
      <c r="X229" s="14" t="s">
        <v>103</v>
      </c>
      <c r="Y229" s="19">
        <v>27.65</v>
      </c>
    </row>
    <row r="230" spans="1:25" x14ac:dyDescent="0.3">
      <c r="A230">
        <v>20485</v>
      </c>
      <c r="B230" s="1">
        <v>45450</v>
      </c>
      <c r="C230">
        <v>602</v>
      </c>
      <c r="D230">
        <v>20</v>
      </c>
      <c r="E230" t="s">
        <v>28</v>
      </c>
      <c r="F230" t="s">
        <v>79</v>
      </c>
      <c r="G230">
        <v>4</v>
      </c>
      <c r="H230">
        <v>333.92</v>
      </c>
      <c r="I230" t="s">
        <v>15</v>
      </c>
      <c r="J230" t="s">
        <v>240</v>
      </c>
      <c r="L230" t="s">
        <v>21</v>
      </c>
      <c r="M230">
        <v>44</v>
      </c>
      <c r="N230" s="18" t="str">
        <f t="shared" si="9"/>
        <v>31-45</v>
      </c>
      <c r="O230" s="12">
        <f t="shared" si="10"/>
        <v>1335.68</v>
      </c>
      <c r="P230" s="12">
        <f t="shared" si="11"/>
        <v>400.70400000000001</v>
      </c>
      <c r="X230" s="14" t="s">
        <v>237</v>
      </c>
      <c r="Y230" s="19">
        <v>388.04999999999995</v>
      </c>
    </row>
    <row r="231" spans="1:25" x14ac:dyDescent="0.3">
      <c r="A231">
        <v>35007</v>
      </c>
      <c r="B231" s="1">
        <v>45452</v>
      </c>
      <c r="C231">
        <v>355</v>
      </c>
      <c r="D231">
        <v>30</v>
      </c>
      <c r="E231" t="s">
        <v>37</v>
      </c>
      <c r="F231" t="s">
        <v>68</v>
      </c>
      <c r="G231">
        <v>2</v>
      </c>
      <c r="H231">
        <v>149.77000000000001</v>
      </c>
      <c r="I231" t="s">
        <v>35</v>
      </c>
      <c r="J231" t="s">
        <v>83</v>
      </c>
      <c r="K231">
        <v>5</v>
      </c>
      <c r="M231">
        <v>65</v>
      </c>
      <c r="N231" s="18" t="str">
        <f t="shared" si="9"/>
        <v>60+</v>
      </c>
      <c r="O231" s="12">
        <f t="shared" si="10"/>
        <v>299.54000000000002</v>
      </c>
      <c r="P231" s="12">
        <f t="shared" si="11"/>
        <v>89.862000000000009</v>
      </c>
      <c r="X231" s="14" t="s">
        <v>842</v>
      </c>
      <c r="Y231" s="19">
        <v>476.25</v>
      </c>
    </row>
    <row r="232" spans="1:25" x14ac:dyDescent="0.3">
      <c r="A232">
        <v>55184</v>
      </c>
      <c r="B232" s="1">
        <v>45452</v>
      </c>
      <c r="C232">
        <v>151</v>
      </c>
      <c r="D232">
        <v>20</v>
      </c>
      <c r="E232" t="s">
        <v>28</v>
      </c>
      <c r="F232" t="s">
        <v>29</v>
      </c>
      <c r="G232">
        <v>5</v>
      </c>
      <c r="H232">
        <v>31.41</v>
      </c>
      <c r="I232" t="s">
        <v>26</v>
      </c>
      <c r="J232" t="s">
        <v>298</v>
      </c>
      <c r="K232">
        <v>5</v>
      </c>
      <c r="L232" t="s">
        <v>21</v>
      </c>
      <c r="M232">
        <v>23</v>
      </c>
      <c r="N232" s="18" t="str">
        <f t="shared" si="9"/>
        <v>18-30</v>
      </c>
      <c r="O232" s="12">
        <f t="shared" si="10"/>
        <v>157.05000000000001</v>
      </c>
      <c r="P232" s="12">
        <f t="shared" si="11"/>
        <v>47.115000000000002</v>
      </c>
      <c r="X232" s="14" t="s">
        <v>984</v>
      </c>
      <c r="Y232" s="19">
        <v>60.16</v>
      </c>
    </row>
    <row r="233" spans="1:25" x14ac:dyDescent="0.3">
      <c r="A233">
        <v>27836</v>
      </c>
      <c r="B233" s="1">
        <v>45452</v>
      </c>
      <c r="C233">
        <v>302</v>
      </c>
      <c r="D233">
        <v>10</v>
      </c>
      <c r="E233" t="s">
        <v>13</v>
      </c>
      <c r="F233" t="s">
        <v>111</v>
      </c>
      <c r="G233">
        <v>4</v>
      </c>
      <c r="H233">
        <v>110.67</v>
      </c>
      <c r="I233" t="s">
        <v>35</v>
      </c>
      <c r="J233" t="s">
        <v>536</v>
      </c>
      <c r="K233">
        <v>4</v>
      </c>
      <c r="L233" t="s">
        <v>17</v>
      </c>
      <c r="M233">
        <v>73</v>
      </c>
      <c r="N233" s="18" t="str">
        <f t="shared" si="9"/>
        <v>60+</v>
      </c>
      <c r="O233" s="12">
        <f t="shared" si="10"/>
        <v>442.68</v>
      </c>
      <c r="P233" s="12">
        <f t="shared" si="11"/>
        <v>132.804</v>
      </c>
      <c r="X233" s="14" t="s">
        <v>240</v>
      </c>
      <c r="Y233" s="19">
        <v>1335.68</v>
      </c>
    </row>
    <row r="234" spans="1:25" x14ac:dyDescent="0.3">
      <c r="A234">
        <v>55438</v>
      </c>
      <c r="B234" s="1">
        <v>45452</v>
      </c>
      <c r="C234">
        <v>716</v>
      </c>
      <c r="D234">
        <v>10</v>
      </c>
      <c r="E234" t="s">
        <v>13</v>
      </c>
      <c r="F234" t="s">
        <v>47</v>
      </c>
      <c r="G234">
        <v>3</v>
      </c>
      <c r="H234">
        <v>82.65</v>
      </c>
      <c r="I234" t="s">
        <v>35</v>
      </c>
      <c r="J234" t="s">
        <v>952</v>
      </c>
      <c r="K234">
        <v>3</v>
      </c>
      <c r="L234" t="s">
        <v>21</v>
      </c>
      <c r="M234">
        <v>51</v>
      </c>
      <c r="N234" s="18" t="str">
        <f t="shared" si="9"/>
        <v>46-60</v>
      </c>
      <c r="O234" s="12">
        <f t="shared" si="10"/>
        <v>247.95000000000002</v>
      </c>
      <c r="P234" s="12">
        <f t="shared" si="11"/>
        <v>74.385000000000005</v>
      </c>
      <c r="X234" s="14" t="s">
        <v>445</v>
      </c>
      <c r="Y234" s="19">
        <v>154.74</v>
      </c>
    </row>
    <row r="235" spans="1:25" x14ac:dyDescent="0.3">
      <c r="A235">
        <v>17263</v>
      </c>
      <c r="B235" s="1">
        <v>45453</v>
      </c>
      <c r="C235">
        <v>542</v>
      </c>
      <c r="D235">
        <v>10</v>
      </c>
      <c r="E235" t="s">
        <v>13</v>
      </c>
      <c r="F235" t="s">
        <v>42</v>
      </c>
      <c r="G235">
        <v>5</v>
      </c>
      <c r="H235">
        <v>375.27</v>
      </c>
      <c r="I235" t="s">
        <v>26</v>
      </c>
      <c r="J235" t="s">
        <v>460</v>
      </c>
      <c r="L235" t="s">
        <v>21</v>
      </c>
      <c r="M235">
        <v>47</v>
      </c>
      <c r="N235" s="18" t="str">
        <f t="shared" si="9"/>
        <v>46-60</v>
      </c>
      <c r="O235" s="12">
        <f t="shared" si="10"/>
        <v>1876.35</v>
      </c>
      <c r="P235" s="12">
        <f t="shared" si="11"/>
        <v>562.90499999999997</v>
      </c>
      <c r="X235" s="14" t="s">
        <v>585</v>
      </c>
      <c r="Y235" s="19">
        <v>605.17999999999995</v>
      </c>
    </row>
    <row r="236" spans="1:25" x14ac:dyDescent="0.3">
      <c r="A236">
        <v>92654</v>
      </c>
      <c r="B236" s="1">
        <v>45453</v>
      </c>
      <c r="C236">
        <v>693</v>
      </c>
      <c r="D236">
        <v>50</v>
      </c>
      <c r="E236" t="s">
        <v>18</v>
      </c>
      <c r="F236" t="s">
        <v>84</v>
      </c>
      <c r="G236">
        <v>1</v>
      </c>
      <c r="H236">
        <v>386.91</v>
      </c>
      <c r="I236" t="s">
        <v>15</v>
      </c>
      <c r="J236" t="s">
        <v>756</v>
      </c>
      <c r="K236">
        <v>5</v>
      </c>
      <c r="L236" t="s">
        <v>17</v>
      </c>
      <c r="M236">
        <v>31</v>
      </c>
      <c r="N236" s="18" t="str">
        <f t="shared" si="9"/>
        <v>31-45</v>
      </c>
      <c r="O236" s="12">
        <f t="shared" si="10"/>
        <v>386.91</v>
      </c>
      <c r="P236" s="12">
        <f t="shared" si="11"/>
        <v>116.07300000000001</v>
      </c>
      <c r="X236" s="14" t="s">
        <v>456</v>
      </c>
      <c r="Y236" s="19">
        <v>664.94</v>
      </c>
    </row>
    <row r="237" spans="1:25" x14ac:dyDescent="0.3">
      <c r="A237">
        <v>21664</v>
      </c>
      <c r="B237" s="1">
        <v>45453</v>
      </c>
      <c r="C237">
        <v>395</v>
      </c>
      <c r="D237">
        <v>40</v>
      </c>
      <c r="E237" t="s">
        <v>24</v>
      </c>
      <c r="F237" t="s">
        <v>63</v>
      </c>
      <c r="G237">
        <v>3</v>
      </c>
      <c r="H237">
        <v>326.37</v>
      </c>
      <c r="I237" t="s">
        <v>26</v>
      </c>
      <c r="J237" t="s">
        <v>968</v>
      </c>
      <c r="L237" t="s">
        <v>17</v>
      </c>
      <c r="M237">
        <v>39</v>
      </c>
      <c r="N237" s="18" t="str">
        <f t="shared" si="9"/>
        <v>31-45</v>
      </c>
      <c r="O237" s="12">
        <f t="shared" si="10"/>
        <v>979.11</v>
      </c>
      <c r="P237" s="12">
        <f t="shared" si="11"/>
        <v>293.733</v>
      </c>
      <c r="X237" s="14" t="s">
        <v>595</v>
      </c>
      <c r="Y237" s="19">
        <v>1726.92</v>
      </c>
    </row>
    <row r="238" spans="1:25" x14ac:dyDescent="0.3">
      <c r="A238">
        <v>33897</v>
      </c>
      <c r="B238" s="1">
        <v>45454</v>
      </c>
      <c r="C238">
        <v>755</v>
      </c>
      <c r="D238">
        <v>50</v>
      </c>
      <c r="E238" t="s">
        <v>18</v>
      </c>
      <c r="F238" t="s">
        <v>87</v>
      </c>
      <c r="G238">
        <v>1</v>
      </c>
      <c r="H238">
        <v>323.43</v>
      </c>
      <c r="I238" t="s">
        <v>15</v>
      </c>
      <c r="J238" t="s">
        <v>601</v>
      </c>
      <c r="K238">
        <v>5</v>
      </c>
      <c r="L238" t="s">
        <v>21</v>
      </c>
      <c r="M238">
        <v>48</v>
      </c>
      <c r="N238" s="18" t="str">
        <f t="shared" si="9"/>
        <v>46-60</v>
      </c>
      <c r="O238" s="12">
        <f t="shared" si="10"/>
        <v>323.43</v>
      </c>
      <c r="P238" s="12">
        <f t="shared" si="11"/>
        <v>97.028999999999996</v>
      </c>
      <c r="X238" s="14" t="s">
        <v>716</v>
      </c>
      <c r="Y238" s="19">
        <v>81.209999999999994</v>
      </c>
    </row>
    <row r="239" spans="1:25" x14ac:dyDescent="0.3">
      <c r="A239">
        <v>17483</v>
      </c>
      <c r="B239" s="1">
        <v>45454</v>
      </c>
      <c r="C239">
        <v>205</v>
      </c>
      <c r="D239">
        <v>20</v>
      </c>
      <c r="E239" t="s">
        <v>28</v>
      </c>
      <c r="F239" t="s">
        <v>77</v>
      </c>
      <c r="G239">
        <v>4</v>
      </c>
      <c r="H239">
        <v>210.55</v>
      </c>
      <c r="I239" t="s">
        <v>35</v>
      </c>
      <c r="J239" t="s">
        <v>611</v>
      </c>
      <c r="K239">
        <v>5</v>
      </c>
      <c r="L239" t="s">
        <v>17</v>
      </c>
      <c r="M239">
        <v>48</v>
      </c>
      <c r="N239" s="18" t="str">
        <f t="shared" si="9"/>
        <v>46-60</v>
      </c>
      <c r="O239" s="12">
        <f t="shared" si="10"/>
        <v>842.2</v>
      </c>
      <c r="P239" s="12">
        <f t="shared" si="11"/>
        <v>252.66</v>
      </c>
      <c r="X239" s="14" t="s">
        <v>820</v>
      </c>
      <c r="Y239" s="19">
        <v>106.07</v>
      </c>
    </row>
    <row r="240" spans="1:25" x14ac:dyDescent="0.3">
      <c r="A240">
        <v>68218</v>
      </c>
      <c r="B240" s="1">
        <v>45454</v>
      </c>
      <c r="C240">
        <v>680</v>
      </c>
      <c r="D240">
        <v>50</v>
      </c>
      <c r="E240" t="s">
        <v>18</v>
      </c>
      <c r="F240" t="s">
        <v>87</v>
      </c>
      <c r="G240">
        <v>4</v>
      </c>
      <c r="H240">
        <v>237.15</v>
      </c>
      <c r="I240" t="s">
        <v>35</v>
      </c>
      <c r="J240" t="s">
        <v>940</v>
      </c>
      <c r="K240">
        <v>4</v>
      </c>
      <c r="L240" t="s">
        <v>17</v>
      </c>
      <c r="M240">
        <v>39</v>
      </c>
      <c r="N240" s="18" t="str">
        <f t="shared" si="9"/>
        <v>31-45</v>
      </c>
      <c r="O240" s="12">
        <f t="shared" si="10"/>
        <v>948.6</v>
      </c>
      <c r="P240" s="12">
        <f t="shared" si="11"/>
        <v>284.58</v>
      </c>
      <c r="X240" s="14" t="s">
        <v>1000</v>
      </c>
      <c r="Y240" s="19">
        <v>321.88</v>
      </c>
    </row>
    <row r="241" spans="1:25" x14ac:dyDescent="0.3">
      <c r="A241">
        <v>88309</v>
      </c>
      <c r="B241" s="1">
        <v>45454</v>
      </c>
      <c r="C241">
        <v>524</v>
      </c>
      <c r="D241">
        <v>50</v>
      </c>
      <c r="E241" t="s">
        <v>18</v>
      </c>
      <c r="F241" t="s">
        <v>84</v>
      </c>
      <c r="G241">
        <v>1</v>
      </c>
      <c r="H241">
        <v>394.31</v>
      </c>
      <c r="I241" t="s">
        <v>26</v>
      </c>
      <c r="J241" t="s">
        <v>847</v>
      </c>
      <c r="K241">
        <v>4</v>
      </c>
      <c r="L241" t="s">
        <v>21</v>
      </c>
      <c r="M241">
        <v>41</v>
      </c>
      <c r="N241" s="18" t="str">
        <f t="shared" si="9"/>
        <v>31-45</v>
      </c>
      <c r="O241" s="12">
        <f t="shared" si="10"/>
        <v>394.31</v>
      </c>
      <c r="P241" s="12">
        <f t="shared" si="11"/>
        <v>118.29299999999999</v>
      </c>
      <c r="X241" s="14" t="s">
        <v>148</v>
      </c>
      <c r="Y241" s="19">
        <v>125.94</v>
      </c>
    </row>
    <row r="242" spans="1:25" x14ac:dyDescent="0.3">
      <c r="A242">
        <v>69112</v>
      </c>
      <c r="B242" s="1">
        <v>45455</v>
      </c>
      <c r="C242">
        <v>234</v>
      </c>
      <c r="D242">
        <v>40</v>
      </c>
      <c r="E242" t="s">
        <v>24</v>
      </c>
      <c r="F242" t="s">
        <v>49</v>
      </c>
      <c r="G242">
        <v>2</v>
      </c>
      <c r="H242">
        <v>176.13</v>
      </c>
      <c r="I242" t="s">
        <v>15</v>
      </c>
      <c r="J242" t="s">
        <v>324</v>
      </c>
      <c r="K242">
        <v>4</v>
      </c>
      <c r="L242" t="s">
        <v>17</v>
      </c>
      <c r="M242">
        <v>29</v>
      </c>
      <c r="N242" s="18" t="str">
        <f t="shared" si="9"/>
        <v>18-30</v>
      </c>
      <c r="O242" s="12">
        <f t="shared" si="10"/>
        <v>352.26</v>
      </c>
      <c r="P242" s="12">
        <f t="shared" si="11"/>
        <v>105.678</v>
      </c>
      <c r="X242" s="14" t="s">
        <v>221</v>
      </c>
      <c r="Y242" s="19">
        <v>2263.35</v>
      </c>
    </row>
    <row r="243" spans="1:25" x14ac:dyDescent="0.3">
      <c r="A243">
        <v>73536</v>
      </c>
      <c r="B243" s="1">
        <v>45455</v>
      </c>
      <c r="C243">
        <v>311</v>
      </c>
      <c r="D243">
        <v>30</v>
      </c>
      <c r="E243" t="s">
        <v>37</v>
      </c>
      <c r="F243" t="s">
        <v>68</v>
      </c>
      <c r="G243">
        <v>5</v>
      </c>
      <c r="H243">
        <v>306.44</v>
      </c>
      <c r="I243" t="s">
        <v>15</v>
      </c>
      <c r="J243" t="s">
        <v>635</v>
      </c>
      <c r="L243" t="s">
        <v>21</v>
      </c>
      <c r="M243">
        <v>61</v>
      </c>
      <c r="N243" s="18" t="str">
        <f t="shared" si="9"/>
        <v>60+</v>
      </c>
      <c r="O243" s="12">
        <f t="shared" si="10"/>
        <v>1532.2</v>
      </c>
      <c r="P243" s="12">
        <f t="shared" si="11"/>
        <v>459.66</v>
      </c>
      <c r="X243" s="14" t="s">
        <v>535</v>
      </c>
      <c r="Y243" s="19">
        <v>304</v>
      </c>
    </row>
    <row r="244" spans="1:25" x14ac:dyDescent="0.3">
      <c r="A244">
        <v>43591</v>
      </c>
      <c r="B244" s="1">
        <v>45455</v>
      </c>
      <c r="C244">
        <v>302</v>
      </c>
      <c r="D244">
        <v>50</v>
      </c>
      <c r="E244" t="s">
        <v>18</v>
      </c>
      <c r="F244" t="s">
        <v>84</v>
      </c>
      <c r="G244">
        <v>4</v>
      </c>
      <c r="H244">
        <v>170.43</v>
      </c>
      <c r="I244" t="s">
        <v>35</v>
      </c>
      <c r="J244" t="s">
        <v>1001</v>
      </c>
      <c r="K244">
        <v>5</v>
      </c>
      <c r="L244" t="s">
        <v>21</v>
      </c>
      <c r="M244">
        <v>37</v>
      </c>
      <c r="N244" s="18" t="str">
        <f t="shared" si="9"/>
        <v>31-45</v>
      </c>
      <c r="O244" s="12">
        <f t="shared" si="10"/>
        <v>681.72</v>
      </c>
      <c r="P244" s="12">
        <f t="shared" si="11"/>
        <v>204.51599999999999</v>
      </c>
      <c r="X244" s="14" t="s">
        <v>734</v>
      </c>
      <c r="Y244" s="19">
        <v>2282.75</v>
      </c>
    </row>
    <row r="245" spans="1:25" x14ac:dyDescent="0.3">
      <c r="A245">
        <v>47962</v>
      </c>
      <c r="B245" s="1">
        <v>45456</v>
      </c>
      <c r="C245">
        <v>396</v>
      </c>
      <c r="D245">
        <v>10</v>
      </c>
      <c r="E245" t="s">
        <v>13</v>
      </c>
      <c r="F245" t="s">
        <v>111</v>
      </c>
      <c r="G245">
        <v>3</v>
      </c>
      <c r="H245">
        <v>23.45</v>
      </c>
      <c r="I245" t="s">
        <v>15</v>
      </c>
      <c r="J245" t="s">
        <v>642</v>
      </c>
      <c r="L245" t="s">
        <v>17</v>
      </c>
      <c r="M245">
        <v>22</v>
      </c>
      <c r="N245" s="18" t="str">
        <f t="shared" si="9"/>
        <v>18-30</v>
      </c>
      <c r="O245" s="12">
        <f t="shared" si="10"/>
        <v>70.349999999999994</v>
      </c>
      <c r="P245" s="12">
        <f t="shared" si="11"/>
        <v>21.104999999999997</v>
      </c>
      <c r="X245" s="14" t="s">
        <v>232</v>
      </c>
      <c r="Y245" s="19">
        <v>297.8</v>
      </c>
    </row>
    <row r="246" spans="1:25" x14ac:dyDescent="0.3">
      <c r="A246">
        <v>39427</v>
      </c>
      <c r="B246" s="1">
        <v>45456</v>
      </c>
      <c r="C246">
        <v>292</v>
      </c>
      <c r="D246">
        <v>20</v>
      </c>
      <c r="E246" t="s">
        <v>28</v>
      </c>
      <c r="F246" t="s">
        <v>79</v>
      </c>
      <c r="G246">
        <v>3</v>
      </c>
      <c r="H246">
        <v>498.44</v>
      </c>
      <c r="I246" t="s">
        <v>26</v>
      </c>
      <c r="J246" t="s">
        <v>798</v>
      </c>
      <c r="K246">
        <v>3</v>
      </c>
      <c r="L246" t="s">
        <v>21</v>
      </c>
      <c r="M246">
        <v>60</v>
      </c>
      <c r="N246" s="18" t="str">
        <f t="shared" si="9"/>
        <v>46-60</v>
      </c>
      <c r="O246" s="12">
        <f t="shared" si="10"/>
        <v>1495.32</v>
      </c>
      <c r="P246" s="12">
        <f t="shared" si="11"/>
        <v>448.59599999999995</v>
      </c>
      <c r="X246" s="14" t="s">
        <v>259</v>
      </c>
      <c r="Y246" s="19">
        <v>1358.4499999999998</v>
      </c>
    </row>
    <row r="247" spans="1:25" x14ac:dyDescent="0.3">
      <c r="A247">
        <v>87052</v>
      </c>
      <c r="B247" s="1">
        <v>45456</v>
      </c>
      <c r="C247">
        <v>815</v>
      </c>
      <c r="D247">
        <v>10</v>
      </c>
      <c r="E247" t="s">
        <v>13</v>
      </c>
      <c r="F247" t="s">
        <v>32</v>
      </c>
      <c r="G247">
        <v>3</v>
      </c>
      <c r="H247">
        <v>310.7</v>
      </c>
      <c r="I247" t="s">
        <v>26</v>
      </c>
      <c r="J247" t="s">
        <v>828</v>
      </c>
      <c r="K247">
        <v>5</v>
      </c>
      <c r="L247" t="s">
        <v>21</v>
      </c>
      <c r="M247">
        <v>67</v>
      </c>
      <c r="N247" s="18" t="str">
        <f t="shared" si="9"/>
        <v>60+</v>
      </c>
      <c r="O247" s="12">
        <f t="shared" si="10"/>
        <v>932.09999999999991</v>
      </c>
      <c r="P247" s="12">
        <f t="shared" si="11"/>
        <v>279.62999999999994</v>
      </c>
      <c r="X247" s="14" t="s">
        <v>291</v>
      </c>
      <c r="Y247" s="19">
        <v>365.95</v>
      </c>
    </row>
    <row r="248" spans="1:25" x14ac:dyDescent="0.3">
      <c r="A248">
        <v>94316</v>
      </c>
      <c r="B248" s="1">
        <v>45457</v>
      </c>
      <c r="C248">
        <v>979</v>
      </c>
      <c r="D248">
        <v>30</v>
      </c>
      <c r="E248" t="s">
        <v>37</v>
      </c>
      <c r="F248" t="s">
        <v>68</v>
      </c>
      <c r="G248">
        <v>1</v>
      </c>
      <c r="H248">
        <v>146.35</v>
      </c>
      <c r="I248" t="s">
        <v>26</v>
      </c>
      <c r="J248" t="s">
        <v>143</v>
      </c>
      <c r="K248">
        <v>2</v>
      </c>
      <c r="L248" t="s">
        <v>21</v>
      </c>
      <c r="M248">
        <v>18</v>
      </c>
      <c r="N248" s="18" t="str">
        <f t="shared" si="9"/>
        <v>18-30</v>
      </c>
      <c r="O248" s="12">
        <f t="shared" si="10"/>
        <v>146.35</v>
      </c>
      <c r="P248" s="12">
        <f t="shared" si="11"/>
        <v>43.904999999999994</v>
      </c>
      <c r="X248" s="14" t="s">
        <v>27</v>
      </c>
      <c r="Y248" s="19">
        <v>460.22</v>
      </c>
    </row>
    <row r="249" spans="1:25" x14ac:dyDescent="0.3">
      <c r="A249">
        <v>53652</v>
      </c>
      <c r="B249" s="1">
        <v>45457</v>
      </c>
      <c r="C249">
        <v>899</v>
      </c>
      <c r="D249">
        <v>40</v>
      </c>
      <c r="E249" t="s">
        <v>24</v>
      </c>
      <c r="F249" t="s">
        <v>63</v>
      </c>
      <c r="G249">
        <v>5</v>
      </c>
      <c r="H249">
        <v>416.12</v>
      </c>
      <c r="I249" t="s">
        <v>35</v>
      </c>
      <c r="J249" t="s">
        <v>606</v>
      </c>
      <c r="K249">
        <v>5</v>
      </c>
      <c r="L249" t="s">
        <v>17</v>
      </c>
      <c r="M249">
        <v>56</v>
      </c>
      <c r="N249" s="18" t="str">
        <f t="shared" si="9"/>
        <v>46-60</v>
      </c>
      <c r="O249" s="12">
        <f t="shared" si="10"/>
        <v>2080.6</v>
      </c>
      <c r="P249" s="12">
        <f t="shared" si="11"/>
        <v>624.17999999999995</v>
      </c>
      <c r="X249" s="14" t="s">
        <v>636</v>
      </c>
      <c r="Y249" s="19">
        <v>764.3</v>
      </c>
    </row>
    <row r="250" spans="1:25" x14ac:dyDescent="0.3">
      <c r="A250">
        <v>94700</v>
      </c>
      <c r="B250" s="1">
        <v>45458</v>
      </c>
      <c r="C250">
        <v>675</v>
      </c>
      <c r="D250">
        <v>50</v>
      </c>
      <c r="E250" t="s">
        <v>18</v>
      </c>
      <c r="F250" t="s">
        <v>34</v>
      </c>
      <c r="G250">
        <v>3</v>
      </c>
      <c r="H250">
        <v>335.06</v>
      </c>
      <c r="I250" t="s">
        <v>15</v>
      </c>
      <c r="J250" t="s">
        <v>118</v>
      </c>
      <c r="K250">
        <v>5</v>
      </c>
      <c r="L250" t="s">
        <v>21</v>
      </c>
      <c r="M250">
        <v>23</v>
      </c>
      <c r="N250" s="18" t="str">
        <f t="shared" si="9"/>
        <v>18-30</v>
      </c>
      <c r="O250" s="12">
        <f t="shared" si="10"/>
        <v>1005.1800000000001</v>
      </c>
      <c r="P250" s="12">
        <f t="shared" si="11"/>
        <v>301.55400000000003</v>
      </c>
      <c r="X250" s="14" t="s">
        <v>668</v>
      </c>
      <c r="Y250" s="19">
        <v>120.66</v>
      </c>
    </row>
    <row r="251" spans="1:25" x14ac:dyDescent="0.3">
      <c r="A251">
        <v>18819</v>
      </c>
      <c r="B251" s="1">
        <v>45459</v>
      </c>
      <c r="C251">
        <v>775</v>
      </c>
      <c r="D251">
        <v>10</v>
      </c>
      <c r="E251" t="s">
        <v>13</v>
      </c>
      <c r="F251" t="s">
        <v>47</v>
      </c>
      <c r="G251">
        <v>4</v>
      </c>
      <c r="H251">
        <v>476.13</v>
      </c>
      <c r="I251" t="s">
        <v>35</v>
      </c>
      <c r="J251" t="s">
        <v>278</v>
      </c>
      <c r="K251">
        <v>4</v>
      </c>
      <c r="L251" t="s">
        <v>17</v>
      </c>
      <c r="M251">
        <v>70</v>
      </c>
      <c r="N251" s="18" t="str">
        <f t="shared" si="9"/>
        <v>60+</v>
      </c>
      <c r="O251" s="12">
        <f t="shared" si="10"/>
        <v>1904.52</v>
      </c>
      <c r="P251" s="12">
        <f t="shared" si="11"/>
        <v>571.35599999999999</v>
      </c>
      <c r="X251" s="14" t="s">
        <v>509</v>
      </c>
      <c r="Y251" s="19">
        <v>779.62</v>
      </c>
    </row>
    <row r="252" spans="1:25" x14ac:dyDescent="0.3">
      <c r="A252">
        <v>12858</v>
      </c>
      <c r="B252" s="1">
        <v>45459</v>
      </c>
      <c r="C252">
        <v>957</v>
      </c>
      <c r="D252">
        <v>30</v>
      </c>
      <c r="E252" t="s">
        <v>37</v>
      </c>
      <c r="F252" t="s">
        <v>95</v>
      </c>
      <c r="G252">
        <v>3</v>
      </c>
      <c r="H252">
        <v>376.19</v>
      </c>
      <c r="I252" t="s">
        <v>26</v>
      </c>
      <c r="J252" t="s">
        <v>317</v>
      </c>
      <c r="K252">
        <v>5</v>
      </c>
      <c r="L252" t="s">
        <v>21</v>
      </c>
      <c r="M252">
        <v>28</v>
      </c>
      <c r="N252" s="18" t="str">
        <f t="shared" si="9"/>
        <v>18-30</v>
      </c>
      <c r="O252" s="12">
        <f t="shared" si="10"/>
        <v>1128.57</v>
      </c>
      <c r="P252" s="12">
        <f t="shared" si="11"/>
        <v>338.57099999999997</v>
      </c>
      <c r="X252" s="14" t="s">
        <v>118</v>
      </c>
      <c r="Y252" s="19">
        <v>1005.1800000000001</v>
      </c>
    </row>
    <row r="253" spans="1:25" x14ac:dyDescent="0.3">
      <c r="A253">
        <v>13725</v>
      </c>
      <c r="B253" s="1">
        <v>45459</v>
      </c>
      <c r="C253">
        <v>564</v>
      </c>
      <c r="D253">
        <v>10</v>
      </c>
      <c r="E253" t="s">
        <v>13</v>
      </c>
      <c r="F253" t="s">
        <v>14</v>
      </c>
      <c r="G253">
        <v>4</v>
      </c>
      <c r="H253">
        <v>285.72000000000003</v>
      </c>
      <c r="I253" t="s">
        <v>15</v>
      </c>
      <c r="J253" t="s">
        <v>628</v>
      </c>
      <c r="K253">
        <v>5</v>
      </c>
      <c r="L253" t="s">
        <v>17</v>
      </c>
      <c r="M253">
        <v>26</v>
      </c>
      <c r="N253" s="18" t="str">
        <f t="shared" si="9"/>
        <v>18-30</v>
      </c>
      <c r="O253" s="12">
        <f t="shared" si="10"/>
        <v>1142.8800000000001</v>
      </c>
      <c r="P253" s="12">
        <f t="shared" si="11"/>
        <v>342.86400000000003</v>
      </c>
      <c r="X253" s="14" t="s">
        <v>1005</v>
      </c>
      <c r="Y253" s="19">
        <v>1485.72</v>
      </c>
    </row>
    <row r="254" spans="1:25" x14ac:dyDescent="0.3">
      <c r="A254">
        <v>65819</v>
      </c>
      <c r="B254" s="1">
        <v>45459</v>
      </c>
      <c r="C254">
        <v>691</v>
      </c>
      <c r="D254">
        <v>50</v>
      </c>
      <c r="E254" t="s">
        <v>18</v>
      </c>
      <c r="F254" t="s">
        <v>19</v>
      </c>
      <c r="G254">
        <v>2</v>
      </c>
      <c r="H254">
        <v>255.9</v>
      </c>
      <c r="I254" t="s">
        <v>15</v>
      </c>
      <c r="J254" t="s">
        <v>767</v>
      </c>
      <c r="K254">
        <v>4</v>
      </c>
      <c r="L254" t="s">
        <v>21</v>
      </c>
      <c r="M254">
        <v>34</v>
      </c>
      <c r="N254" s="18" t="str">
        <f t="shared" si="9"/>
        <v>31-45</v>
      </c>
      <c r="O254" s="12">
        <f t="shared" si="10"/>
        <v>511.8</v>
      </c>
      <c r="P254" s="12">
        <f t="shared" si="11"/>
        <v>153.54</v>
      </c>
      <c r="X254" s="14" t="s">
        <v>179</v>
      </c>
      <c r="Y254" s="19">
        <v>66.239999999999995</v>
      </c>
    </row>
    <row r="255" spans="1:25" x14ac:dyDescent="0.3">
      <c r="A255">
        <v>77706</v>
      </c>
      <c r="B255" s="1">
        <v>45460</v>
      </c>
      <c r="C255">
        <v>111</v>
      </c>
      <c r="D255">
        <v>50</v>
      </c>
      <c r="E255" t="s">
        <v>18</v>
      </c>
      <c r="F255" t="s">
        <v>34</v>
      </c>
      <c r="G255">
        <v>2</v>
      </c>
      <c r="H255">
        <v>416.93</v>
      </c>
      <c r="I255" t="s">
        <v>26</v>
      </c>
      <c r="J255" t="s">
        <v>224</v>
      </c>
      <c r="K255">
        <v>5</v>
      </c>
      <c r="M255">
        <v>33</v>
      </c>
      <c r="N255" s="18" t="str">
        <f t="shared" si="9"/>
        <v>31-45</v>
      </c>
      <c r="O255" s="12">
        <f t="shared" si="10"/>
        <v>833.86</v>
      </c>
      <c r="P255" s="12">
        <f t="shared" si="11"/>
        <v>250.15799999999999</v>
      </c>
      <c r="X255" s="14" t="s">
        <v>596</v>
      </c>
      <c r="Y255" s="19">
        <v>119.02</v>
      </c>
    </row>
    <row r="256" spans="1:25" x14ac:dyDescent="0.3">
      <c r="A256">
        <v>31412</v>
      </c>
      <c r="B256" s="1">
        <v>45460</v>
      </c>
      <c r="C256">
        <v>898</v>
      </c>
      <c r="D256">
        <v>20</v>
      </c>
      <c r="E256" t="s">
        <v>28</v>
      </c>
      <c r="F256" t="s">
        <v>29</v>
      </c>
      <c r="G256">
        <v>2</v>
      </c>
      <c r="H256">
        <v>279.81</v>
      </c>
      <c r="I256" t="s">
        <v>35</v>
      </c>
      <c r="J256" t="s">
        <v>441</v>
      </c>
      <c r="K256">
        <v>3</v>
      </c>
      <c r="L256" t="s">
        <v>17</v>
      </c>
      <c r="M256">
        <v>61</v>
      </c>
      <c r="N256" s="18" t="str">
        <f t="shared" si="9"/>
        <v>60+</v>
      </c>
      <c r="O256" s="12">
        <f t="shared" si="10"/>
        <v>559.62</v>
      </c>
      <c r="P256" s="12">
        <f t="shared" si="11"/>
        <v>167.886</v>
      </c>
      <c r="X256" s="14" t="s">
        <v>966</v>
      </c>
      <c r="Y256" s="19">
        <v>816.24</v>
      </c>
    </row>
    <row r="257" spans="1:25" x14ac:dyDescent="0.3">
      <c r="A257">
        <v>64496</v>
      </c>
      <c r="B257" s="1">
        <v>45461</v>
      </c>
      <c r="C257">
        <v>146</v>
      </c>
      <c r="D257">
        <v>40</v>
      </c>
      <c r="E257" t="s">
        <v>24</v>
      </c>
      <c r="F257" t="s">
        <v>49</v>
      </c>
      <c r="G257">
        <v>1</v>
      </c>
      <c r="H257">
        <v>405.91</v>
      </c>
      <c r="I257" t="s">
        <v>35</v>
      </c>
      <c r="J257" t="s">
        <v>277</v>
      </c>
      <c r="K257">
        <v>1</v>
      </c>
      <c r="L257" t="s">
        <v>21</v>
      </c>
      <c r="M257">
        <v>61</v>
      </c>
      <c r="N257" s="18" t="str">
        <f t="shared" si="9"/>
        <v>60+</v>
      </c>
      <c r="O257" s="12">
        <f t="shared" si="10"/>
        <v>405.91</v>
      </c>
      <c r="P257" s="12">
        <f t="shared" si="11"/>
        <v>121.773</v>
      </c>
      <c r="X257" s="14" t="s">
        <v>480</v>
      </c>
      <c r="Y257" s="19">
        <v>78.2</v>
      </c>
    </row>
    <row r="258" spans="1:25" x14ac:dyDescent="0.3">
      <c r="A258">
        <v>77850</v>
      </c>
      <c r="B258" s="1">
        <v>45462</v>
      </c>
      <c r="C258">
        <v>633</v>
      </c>
      <c r="D258">
        <v>10</v>
      </c>
      <c r="E258" t="s">
        <v>13</v>
      </c>
      <c r="F258" t="s">
        <v>111</v>
      </c>
      <c r="G258">
        <v>4</v>
      </c>
      <c r="H258">
        <v>272.92</v>
      </c>
      <c r="I258" t="s">
        <v>26</v>
      </c>
      <c r="J258" t="s">
        <v>227</v>
      </c>
      <c r="K258">
        <v>3</v>
      </c>
      <c r="L258" t="s">
        <v>17</v>
      </c>
      <c r="M258">
        <v>30</v>
      </c>
      <c r="N258" s="18" t="str">
        <f t="shared" si="9"/>
        <v>18-30</v>
      </c>
      <c r="O258" s="12">
        <f t="shared" si="10"/>
        <v>1091.68</v>
      </c>
      <c r="P258" s="12">
        <f t="shared" si="11"/>
        <v>327.50400000000002</v>
      </c>
      <c r="X258" s="14" t="s">
        <v>628</v>
      </c>
      <c r="Y258" s="19">
        <v>1142.8800000000001</v>
      </c>
    </row>
    <row r="259" spans="1:25" x14ac:dyDescent="0.3">
      <c r="A259">
        <v>38523</v>
      </c>
      <c r="B259" s="1">
        <v>45463</v>
      </c>
      <c r="C259">
        <v>383</v>
      </c>
      <c r="D259">
        <v>30</v>
      </c>
      <c r="E259" t="s">
        <v>37</v>
      </c>
      <c r="F259" t="s">
        <v>40</v>
      </c>
      <c r="G259">
        <v>3</v>
      </c>
      <c r="H259">
        <v>40.44</v>
      </c>
      <c r="I259" t="s">
        <v>15</v>
      </c>
      <c r="J259" t="s">
        <v>402</v>
      </c>
      <c r="K259">
        <v>4</v>
      </c>
      <c r="L259" t="s">
        <v>21</v>
      </c>
      <c r="M259">
        <v>60</v>
      </c>
      <c r="N259" s="18" t="str">
        <f t="shared" ref="N259:N322" si="12">IF(M259&lt;=30,"18-30",IF(M259&lt;=45,"31-45",IF(M259&lt;=60,"46-60","60+")))</f>
        <v>46-60</v>
      </c>
      <c r="O259" s="12">
        <f t="shared" ref="O259:O322" si="13">H259*G259</f>
        <v>121.32</v>
      </c>
      <c r="P259" s="12">
        <f t="shared" ref="P259:P322" si="14">O259*0.3</f>
        <v>36.395999999999994</v>
      </c>
      <c r="X259" s="14" t="s">
        <v>855</v>
      </c>
      <c r="Y259" s="19">
        <v>1201.8499999999999</v>
      </c>
    </row>
    <row r="260" spans="1:25" x14ac:dyDescent="0.3">
      <c r="A260">
        <v>19293</v>
      </c>
      <c r="B260" s="1">
        <v>45463</v>
      </c>
      <c r="C260">
        <v>633</v>
      </c>
      <c r="D260">
        <v>20</v>
      </c>
      <c r="E260" t="s">
        <v>28</v>
      </c>
      <c r="F260" t="s">
        <v>51</v>
      </c>
      <c r="G260">
        <v>1</v>
      </c>
      <c r="H260">
        <v>118.31</v>
      </c>
      <c r="I260" t="s">
        <v>26</v>
      </c>
      <c r="J260" t="s">
        <v>425</v>
      </c>
      <c r="K260">
        <v>2</v>
      </c>
      <c r="L260" t="s">
        <v>17</v>
      </c>
      <c r="M260">
        <v>33</v>
      </c>
      <c r="N260" s="18" t="str">
        <f t="shared" si="12"/>
        <v>31-45</v>
      </c>
      <c r="O260" s="12">
        <f t="shared" si="13"/>
        <v>118.31</v>
      </c>
      <c r="P260" s="12">
        <f t="shared" si="14"/>
        <v>35.493000000000002</v>
      </c>
      <c r="X260" s="14" t="s">
        <v>309</v>
      </c>
      <c r="Y260" s="19">
        <v>1149.05</v>
      </c>
    </row>
    <row r="261" spans="1:25" x14ac:dyDescent="0.3">
      <c r="A261">
        <v>93277</v>
      </c>
      <c r="B261" s="1">
        <v>45463</v>
      </c>
      <c r="C261">
        <v>428</v>
      </c>
      <c r="D261">
        <v>40</v>
      </c>
      <c r="E261" t="s">
        <v>24</v>
      </c>
      <c r="F261" t="s">
        <v>49</v>
      </c>
      <c r="G261">
        <v>1</v>
      </c>
      <c r="H261">
        <v>487.74</v>
      </c>
      <c r="I261" t="s">
        <v>35</v>
      </c>
      <c r="J261" t="s">
        <v>838</v>
      </c>
      <c r="K261">
        <v>5</v>
      </c>
      <c r="L261" t="s">
        <v>17</v>
      </c>
      <c r="M261">
        <v>70</v>
      </c>
      <c r="N261" s="18" t="str">
        <f t="shared" si="12"/>
        <v>60+</v>
      </c>
      <c r="O261" s="12">
        <f t="shared" si="13"/>
        <v>487.74</v>
      </c>
      <c r="P261" s="12">
        <f t="shared" si="14"/>
        <v>146.322</v>
      </c>
      <c r="X261" s="14" t="s">
        <v>752</v>
      </c>
      <c r="Y261" s="19">
        <v>312.01</v>
      </c>
    </row>
    <row r="262" spans="1:25" x14ac:dyDescent="0.3">
      <c r="A262">
        <v>90933</v>
      </c>
      <c r="B262" s="1">
        <v>45464</v>
      </c>
      <c r="C262">
        <v>799</v>
      </c>
      <c r="D262">
        <v>50</v>
      </c>
      <c r="E262" t="s">
        <v>18</v>
      </c>
      <c r="F262" t="s">
        <v>34</v>
      </c>
      <c r="G262">
        <v>3</v>
      </c>
      <c r="H262">
        <v>348.24</v>
      </c>
      <c r="I262" t="s">
        <v>35</v>
      </c>
      <c r="J262" t="s">
        <v>403</v>
      </c>
      <c r="K262">
        <v>5</v>
      </c>
      <c r="L262" t="s">
        <v>21</v>
      </c>
      <c r="M262">
        <v>65</v>
      </c>
      <c r="N262" s="18" t="str">
        <f t="shared" si="12"/>
        <v>60+</v>
      </c>
      <c r="O262" s="12">
        <f t="shared" si="13"/>
        <v>1044.72</v>
      </c>
      <c r="P262" s="12">
        <f t="shared" si="14"/>
        <v>313.416</v>
      </c>
      <c r="X262" s="14" t="s">
        <v>534</v>
      </c>
      <c r="Y262" s="19">
        <v>1988.15</v>
      </c>
    </row>
    <row r="263" spans="1:25" x14ac:dyDescent="0.3">
      <c r="A263">
        <v>75453</v>
      </c>
      <c r="B263" s="1">
        <v>45465</v>
      </c>
      <c r="C263">
        <v>260</v>
      </c>
      <c r="D263">
        <v>50</v>
      </c>
      <c r="E263" t="s">
        <v>18</v>
      </c>
      <c r="F263" t="s">
        <v>19</v>
      </c>
      <c r="G263">
        <v>3</v>
      </c>
      <c r="H263">
        <v>158.9</v>
      </c>
      <c r="I263" t="s">
        <v>15</v>
      </c>
      <c r="J263" t="s">
        <v>121</v>
      </c>
      <c r="K263">
        <v>4</v>
      </c>
      <c r="L263" t="s">
        <v>17</v>
      </c>
      <c r="M263">
        <v>33</v>
      </c>
      <c r="N263" s="18" t="str">
        <f t="shared" si="12"/>
        <v>31-45</v>
      </c>
      <c r="O263" s="12">
        <f t="shared" si="13"/>
        <v>476.70000000000005</v>
      </c>
      <c r="P263" s="12">
        <f t="shared" si="14"/>
        <v>143.01000000000002</v>
      </c>
      <c r="X263" s="14" t="s">
        <v>978</v>
      </c>
      <c r="Y263" s="19">
        <v>1460.16</v>
      </c>
    </row>
    <row r="264" spans="1:25" x14ac:dyDescent="0.3">
      <c r="A264">
        <v>63842</v>
      </c>
      <c r="B264" s="1">
        <v>45465</v>
      </c>
      <c r="C264">
        <v>781</v>
      </c>
      <c r="D264">
        <v>20</v>
      </c>
      <c r="E264" t="s">
        <v>28</v>
      </c>
      <c r="F264" t="s">
        <v>77</v>
      </c>
      <c r="G264">
        <v>2</v>
      </c>
      <c r="H264">
        <v>460.75</v>
      </c>
      <c r="I264" t="s">
        <v>35</v>
      </c>
      <c r="J264" t="s">
        <v>532</v>
      </c>
      <c r="K264">
        <v>5</v>
      </c>
      <c r="L264" t="s">
        <v>17</v>
      </c>
      <c r="M264">
        <v>68</v>
      </c>
      <c r="N264" s="18" t="str">
        <f t="shared" si="12"/>
        <v>60+</v>
      </c>
      <c r="O264" s="12">
        <f t="shared" si="13"/>
        <v>921.5</v>
      </c>
      <c r="P264" s="12">
        <f t="shared" si="14"/>
        <v>276.45</v>
      </c>
      <c r="X264" s="14" t="s">
        <v>99</v>
      </c>
      <c r="Y264" s="19">
        <v>226.42</v>
      </c>
    </row>
    <row r="265" spans="1:25" x14ac:dyDescent="0.3">
      <c r="A265">
        <v>12469</v>
      </c>
      <c r="B265" s="1">
        <v>45467</v>
      </c>
      <c r="C265">
        <v>816</v>
      </c>
      <c r="D265">
        <v>50</v>
      </c>
      <c r="E265" t="s">
        <v>18</v>
      </c>
      <c r="F265" t="s">
        <v>19</v>
      </c>
      <c r="G265">
        <v>3</v>
      </c>
      <c r="H265">
        <v>326.55</v>
      </c>
      <c r="I265" t="s">
        <v>26</v>
      </c>
      <c r="J265" t="s">
        <v>293</v>
      </c>
      <c r="K265">
        <v>4</v>
      </c>
      <c r="L265" t="s">
        <v>21</v>
      </c>
      <c r="M265">
        <v>35</v>
      </c>
      <c r="N265" s="18" t="str">
        <f t="shared" si="12"/>
        <v>31-45</v>
      </c>
      <c r="O265" s="12">
        <f t="shared" si="13"/>
        <v>979.65000000000009</v>
      </c>
      <c r="P265" s="12">
        <f t="shared" si="14"/>
        <v>293.89500000000004</v>
      </c>
      <c r="X265" s="14" t="s">
        <v>651</v>
      </c>
      <c r="Y265" s="19">
        <v>333.66</v>
      </c>
    </row>
    <row r="266" spans="1:25" x14ac:dyDescent="0.3">
      <c r="A266">
        <v>63722</v>
      </c>
      <c r="B266" s="1">
        <v>45467</v>
      </c>
      <c r="C266">
        <v>614</v>
      </c>
      <c r="D266">
        <v>30</v>
      </c>
      <c r="E266" t="s">
        <v>37</v>
      </c>
      <c r="F266" t="s">
        <v>40</v>
      </c>
      <c r="G266">
        <v>1</v>
      </c>
      <c r="H266">
        <v>404.83</v>
      </c>
      <c r="I266" t="s">
        <v>15</v>
      </c>
      <c r="J266" t="s">
        <v>429</v>
      </c>
      <c r="K266">
        <v>4</v>
      </c>
      <c r="M266">
        <v>36</v>
      </c>
      <c r="N266" s="18" t="str">
        <f t="shared" si="12"/>
        <v>31-45</v>
      </c>
      <c r="O266" s="12">
        <f t="shared" si="13"/>
        <v>404.83</v>
      </c>
      <c r="P266" s="12">
        <f t="shared" si="14"/>
        <v>121.44899999999998</v>
      </c>
      <c r="X266" s="14" t="s">
        <v>119</v>
      </c>
      <c r="Y266" s="19">
        <v>679.32</v>
      </c>
    </row>
    <row r="267" spans="1:25" x14ac:dyDescent="0.3">
      <c r="A267">
        <v>46834</v>
      </c>
      <c r="B267" s="1">
        <v>45467</v>
      </c>
      <c r="C267">
        <v>506</v>
      </c>
      <c r="D267">
        <v>10</v>
      </c>
      <c r="E267" t="s">
        <v>13</v>
      </c>
      <c r="F267" t="s">
        <v>14</v>
      </c>
      <c r="G267">
        <v>5</v>
      </c>
      <c r="H267">
        <v>365.33</v>
      </c>
      <c r="I267" t="s">
        <v>35</v>
      </c>
      <c r="J267" t="s">
        <v>881</v>
      </c>
      <c r="K267">
        <v>3</v>
      </c>
      <c r="L267" t="s">
        <v>21</v>
      </c>
      <c r="M267">
        <v>24</v>
      </c>
      <c r="N267" s="18" t="str">
        <f t="shared" si="12"/>
        <v>18-30</v>
      </c>
      <c r="O267" s="12">
        <f t="shared" si="13"/>
        <v>1826.6499999999999</v>
      </c>
      <c r="P267" s="12">
        <f t="shared" si="14"/>
        <v>547.99499999999989</v>
      </c>
      <c r="X267" s="14" t="s">
        <v>923</v>
      </c>
      <c r="Y267" s="19">
        <v>432.67</v>
      </c>
    </row>
    <row r="268" spans="1:25" x14ac:dyDescent="0.3">
      <c r="A268">
        <v>95940</v>
      </c>
      <c r="B268" s="1">
        <v>45467</v>
      </c>
      <c r="C268">
        <v>672</v>
      </c>
      <c r="D268">
        <v>10</v>
      </c>
      <c r="E268" t="s">
        <v>13</v>
      </c>
      <c r="F268" t="s">
        <v>32</v>
      </c>
      <c r="G268">
        <v>3</v>
      </c>
      <c r="H268">
        <v>295.67</v>
      </c>
      <c r="I268" t="s">
        <v>35</v>
      </c>
      <c r="J268" t="s">
        <v>911</v>
      </c>
      <c r="K268">
        <v>4</v>
      </c>
      <c r="L268" t="s">
        <v>21</v>
      </c>
      <c r="M268">
        <v>29</v>
      </c>
      <c r="N268" s="18" t="str">
        <f t="shared" si="12"/>
        <v>18-30</v>
      </c>
      <c r="O268" s="12">
        <f t="shared" si="13"/>
        <v>887.01</v>
      </c>
      <c r="P268" s="12">
        <f t="shared" si="14"/>
        <v>266.10300000000001</v>
      </c>
      <c r="X268" s="14" t="s">
        <v>554</v>
      </c>
      <c r="Y268" s="19">
        <v>427.94</v>
      </c>
    </row>
    <row r="269" spans="1:25" x14ac:dyDescent="0.3">
      <c r="A269">
        <v>80222</v>
      </c>
      <c r="B269" s="1">
        <v>45468</v>
      </c>
      <c r="C269">
        <v>543</v>
      </c>
      <c r="D269">
        <v>10</v>
      </c>
      <c r="E269" t="s">
        <v>13</v>
      </c>
      <c r="F269" t="s">
        <v>111</v>
      </c>
      <c r="G269">
        <v>2</v>
      </c>
      <c r="H269">
        <v>212.77</v>
      </c>
      <c r="I269" t="s">
        <v>15</v>
      </c>
      <c r="J269" t="s">
        <v>468</v>
      </c>
      <c r="K269">
        <v>5</v>
      </c>
      <c r="L269" t="s">
        <v>17</v>
      </c>
      <c r="M269">
        <v>50</v>
      </c>
      <c r="N269" s="18" t="str">
        <f t="shared" si="12"/>
        <v>46-60</v>
      </c>
      <c r="O269" s="12">
        <f t="shared" si="13"/>
        <v>425.54</v>
      </c>
      <c r="P269" s="12">
        <f t="shared" si="14"/>
        <v>127.66200000000001</v>
      </c>
      <c r="X269" s="14" t="s">
        <v>713</v>
      </c>
      <c r="Y269" s="19">
        <v>424.5</v>
      </c>
    </row>
    <row r="270" spans="1:25" x14ac:dyDescent="0.3">
      <c r="A270">
        <v>90319</v>
      </c>
      <c r="B270" s="1">
        <v>45468</v>
      </c>
      <c r="C270">
        <v>797</v>
      </c>
      <c r="D270">
        <v>30</v>
      </c>
      <c r="E270" t="s">
        <v>37</v>
      </c>
      <c r="F270" t="s">
        <v>58</v>
      </c>
      <c r="G270">
        <v>4</v>
      </c>
      <c r="H270">
        <v>164.55</v>
      </c>
      <c r="I270" t="s">
        <v>35</v>
      </c>
      <c r="J270" t="s">
        <v>811</v>
      </c>
      <c r="K270">
        <v>5</v>
      </c>
      <c r="L270" t="s">
        <v>17</v>
      </c>
      <c r="M270">
        <v>69</v>
      </c>
      <c r="N270" s="18" t="str">
        <f t="shared" si="12"/>
        <v>60+</v>
      </c>
      <c r="O270" s="12">
        <f t="shared" si="13"/>
        <v>658.2</v>
      </c>
      <c r="P270" s="12">
        <f t="shared" si="14"/>
        <v>197.46</v>
      </c>
      <c r="X270" s="14" t="s">
        <v>943</v>
      </c>
      <c r="Y270" s="19">
        <v>54.19</v>
      </c>
    </row>
    <row r="271" spans="1:25" x14ac:dyDescent="0.3">
      <c r="A271">
        <v>21838</v>
      </c>
      <c r="B271" s="1">
        <v>45468</v>
      </c>
      <c r="C271">
        <v>582</v>
      </c>
      <c r="D271">
        <v>10</v>
      </c>
      <c r="E271" t="s">
        <v>13</v>
      </c>
      <c r="F271" t="s">
        <v>14</v>
      </c>
      <c r="G271">
        <v>2</v>
      </c>
      <c r="H271">
        <v>289.97000000000003</v>
      </c>
      <c r="I271" t="s">
        <v>35</v>
      </c>
      <c r="J271" t="s">
        <v>959</v>
      </c>
      <c r="K271">
        <v>4</v>
      </c>
      <c r="L271" t="s">
        <v>21</v>
      </c>
      <c r="M271">
        <v>70</v>
      </c>
      <c r="N271" s="18" t="str">
        <f t="shared" si="12"/>
        <v>60+</v>
      </c>
      <c r="O271" s="12">
        <f t="shared" si="13"/>
        <v>579.94000000000005</v>
      </c>
      <c r="P271" s="12">
        <f t="shared" si="14"/>
        <v>173.982</v>
      </c>
      <c r="X271" s="14" t="s">
        <v>653</v>
      </c>
      <c r="Y271" s="19">
        <v>409.85</v>
      </c>
    </row>
    <row r="272" spans="1:25" x14ac:dyDescent="0.3">
      <c r="A272">
        <v>11108</v>
      </c>
      <c r="B272" s="1">
        <v>45469</v>
      </c>
      <c r="C272">
        <v>575</v>
      </c>
      <c r="D272">
        <v>40</v>
      </c>
      <c r="E272" t="s">
        <v>24</v>
      </c>
      <c r="F272" t="s">
        <v>65</v>
      </c>
      <c r="G272">
        <v>2</v>
      </c>
      <c r="H272">
        <v>27.59</v>
      </c>
      <c r="I272" t="s">
        <v>15</v>
      </c>
      <c r="J272" t="s">
        <v>208</v>
      </c>
      <c r="K272">
        <v>1</v>
      </c>
      <c r="L272" t="s">
        <v>17</v>
      </c>
      <c r="M272">
        <v>58</v>
      </c>
      <c r="N272" s="18" t="str">
        <f t="shared" si="12"/>
        <v>46-60</v>
      </c>
      <c r="O272" s="12">
        <f t="shared" si="13"/>
        <v>55.18</v>
      </c>
      <c r="P272" s="12">
        <f t="shared" si="14"/>
        <v>16.553999999999998</v>
      </c>
      <c r="X272" s="14" t="s">
        <v>330</v>
      </c>
      <c r="Y272" s="19">
        <v>239.88</v>
      </c>
    </row>
    <row r="273" spans="1:25" x14ac:dyDescent="0.3">
      <c r="A273">
        <v>29197</v>
      </c>
      <c r="B273" s="1">
        <v>45469</v>
      </c>
      <c r="C273">
        <v>491</v>
      </c>
      <c r="D273">
        <v>50</v>
      </c>
      <c r="E273" t="s">
        <v>18</v>
      </c>
      <c r="F273" t="s">
        <v>84</v>
      </c>
      <c r="G273">
        <v>5</v>
      </c>
      <c r="H273">
        <v>134.12</v>
      </c>
      <c r="I273" t="s">
        <v>35</v>
      </c>
      <c r="J273" t="s">
        <v>322</v>
      </c>
      <c r="L273" t="s">
        <v>21</v>
      </c>
      <c r="M273">
        <v>49</v>
      </c>
      <c r="N273" s="18" t="str">
        <f t="shared" si="12"/>
        <v>46-60</v>
      </c>
      <c r="O273" s="12">
        <f t="shared" si="13"/>
        <v>670.6</v>
      </c>
      <c r="P273" s="12">
        <f t="shared" si="14"/>
        <v>201.18</v>
      </c>
      <c r="X273" s="14" t="s">
        <v>1002</v>
      </c>
      <c r="Y273" s="19">
        <v>905.2</v>
      </c>
    </row>
    <row r="274" spans="1:25" x14ac:dyDescent="0.3">
      <c r="A274">
        <v>46587</v>
      </c>
      <c r="B274" s="1">
        <v>45469</v>
      </c>
      <c r="C274">
        <v>715</v>
      </c>
      <c r="D274">
        <v>50</v>
      </c>
      <c r="E274" t="s">
        <v>18</v>
      </c>
      <c r="F274" t="s">
        <v>84</v>
      </c>
      <c r="G274">
        <v>3</v>
      </c>
      <c r="H274">
        <v>405.02</v>
      </c>
      <c r="I274" t="s">
        <v>15</v>
      </c>
      <c r="J274" t="s">
        <v>449</v>
      </c>
      <c r="L274" t="s">
        <v>21</v>
      </c>
      <c r="M274">
        <v>52</v>
      </c>
      <c r="N274" s="18" t="str">
        <f t="shared" si="12"/>
        <v>46-60</v>
      </c>
      <c r="O274" s="12">
        <f t="shared" si="13"/>
        <v>1215.06</v>
      </c>
      <c r="P274" s="12">
        <f t="shared" si="14"/>
        <v>364.51799999999997</v>
      </c>
      <c r="X274" s="14" t="s">
        <v>803</v>
      </c>
      <c r="Y274" s="19">
        <v>700.3</v>
      </c>
    </row>
    <row r="275" spans="1:25" x14ac:dyDescent="0.3">
      <c r="A275">
        <v>84308</v>
      </c>
      <c r="B275" s="1">
        <v>45469</v>
      </c>
      <c r="C275">
        <v>144</v>
      </c>
      <c r="D275">
        <v>20</v>
      </c>
      <c r="E275" t="s">
        <v>28</v>
      </c>
      <c r="F275" t="s">
        <v>72</v>
      </c>
      <c r="G275">
        <v>5</v>
      </c>
      <c r="H275">
        <v>291.3</v>
      </c>
      <c r="I275" t="s">
        <v>15</v>
      </c>
      <c r="J275" t="s">
        <v>985</v>
      </c>
      <c r="L275" t="s">
        <v>17</v>
      </c>
      <c r="M275">
        <v>68</v>
      </c>
      <c r="N275" s="18" t="str">
        <f t="shared" si="12"/>
        <v>60+</v>
      </c>
      <c r="O275" s="12">
        <f t="shared" si="13"/>
        <v>1456.5</v>
      </c>
      <c r="P275" s="12">
        <f t="shared" si="14"/>
        <v>436.95</v>
      </c>
      <c r="X275" s="14" t="s">
        <v>408</v>
      </c>
      <c r="Y275" s="19">
        <v>436.24</v>
      </c>
    </row>
    <row r="276" spans="1:25" x14ac:dyDescent="0.3">
      <c r="A276">
        <v>74067</v>
      </c>
      <c r="B276" s="1">
        <v>45470</v>
      </c>
      <c r="C276">
        <v>773</v>
      </c>
      <c r="D276">
        <v>40</v>
      </c>
      <c r="E276" t="s">
        <v>24</v>
      </c>
      <c r="F276" t="s">
        <v>44</v>
      </c>
      <c r="G276">
        <v>3</v>
      </c>
      <c r="H276">
        <v>494.87</v>
      </c>
      <c r="I276" t="s">
        <v>35</v>
      </c>
      <c r="J276" t="s">
        <v>45</v>
      </c>
      <c r="K276">
        <v>5</v>
      </c>
      <c r="L276" t="s">
        <v>21</v>
      </c>
      <c r="M276">
        <v>37</v>
      </c>
      <c r="N276" s="18" t="str">
        <f t="shared" si="12"/>
        <v>31-45</v>
      </c>
      <c r="O276" s="12">
        <f t="shared" si="13"/>
        <v>1484.6100000000001</v>
      </c>
      <c r="P276" s="12">
        <f t="shared" si="14"/>
        <v>445.38300000000004</v>
      </c>
      <c r="X276" s="14" t="s">
        <v>630</v>
      </c>
      <c r="Y276" s="19">
        <v>724.75</v>
      </c>
    </row>
    <row r="277" spans="1:25" x14ac:dyDescent="0.3">
      <c r="A277">
        <v>84736</v>
      </c>
      <c r="B277" s="1">
        <v>45470</v>
      </c>
      <c r="C277">
        <v>624</v>
      </c>
      <c r="D277">
        <v>30</v>
      </c>
      <c r="E277" t="s">
        <v>37</v>
      </c>
      <c r="F277" t="s">
        <v>95</v>
      </c>
      <c r="G277">
        <v>1</v>
      </c>
      <c r="H277">
        <v>218.74</v>
      </c>
      <c r="I277" t="s">
        <v>15</v>
      </c>
      <c r="J277" t="s">
        <v>685</v>
      </c>
      <c r="L277" t="s">
        <v>17</v>
      </c>
      <c r="M277">
        <v>68</v>
      </c>
      <c r="N277" s="18" t="str">
        <f t="shared" si="12"/>
        <v>60+</v>
      </c>
      <c r="O277" s="12">
        <f t="shared" si="13"/>
        <v>218.74</v>
      </c>
      <c r="P277" s="12">
        <f t="shared" si="14"/>
        <v>65.622</v>
      </c>
      <c r="X277" s="14" t="s">
        <v>898</v>
      </c>
      <c r="Y277" s="19">
        <v>757.78</v>
      </c>
    </row>
    <row r="278" spans="1:25" x14ac:dyDescent="0.3">
      <c r="A278">
        <v>43869</v>
      </c>
      <c r="B278" s="1">
        <v>45470</v>
      </c>
      <c r="C278">
        <v>306</v>
      </c>
      <c r="D278">
        <v>30</v>
      </c>
      <c r="E278" t="s">
        <v>37</v>
      </c>
      <c r="F278" t="s">
        <v>38</v>
      </c>
      <c r="G278">
        <v>2</v>
      </c>
      <c r="H278">
        <v>55.63</v>
      </c>
      <c r="I278" t="s">
        <v>26</v>
      </c>
      <c r="J278" t="s">
        <v>956</v>
      </c>
      <c r="K278">
        <v>3</v>
      </c>
      <c r="L278" t="s">
        <v>17</v>
      </c>
      <c r="M278">
        <v>69</v>
      </c>
      <c r="N278" s="18" t="str">
        <f t="shared" si="12"/>
        <v>60+</v>
      </c>
      <c r="O278" s="12">
        <f t="shared" si="13"/>
        <v>111.26</v>
      </c>
      <c r="P278" s="12">
        <f t="shared" si="14"/>
        <v>33.378</v>
      </c>
      <c r="X278" s="14" t="s">
        <v>583</v>
      </c>
      <c r="Y278" s="19">
        <v>989.62</v>
      </c>
    </row>
    <row r="279" spans="1:25" x14ac:dyDescent="0.3">
      <c r="A279">
        <v>95795</v>
      </c>
      <c r="B279" s="1">
        <v>45471</v>
      </c>
      <c r="C279">
        <v>955</v>
      </c>
      <c r="D279">
        <v>10</v>
      </c>
      <c r="E279" t="s">
        <v>13</v>
      </c>
      <c r="F279" t="s">
        <v>42</v>
      </c>
      <c r="G279">
        <v>4</v>
      </c>
      <c r="H279">
        <v>205.6</v>
      </c>
      <c r="I279" t="s">
        <v>15</v>
      </c>
      <c r="J279" t="s">
        <v>900</v>
      </c>
      <c r="K279">
        <v>3</v>
      </c>
      <c r="L279" t="s">
        <v>21</v>
      </c>
      <c r="M279">
        <v>22</v>
      </c>
      <c r="N279" s="18" t="str">
        <f t="shared" si="12"/>
        <v>18-30</v>
      </c>
      <c r="O279" s="12">
        <f t="shared" si="13"/>
        <v>822.4</v>
      </c>
      <c r="P279" s="12">
        <f t="shared" si="14"/>
        <v>246.71999999999997</v>
      </c>
      <c r="X279" s="14" t="s">
        <v>287</v>
      </c>
      <c r="Y279" s="19">
        <v>798.44999999999993</v>
      </c>
    </row>
    <row r="280" spans="1:25" x14ac:dyDescent="0.3">
      <c r="A280">
        <v>76140</v>
      </c>
      <c r="B280" s="1">
        <v>45472</v>
      </c>
      <c r="C280">
        <v>673</v>
      </c>
      <c r="D280">
        <v>50</v>
      </c>
      <c r="E280" t="s">
        <v>18</v>
      </c>
      <c r="F280" t="s">
        <v>87</v>
      </c>
      <c r="G280">
        <v>2</v>
      </c>
      <c r="H280">
        <v>293.67</v>
      </c>
      <c r="I280" t="s">
        <v>15</v>
      </c>
      <c r="J280" t="s">
        <v>90</v>
      </c>
      <c r="K280">
        <v>5</v>
      </c>
      <c r="L280" t="s">
        <v>21</v>
      </c>
      <c r="M280">
        <v>65</v>
      </c>
      <c r="N280" s="18" t="str">
        <f t="shared" si="12"/>
        <v>60+</v>
      </c>
      <c r="O280" s="12">
        <f t="shared" si="13"/>
        <v>587.34</v>
      </c>
      <c r="P280" s="12">
        <f t="shared" si="14"/>
        <v>176.202</v>
      </c>
      <c r="X280" s="14" t="s">
        <v>862</v>
      </c>
      <c r="Y280" s="19">
        <v>1186</v>
      </c>
    </row>
    <row r="281" spans="1:25" x14ac:dyDescent="0.3">
      <c r="A281">
        <v>99624</v>
      </c>
      <c r="B281" s="1">
        <v>45472</v>
      </c>
      <c r="C281">
        <v>624</v>
      </c>
      <c r="D281">
        <v>20</v>
      </c>
      <c r="E281" t="s">
        <v>28</v>
      </c>
      <c r="F281" t="s">
        <v>72</v>
      </c>
      <c r="G281">
        <v>4</v>
      </c>
      <c r="H281">
        <v>120.07</v>
      </c>
      <c r="I281" t="s">
        <v>15</v>
      </c>
      <c r="J281" t="s">
        <v>124</v>
      </c>
      <c r="L281" t="s">
        <v>21</v>
      </c>
      <c r="M281">
        <v>20</v>
      </c>
      <c r="N281" s="18" t="str">
        <f t="shared" si="12"/>
        <v>18-30</v>
      </c>
      <c r="O281" s="12">
        <f t="shared" si="13"/>
        <v>480.28</v>
      </c>
      <c r="P281" s="12">
        <f t="shared" si="14"/>
        <v>144.08399999999997</v>
      </c>
      <c r="X281" s="14" t="s">
        <v>941</v>
      </c>
      <c r="Y281" s="19">
        <v>391.58</v>
      </c>
    </row>
    <row r="282" spans="1:25" x14ac:dyDescent="0.3">
      <c r="A282">
        <v>92572</v>
      </c>
      <c r="B282" s="1">
        <v>45472</v>
      </c>
      <c r="C282">
        <v>634</v>
      </c>
      <c r="D282">
        <v>40</v>
      </c>
      <c r="E282" t="s">
        <v>24</v>
      </c>
      <c r="F282" t="s">
        <v>65</v>
      </c>
      <c r="G282">
        <v>4</v>
      </c>
      <c r="H282">
        <v>286.55</v>
      </c>
      <c r="I282" t="s">
        <v>15</v>
      </c>
      <c r="J282" t="s">
        <v>141</v>
      </c>
      <c r="L282" t="s">
        <v>21</v>
      </c>
      <c r="M282">
        <v>60</v>
      </c>
      <c r="N282" s="18" t="str">
        <f t="shared" si="12"/>
        <v>46-60</v>
      </c>
      <c r="O282" s="12">
        <f t="shared" si="13"/>
        <v>1146.2</v>
      </c>
      <c r="P282" s="12">
        <f t="shared" si="14"/>
        <v>343.86</v>
      </c>
      <c r="X282" s="14" t="s">
        <v>409</v>
      </c>
      <c r="Y282" s="19">
        <v>334.79999999999995</v>
      </c>
    </row>
    <row r="283" spans="1:25" x14ac:dyDescent="0.3">
      <c r="A283">
        <v>77455</v>
      </c>
      <c r="B283" s="1">
        <v>45472</v>
      </c>
      <c r="C283">
        <v>845</v>
      </c>
      <c r="D283">
        <v>50</v>
      </c>
      <c r="E283" t="s">
        <v>18</v>
      </c>
      <c r="F283" t="s">
        <v>87</v>
      </c>
      <c r="G283">
        <v>3</v>
      </c>
      <c r="H283">
        <v>297.33</v>
      </c>
      <c r="I283" t="s">
        <v>15</v>
      </c>
      <c r="J283" t="s">
        <v>238</v>
      </c>
      <c r="K283">
        <v>3</v>
      </c>
      <c r="L283" t="s">
        <v>21</v>
      </c>
      <c r="M283">
        <v>64</v>
      </c>
      <c r="N283" s="18" t="str">
        <f t="shared" si="12"/>
        <v>60+</v>
      </c>
      <c r="O283" s="12">
        <f t="shared" si="13"/>
        <v>891.99</v>
      </c>
      <c r="P283" s="12">
        <f t="shared" si="14"/>
        <v>267.59699999999998</v>
      </c>
      <c r="X283" s="14" t="s">
        <v>91</v>
      </c>
      <c r="Y283" s="19">
        <v>1330.8000000000002</v>
      </c>
    </row>
    <row r="284" spans="1:25" x14ac:dyDescent="0.3">
      <c r="A284">
        <v>19405</v>
      </c>
      <c r="B284" s="1">
        <v>45472</v>
      </c>
      <c r="C284">
        <v>433</v>
      </c>
      <c r="D284">
        <v>10</v>
      </c>
      <c r="E284" t="s">
        <v>13</v>
      </c>
      <c r="F284" t="s">
        <v>111</v>
      </c>
      <c r="G284">
        <v>4</v>
      </c>
      <c r="H284">
        <v>48.94</v>
      </c>
      <c r="I284" t="s">
        <v>26</v>
      </c>
      <c r="J284" t="s">
        <v>930</v>
      </c>
      <c r="L284" t="s">
        <v>17</v>
      </c>
      <c r="M284">
        <v>23</v>
      </c>
      <c r="N284" s="18" t="str">
        <f t="shared" si="12"/>
        <v>18-30</v>
      </c>
      <c r="O284" s="12">
        <f t="shared" si="13"/>
        <v>195.76</v>
      </c>
      <c r="P284" s="12">
        <f t="shared" si="14"/>
        <v>58.727999999999994</v>
      </c>
      <c r="X284" s="14" t="s">
        <v>137</v>
      </c>
      <c r="Y284" s="19">
        <v>38.67</v>
      </c>
    </row>
    <row r="285" spans="1:25" x14ac:dyDescent="0.3">
      <c r="A285">
        <v>93547</v>
      </c>
      <c r="B285" s="1">
        <v>45472</v>
      </c>
      <c r="C285">
        <v>663</v>
      </c>
      <c r="D285">
        <v>40</v>
      </c>
      <c r="E285" t="s">
        <v>24</v>
      </c>
      <c r="F285" t="s">
        <v>44</v>
      </c>
      <c r="G285">
        <v>3</v>
      </c>
      <c r="H285">
        <v>100.15</v>
      </c>
      <c r="I285" t="s">
        <v>26</v>
      </c>
      <c r="J285" t="s">
        <v>931</v>
      </c>
      <c r="K285">
        <v>4</v>
      </c>
      <c r="L285" t="s">
        <v>21</v>
      </c>
      <c r="M285">
        <v>65</v>
      </c>
      <c r="N285" s="18" t="str">
        <f t="shared" si="12"/>
        <v>60+</v>
      </c>
      <c r="O285" s="12">
        <f t="shared" si="13"/>
        <v>300.45000000000005</v>
      </c>
      <c r="P285" s="12">
        <f t="shared" si="14"/>
        <v>90.135000000000005</v>
      </c>
      <c r="X285" s="14" t="s">
        <v>30</v>
      </c>
      <c r="Y285" s="19">
        <v>706.88</v>
      </c>
    </row>
    <row r="286" spans="1:25" x14ac:dyDescent="0.3">
      <c r="A286">
        <v>54318</v>
      </c>
      <c r="B286" s="1">
        <v>45472</v>
      </c>
      <c r="C286">
        <v>142</v>
      </c>
      <c r="D286">
        <v>10</v>
      </c>
      <c r="E286" t="s">
        <v>13</v>
      </c>
      <c r="F286" t="s">
        <v>111</v>
      </c>
      <c r="G286">
        <v>2</v>
      </c>
      <c r="H286">
        <v>491.97</v>
      </c>
      <c r="I286" t="s">
        <v>35</v>
      </c>
      <c r="J286" t="s">
        <v>971</v>
      </c>
      <c r="K286">
        <v>4</v>
      </c>
      <c r="L286" t="s">
        <v>21</v>
      </c>
      <c r="M286">
        <v>18</v>
      </c>
      <c r="N286" s="18" t="str">
        <f t="shared" si="12"/>
        <v>18-30</v>
      </c>
      <c r="O286" s="12">
        <f t="shared" si="13"/>
        <v>983.94</v>
      </c>
      <c r="P286" s="12">
        <f t="shared" si="14"/>
        <v>295.18200000000002</v>
      </c>
      <c r="X286" s="14" t="s">
        <v>435</v>
      </c>
      <c r="Y286" s="19">
        <v>1832.32</v>
      </c>
    </row>
    <row r="287" spans="1:25" x14ac:dyDescent="0.3">
      <c r="A287">
        <v>32747</v>
      </c>
      <c r="B287" s="1">
        <v>45473</v>
      </c>
      <c r="C287">
        <v>322</v>
      </c>
      <c r="D287">
        <v>50</v>
      </c>
      <c r="E287" t="s">
        <v>18</v>
      </c>
      <c r="F287" t="s">
        <v>87</v>
      </c>
      <c r="G287">
        <v>1</v>
      </c>
      <c r="H287">
        <v>24</v>
      </c>
      <c r="I287" t="s">
        <v>35</v>
      </c>
      <c r="J287" t="s">
        <v>837</v>
      </c>
      <c r="K287">
        <v>3</v>
      </c>
      <c r="M287">
        <v>71</v>
      </c>
      <c r="N287" s="18" t="str">
        <f t="shared" si="12"/>
        <v>60+</v>
      </c>
      <c r="O287" s="12">
        <f t="shared" si="13"/>
        <v>24</v>
      </c>
      <c r="P287" s="12">
        <f t="shared" si="14"/>
        <v>7.1999999999999993</v>
      </c>
      <c r="X287" s="14" t="s">
        <v>270</v>
      </c>
      <c r="Y287" s="19">
        <v>818.24</v>
      </c>
    </row>
    <row r="288" spans="1:25" x14ac:dyDescent="0.3">
      <c r="A288">
        <v>71248</v>
      </c>
      <c r="B288" s="1">
        <v>45474</v>
      </c>
      <c r="C288">
        <v>289</v>
      </c>
      <c r="D288">
        <v>10</v>
      </c>
      <c r="E288" t="s">
        <v>13</v>
      </c>
      <c r="F288" t="s">
        <v>14</v>
      </c>
      <c r="G288">
        <v>5</v>
      </c>
      <c r="H288">
        <v>207.28</v>
      </c>
      <c r="I288" t="s">
        <v>26</v>
      </c>
      <c r="J288" t="s">
        <v>76</v>
      </c>
      <c r="K288">
        <v>5</v>
      </c>
      <c r="L288" t="s">
        <v>21</v>
      </c>
      <c r="M288">
        <v>42</v>
      </c>
      <c r="N288" s="18" t="str">
        <f t="shared" si="12"/>
        <v>31-45</v>
      </c>
      <c r="O288" s="12">
        <f t="shared" si="13"/>
        <v>1036.4000000000001</v>
      </c>
      <c r="P288" s="12">
        <f t="shared" si="14"/>
        <v>310.92</v>
      </c>
      <c r="X288" s="14" t="s">
        <v>331</v>
      </c>
      <c r="Y288" s="19">
        <v>628.20000000000005</v>
      </c>
    </row>
    <row r="289" spans="1:25" x14ac:dyDescent="0.3">
      <c r="A289">
        <v>64578</v>
      </c>
      <c r="B289" s="1">
        <v>45474</v>
      </c>
      <c r="C289">
        <v>650</v>
      </c>
      <c r="D289">
        <v>10</v>
      </c>
      <c r="E289" t="s">
        <v>13</v>
      </c>
      <c r="F289" t="s">
        <v>42</v>
      </c>
      <c r="G289">
        <v>1</v>
      </c>
      <c r="H289">
        <v>35.520000000000003</v>
      </c>
      <c r="I289" t="s">
        <v>26</v>
      </c>
      <c r="J289" t="s">
        <v>144</v>
      </c>
      <c r="K289">
        <v>1</v>
      </c>
      <c r="L289" t="s">
        <v>21</v>
      </c>
      <c r="M289">
        <v>54</v>
      </c>
      <c r="N289" s="18" t="str">
        <f t="shared" si="12"/>
        <v>46-60</v>
      </c>
      <c r="O289" s="12">
        <f t="shared" si="13"/>
        <v>35.520000000000003</v>
      </c>
      <c r="P289" s="12">
        <f t="shared" si="14"/>
        <v>10.656000000000001</v>
      </c>
      <c r="X289" s="14" t="s">
        <v>861</v>
      </c>
      <c r="Y289" s="19">
        <v>2434.5</v>
      </c>
    </row>
    <row r="290" spans="1:25" x14ac:dyDescent="0.3">
      <c r="A290">
        <v>30464</v>
      </c>
      <c r="B290" s="1">
        <v>45474</v>
      </c>
      <c r="C290">
        <v>563</v>
      </c>
      <c r="D290">
        <v>20</v>
      </c>
      <c r="E290" t="s">
        <v>28</v>
      </c>
      <c r="F290" t="s">
        <v>29</v>
      </c>
      <c r="G290">
        <v>2</v>
      </c>
      <c r="H290">
        <v>483.96</v>
      </c>
      <c r="I290" t="s">
        <v>35</v>
      </c>
      <c r="J290" t="s">
        <v>226</v>
      </c>
      <c r="K290">
        <v>3</v>
      </c>
      <c r="L290" t="s">
        <v>17</v>
      </c>
      <c r="M290">
        <v>25</v>
      </c>
      <c r="N290" s="18" t="str">
        <f t="shared" si="12"/>
        <v>18-30</v>
      </c>
      <c r="O290" s="12">
        <f t="shared" si="13"/>
        <v>967.92</v>
      </c>
      <c r="P290" s="12">
        <f t="shared" si="14"/>
        <v>290.37599999999998</v>
      </c>
      <c r="X290" s="14" t="s">
        <v>420</v>
      </c>
      <c r="Y290" s="19">
        <v>1156.1100000000001</v>
      </c>
    </row>
    <row r="291" spans="1:25" x14ac:dyDescent="0.3">
      <c r="A291">
        <v>58789</v>
      </c>
      <c r="B291" s="1">
        <v>45474</v>
      </c>
      <c r="C291">
        <v>318</v>
      </c>
      <c r="D291">
        <v>40</v>
      </c>
      <c r="E291" t="s">
        <v>24</v>
      </c>
      <c r="F291" t="s">
        <v>49</v>
      </c>
      <c r="G291">
        <v>4</v>
      </c>
      <c r="H291">
        <v>49.32</v>
      </c>
      <c r="I291" t="s">
        <v>35</v>
      </c>
      <c r="J291" t="s">
        <v>416</v>
      </c>
      <c r="K291">
        <v>5</v>
      </c>
      <c r="L291" t="s">
        <v>21</v>
      </c>
      <c r="M291">
        <v>72</v>
      </c>
      <c r="N291" s="18" t="str">
        <f t="shared" si="12"/>
        <v>60+</v>
      </c>
      <c r="O291" s="12">
        <f t="shared" si="13"/>
        <v>197.28</v>
      </c>
      <c r="P291" s="12">
        <f t="shared" si="14"/>
        <v>59.183999999999997</v>
      </c>
      <c r="X291" s="14" t="s">
        <v>565</v>
      </c>
      <c r="Y291" s="19">
        <v>1200.1199999999999</v>
      </c>
    </row>
    <row r="292" spans="1:25" x14ac:dyDescent="0.3">
      <c r="A292">
        <v>24487</v>
      </c>
      <c r="B292" s="1">
        <v>45474</v>
      </c>
      <c r="C292">
        <v>468</v>
      </c>
      <c r="D292">
        <v>40</v>
      </c>
      <c r="E292" t="s">
        <v>24</v>
      </c>
      <c r="F292" t="s">
        <v>25</v>
      </c>
      <c r="G292">
        <v>1</v>
      </c>
      <c r="H292">
        <v>372.43</v>
      </c>
      <c r="I292" t="s">
        <v>26</v>
      </c>
      <c r="J292" t="s">
        <v>465</v>
      </c>
      <c r="K292">
        <v>3</v>
      </c>
      <c r="L292" t="s">
        <v>21</v>
      </c>
      <c r="M292">
        <v>38</v>
      </c>
      <c r="N292" s="18" t="str">
        <f t="shared" si="12"/>
        <v>31-45</v>
      </c>
      <c r="O292" s="12">
        <f t="shared" si="13"/>
        <v>372.43</v>
      </c>
      <c r="P292" s="12">
        <f t="shared" si="14"/>
        <v>111.729</v>
      </c>
      <c r="X292" s="14" t="s">
        <v>999</v>
      </c>
      <c r="Y292" s="19">
        <v>600.32000000000005</v>
      </c>
    </row>
    <row r="293" spans="1:25" x14ac:dyDescent="0.3">
      <c r="A293">
        <v>96065</v>
      </c>
      <c r="B293" s="1">
        <v>45474</v>
      </c>
      <c r="C293">
        <v>297</v>
      </c>
      <c r="D293">
        <v>10</v>
      </c>
      <c r="E293" t="s">
        <v>13</v>
      </c>
      <c r="F293" t="s">
        <v>111</v>
      </c>
      <c r="G293">
        <v>2</v>
      </c>
      <c r="H293">
        <v>389.81</v>
      </c>
      <c r="I293" t="s">
        <v>26</v>
      </c>
      <c r="J293" t="s">
        <v>509</v>
      </c>
      <c r="K293">
        <v>4</v>
      </c>
      <c r="L293" t="s">
        <v>17</v>
      </c>
      <c r="M293">
        <v>62</v>
      </c>
      <c r="N293" s="18" t="str">
        <f t="shared" si="12"/>
        <v>60+</v>
      </c>
      <c r="O293" s="12">
        <f t="shared" si="13"/>
        <v>779.62</v>
      </c>
      <c r="P293" s="12">
        <f t="shared" si="14"/>
        <v>233.886</v>
      </c>
      <c r="X293" s="14" t="s">
        <v>269</v>
      </c>
      <c r="Y293" s="19">
        <v>709.6</v>
      </c>
    </row>
    <row r="294" spans="1:25" x14ac:dyDescent="0.3">
      <c r="A294">
        <v>41492</v>
      </c>
      <c r="B294" s="1">
        <v>45475</v>
      </c>
      <c r="C294">
        <v>631</v>
      </c>
      <c r="D294">
        <v>50</v>
      </c>
      <c r="E294" t="s">
        <v>18</v>
      </c>
      <c r="F294" t="s">
        <v>34</v>
      </c>
      <c r="G294">
        <v>2</v>
      </c>
      <c r="H294">
        <v>402.56</v>
      </c>
      <c r="I294" t="s">
        <v>35</v>
      </c>
      <c r="J294" t="s">
        <v>325</v>
      </c>
      <c r="K294">
        <v>4</v>
      </c>
      <c r="L294" t="s">
        <v>21</v>
      </c>
      <c r="M294">
        <v>74</v>
      </c>
      <c r="N294" s="18" t="str">
        <f t="shared" si="12"/>
        <v>60+</v>
      </c>
      <c r="O294" s="12">
        <f t="shared" si="13"/>
        <v>805.12</v>
      </c>
      <c r="P294" s="12">
        <f t="shared" si="14"/>
        <v>241.536</v>
      </c>
      <c r="X294" s="14" t="s">
        <v>648</v>
      </c>
      <c r="Y294" s="19">
        <v>1042.56</v>
      </c>
    </row>
    <row r="295" spans="1:25" x14ac:dyDescent="0.3">
      <c r="A295">
        <v>75860</v>
      </c>
      <c r="B295" s="1">
        <v>45475</v>
      </c>
      <c r="C295">
        <v>370</v>
      </c>
      <c r="D295">
        <v>50</v>
      </c>
      <c r="E295" t="s">
        <v>18</v>
      </c>
      <c r="F295" t="s">
        <v>22</v>
      </c>
      <c r="G295">
        <v>3</v>
      </c>
      <c r="H295">
        <v>51.53</v>
      </c>
      <c r="I295" t="s">
        <v>15</v>
      </c>
      <c r="J295" t="s">
        <v>500</v>
      </c>
      <c r="K295">
        <v>3</v>
      </c>
      <c r="L295" t="s">
        <v>21</v>
      </c>
      <c r="M295">
        <v>63</v>
      </c>
      <c r="N295" s="18" t="str">
        <f t="shared" si="12"/>
        <v>60+</v>
      </c>
      <c r="O295" s="12">
        <f t="shared" si="13"/>
        <v>154.59</v>
      </c>
      <c r="P295" s="12">
        <f t="shared" si="14"/>
        <v>46.377000000000002</v>
      </c>
      <c r="X295" s="14" t="s">
        <v>641</v>
      </c>
      <c r="Y295" s="19">
        <v>1400.75</v>
      </c>
    </row>
    <row r="296" spans="1:25" x14ac:dyDescent="0.3">
      <c r="A296">
        <v>12544</v>
      </c>
      <c r="B296" s="1">
        <v>45475</v>
      </c>
      <c r="C296">
        <v>958</v>
      </c>
      <c r="D296">
        <v>10</v>
      </c>
      <c r="E296" t="s">
        <v>13</v>
      </c>
      <c r="F296" t="s">
        <v>47</v>
      </c>
      <c r="G296">
        <v>3</v>
      </c>
      <c r="H296">
        <v>153.12</v>
      </c>
      <c r="I296" t="s">
        <v>26</v>
      </c>
      <c r="J296" t="s">
        <v>507</v>
      </c>
      <c r="K296">
        <v>1</v>
      </c>
      <c r="L296" t="s">
        <v>21</v>
      </c>
      <c r="M296">
        <v>28</v>
      </c>
      <c r="N296" s="18" t="str">
        <f t="shared" si="12"/>
        <v>18-30</v>
      </c>
      <c r="O296" s="12">
        <f t="shared" si="13"/>
        <v>459.36</v>
      </c>
      <c r="P296" s="12">
        <f t="shared" si="14"/>
        <v>137.80799999999999</v>
      </c>
      <c r="X296" s="14" t="s">
        <v>807</v>
      </c>
      <c r="Y296" s="19">
        <v>2331.9</v>
      </c>
    </row>
    <row r="297" spans="1:25" x14ac:dyDescent="0.3">
      <c r="A297">
        <v>58911</v>
      </c>
      <c r="B297" s="1">
        <v>45476</v>
      </c>
      <c r="C297">
        <v>489</v>
      </c>
      <c r="D297">
        <v>50</v>
      </c>
      <c r="E297" t="s">
        <v>18</v>
      </c>
      <c r="F297" t="s">
        <v>84</v>
      </c>
      <c r="G297">
        <v>1</v>
      </c>
      <c r="H297">
        <v>236.22</v>
      </c>
      <c r="I297" t="s">
        <v>26</v>
      </c>
      <c r="J297" t="s">
        <v>301</v>
      </c>
      <c r="K297">
        <v>5</v>
      </c>
      <c r="L297" t="s">
        <v>17</v>
      </c>
      <c r="M297">
        <v>72</v>
      </c>
      <c r="N297" s="18" t="str">
        <f t="shared" si="12"/>
        <v>60+</v>
      </c>
      <c r="O297" s="12">
        <f t="shared" si="13"/>
        <v>236.22</v>
      </c>
      <c r="P297" s="12">
        <f t="shared" si="14"/>
        <v>70.866</v>
      </c>
      <c r="X297" s="14" t="s">
        <v>454</v>
      </c>
      <c r="Y297" s="19">
        <v>1841.52</v>
      </c>
    </row>
    <row r="298" spans="1:25" x14ac:dyDescent="0.3">
      <c r="A298">
        <v>49232</v>
      </c>
      <c r="B298" s="1">
        <v>45476</v>
      </c>
      <c r="C298">
        <v>172</v>
      </c>
      <c r="D298">
        <v>30</v>
      </c>
      <c r="E298" t="s">
        <v>37</v>
      </c>
      <c r="F298" t="s">
        <v>58</v>
      </c>
      <c r="G298">
        <v>1</v>
      </c>
      <c r="H298">
        <v>415.86</v>
      </c>
      <c r="I298" t="s">
        <v>35</v>
      </c>
      <c r="J298" t="s">
        <v>370</v>
      </c>
      <c r="K298">
        <v>4</v>
      </c>
      <c r="L298" t="s">
        <v>17</v>
      </c>
      <c r="M298">
        <v>53</v>
      </c>
      <c r="N298" s="18" t="str">
        <f t="shared" si="12"/>
        <v>46-60</v>
      </c>
      <c r="O298" s="12">
        <f t="shared" si="13"/>
        <v>415.86</v>
      </c>
      <c r="P298" s="12">
        <f t="shared" si="14"/>
        <v>124.758</v>
      </c>
      <c r="X298" s="14" t="s">
        <v>593</v>
      </c>
      <c r="Y298" s="19">
        <v>919.54</v>
      </c>
    </row>
    <row r="299" spans="1:25" x14ac:dyDescent="0.3">
      <c r="A299">
        <v>46781</v>
      </c>
      <c r="B299" s="1">
        <v>45476</v>
      </c>
      <c r="C299">
        <v>543</v>
      </c>
      <c r="D299">
        <v>40</v>
      </c>
      <c r="E299" t="s">
        <v>24</v>
      </c>
      <c r="F299" t="s">
        <v>49</v>
      </c>
      <c r="G299">
        <v>1</v>
      </c>
      <c r="H299">
        <v>282.92</v>
      </c>
      <c r="I299" t="s">
        <v>35</v>
      </c>
      <c r="J299" t="s">
        <v>466</v>
      </c>
      <c r="K299">
        <v>4</v>
      </c>
      <c r="L299" t="s">
        <v>21</v>
      </c>
      <c r="M299">
        <v>32</v>
      </c>
      <c r="N299" s="18" t="str">
        <f t="shared" si="12"/>
        <v>31-45</v>
      </c>
      <c r="O299" s="12">
        <f t="shared" si="13"/>
        <v>282.92</v>
      </c>
      <c r="P299" s="12">
        <f t="shared" si="14"/>
        <v>84.876000000000005</v>
      </c>
      <c r="X299" s="14" t="s">
        <v>606</v>
      </c>
      <c r="Y299" s="19">
        <v>2080.6</v>
      </c>
    </row>
    <row r="300" spans="1:25" x14ac:dyDescent="0.3">
      <c r="A300">
        <v>40110</v>
      </c>
      <c r="B300" s="1">
        <v>45476</v>
      </c>
      <c r="C300">
        <v>325</v>
      </c>
      <c r="D300">
        <v>50</v>
      </c>
      <c r="E300" t="s">
        <v>18</v>
      </c>
      <c r="F300" t="s">
        <v>84</v>
      </c>
      <c r="G300">
        <v>5</v>
      </c>
      <c r="H300">
        <v>309.54000000000002</v>
      </c>
      <c r="I300" t="s">
        <v>35</v>
      </c>
      <c r="J300" t="s">
        <v>498</v>
      </c>
      <c r="L300" t="s">
        <v>21</v>
      </c>
      <c r="M300">
        <v>27</v>
      </c>
      <c r="N300" s="18" t="str">
        <f t="shared" si="12"/>
        <v>18-30</v>
      </c>
      <c r="O300" s="12">
        <f t="shared" si="13"/>
        <v>1547.7</v>
      </c>
      <c r="P300" s="12">
        <f t="shared" si="14"/>
        <v>464.31</v>
      </c>
      <c r="X300" s="14" t="s">
        <v>495</v>
      </c>
      <c r="Y300" s="19">
        <v>900.54</v>
      </c>
    </row>
    <row r="301" spans="1:25" x14ac:dyDescent="0.3">
      <c r="A301">
        <v>76057</v>
      </c>
      <c r="B301" s="1">
        <v>45476</v>
      </c>
      <c r="C301">
        <v>560</v>
      </c>
      <c r="D301">
        <v>10</v>
      </c>
      <c r="E301" t="s">
        <v>13</v>
      </c>
      <c r="F301" t="s">
        <v>32</v>
      </c>
      <c r="G301">
        <v>4</v>
      </c>
      <c r="H301">
        <v>423.45</v>
      </c>
      <c r="I301" t="s">
        <v>26</v>
      </c>
      <c r="J301" t="s">
        <v>615</v>
      </c>
      <c r="K301">
        <v>5</v>
      </c>
      <c r="L301" t="s">
        <v>17</v>
      </c>
      <c r="M301">
        <v>52</v>
      </c>
      <c r="N301" s="18" t="str">
        <f t="shared" si="12"/>
        <v>46-60</v>
      </c>
      <c r="O301" s="12">
        <f t="shared" si="13"/>
        <v>1693.8</v>
      </c>
      <c r="P301" s="12">
        <f t="shared" si="14"/>
        <v>508.14</v>
      </c>
      <c r="X301" s="14" t="s">
        <v>471</v>
      </c>
      <c r="Y301" s="19">
        <v>1180.53</v>
      </c>
    </row>
    <row r="302" spans="1:25" x14ac:dyDescent="0.3">
      <c r="A302">
        <v>56431</v>
      </c>
      <c r="B302" s="1">
        <v>45476</v>
      </c>
      <c r="C302">
        <v>600</v>
      </c>
      <c r="D302">
        <v>20</v>
      </c>
      <c r="E302" t="s">
        <v>28</v>
      </c>
      <c r="F302" t="s">
        <v>77</v>
      </c>
      <c r="G302">
        <v>3</v>
      </c>
      <c r="H302">
        <v>150.41999999999999</v>
      </c>
      <c r="I302" t="s">
        <v>35</v>
      </c>
      <c r="J302" t="s">
        <v>982</v>
      </c>
      <c r="K302">
        <v>3</v>
      </c>
      <c r="L302" t="s">
        <v>21</v>
      </c>
      <c r="M302">
        <v>42</v>
      </c>
      <c r="N302" s="18" t="str">
        <f t="shared" si="12"/>
        <v>31-45</v>
      </c>
      <c r="O302" s="12">
        <f t="shared" si="13"/>
        <v>451.26</v>
      </c>
      <c r="P302" s="12">
        <f t="shared" si="14"/>
        <v>135.37799999999999</v>
      </c>
      <c r="X302" s="14" t="s">
        <v>234</v>
      </c>
      <c r="Y302" s="19">
        <v>3045.0899999999997</v>
      </c>
    </row>
    <row r="303" spans="1:25" x14ac:dyDescent="0.3">
      <c r="A303">
        <v>85352</v>
      </c>
      <c r="B303" s="1">
        <v>45477</v>
      </c>
      <c r="C303">
        <v>755</v>
      </c>
      <c r="D303">
        <v>20</v>
      </c>
      <c r="E303" t="s">
        <v>28</v>
      </c>
      <c r="F303" t="s">
        <v>79</v>
      </c>
      <c r="G303">
        <v>5</v>
      </c>
      <c r="H303">
        <v>149.06</v>
      </c>
      <c r="I303" t="s">
        <v>35</v>
      </c>
      <c r="J303" t="s">
        <v>123</v>
      </c>
      <c r="K303">
        <v>5</v>
      </c>
      <c r="L303" t="s">
        <v>21</v>
      </c>
      <c r="M303">
        <v>38</v>
      </c>
      <c r="N303" s="18" t="str">
        <f t="shared" si="12"/>
        <v>31-45</v>
      </c>
      <c r="O303" s="12">
        <f t="shared" si="13"/>
        <v>745.3</v>
      </c>
      <c r="P303" s="12">
        <f t="shared" si="14"/>
        <v>223.58999999999997</v>
      </c>
      <c r="X303" s="14" t="s">
        <v>885</v>
      </c>
      <c r="Y303" s="19">
        <v>499.23</v>
      </c>
    </row>
    <row r="304" spans="1:25" x14ac:dyDescent="0.3">
      <c r="A304">
        <v>66782</v>
      </c>
      <c r="B304" s="1">
        <v>45477</v>
      </c>
      <c r="C304">
        <v>865</v>
      </c>
      <c r="D304">
        <v>20</v>
      </c>
      <c r="E304" t="s">
        <v>28</v>
      </c>
      <c r="F304" t="s">
        <v>72</v>
      </c>
      <c r="G304">
        <v>2</v>
      </c>
      <c r="H304">
        <v>62.97</v>
      </c>
      <c r="I304" t="s">
        <v>15</v>
      </c>
      <c r="J304" t="s">
        <v>148</v>
      </c>
      <c r="K304">
        <v>5</v>
      </c>
      <c r="L304" t="s">
        <v>17</v>
      </c>
      <c r="M304">
        <v>48</v>
      </c>
      <c r="N304" s="18" t="str">
        <f t="shared" si="12"/>
        <v>46-60</v>
      </c>
      <c r="O304" s="12">
        <f t="shared" si="13"/>
        <v>125.94</v>
      </c>
      <c r="P304" s="12">
        <f t="shared" si="14"/>
        <v>37.781999999999996</v>
      </c>
      <c r="X304" s="14" t="s">
        <v>950</v>
      </c>
      <c r="Y304" s="19">
        <v>696.99</v>
      </c>
    </row>
    <row r="305" spans="1:25" x14ac:dyDescent="0.3">
      <c r="A305">
        <v>34740</v>
      </c>
      <c r="B305" s="1">
        <v>45477</v>
      </c>
      <c r="C305">
        <v>111</v>
      </c>
      <c r="D305">
        <v>50</v>
      </c>
      <c r="E305" t="s">
        <v>18</v>
      </c>
      <c r="F305" t="s">
        <v>84</v>
      </c>
      <c r="G305">
        <v>3</v>
      </c>
      <c r="H305">
        <v>163.74</v>
      </c>
      <c r="I305" t="s">
        <v>15</v>
      </c>
      <c r="J305" t="s">
        <v>378</v>
      </c>
      <c r="K305">
        <v>4</v>
      </c>
      <c r="L305" t="s">
        <v>17</v>
      </c>
      <c r="M305">
        <v>44</v>
      </c>
      <c r="N305" s="18" t="str">
        <f t="shared" si="12"/>
        <v>31-45</v>
      </c>
      <c r="O305" s="12">
        <f t="shared" si="13"/>
        <v>491.22</v>
      </c>
      <c r="P305" s="12">
        <f t="shared" si="14"/>
        <v>147.36600000000001</v>
      </c>
      <c r="X305" s="14" t="s">
        <v>300</v>
      </c>
      <c r="Y305" s="19">
        <v>483.14</v>
      </c>
    </row>
    <row r="306" spans="1:25" x14ac:dyDescent="0.3">
      <c r="A306">
        <v>18651</v>
      </c>
      <c r="B306" s="1">
        <v>45477</v>
      </c>
      <c r="C306">
        <v>121</v>
      </c>
      <c r="D306">
        <v>40</v>
      </c>
      <c r="E306" t="s">
        <v>24</v>
      </c>
      <c r="F306" t="s">
        <v>25</v>
      </c>
      <c r="G306">
        <v>5</v>
      </c>
      <c r="H306">
        <v>412.7</v>
      </c>
      <c r="I306" t="s">
        <v>35</v>
      </c>
      <c r="J306" t="s">
        <v>707</v>
      </c>
      <c r="K306">
        <v>5</v>
      </c>
      <c r="L306" t="s">
        <v>21</v>
      </c>
      <c r="M306">
        <v>29</v>
      </c>
      <c r="N306" s="18" t="str">
        <f t="shared" si="12"/>
        <v>18-30</v>
      </c>
      <c r="O306" s="12">
        <f t="shared" si="13"/>
        <v>2063.5</v>
      </c>
      <c r="P306" s="12">
        <f t="shared" si="14"/>
        <v>619.04999999999995</v>
      </c>
      <c r="X306" s="14" t="s">
        <v>851</v>
      </c>
      <c r="Y306" s="19">
        <v>20.84</v>
      </c>
    </row>
    <row r="307" spans="1:25" x14ac:dyDescent="0.3">
      <c r="A307">
        <v>72236</v>
      </c>
      <c r="B307" s="1">
        <v>45478</v>
      </c>
      <c r="C307">
        <v>959</v>
      </c>
      <c r="D307">
        <v>10</v>
      </c>
      <c r="E307" t="s">
        <v>13</v>
      </c>
      <c r="F307" t="s">
        <v>14</v>
      </c>
      <c r="G307">
        <v>5</v>
      </c>
      <c r="H307">
        <v>110.17</v>
      </c>
      <c r="I307" t="s">
        <v>15</v>
      </c>
      <c r="J307" t="s">
        <v>267</v>
      </c>
      <c r="K307">
        <v>5</v>
      </c>
      <c r="L307" t="s">
        <v>17</v>
      </c>
      <c r="M307">
        <v>47</v>
      </c>
      <c r="N307" s="18" t="str">
        <f t="shared" si="12"/>
        <v>46-60</v>
      </c>
      <c r="O307" s="12">
        <f t="shared" si="13"/>
        <v>550.85</v>
      </c>
      <c r="P307" s="12">
        <f t="shared" si="14"/>
        <v>165.255</v>
      </c>
      <c r="X307" s="14" t="s">
        <v>333</v>
      </c>
      <c r="Y307" s="19">
        <v>1456.1000000000001</v>
      </c>
    </row>
    <row r="308" spans="1:25" x14ac:dyDescent="0.3">
      <c r="A308">
        <v>80435</v>
      </c>
      <c r="B308" s="1">
        <v>45478</v>
      </c>
      <c r="C308">
        <v>681</v>
      </c>
      <c r="D308">
        <v>40</v>
      </c>
      <c r="E308" t="s">
        <v>24</v>
      </c>
      <c r="F308" t="s">
        <v>44</v>
      </c>
      <c r="G308">
        <v>1</v>
      </c>
      <c r="H308">
        <v>232.24</v>
      </c>
      <c r="I308" t="s">
        <v>35</v>
      </c>
      <c r="J308" t="s">
        <v>353</v>
      </c>
      <c r="L308" t="s">
        <v>21</v>
      </c>
      <c r="M308">
        <v>41</v>
      </c>
      <c r="N308" s="18" t="str">
        <f t="shared" si="12"/>
        <v>31-45</v>
      </c>
      <c r="O308" s="12">
        <f t="shared" si="13"/>
        <v>232.24</v>
      </c>
      <c r="P308" s="12">
        <f t="shared" si="14"/>
        <v>69.671999999999997</v>
      </c>
      <c r="X308" s="14" t="s">
        <v>784</v>
      </c>
      <c r="Y308" s="19">
        <v>1212.6400000000001</v>
      </c>
    </row>
    <row r="309" spans="1:25" x14ac:dyDescent="0.3">
      <c r="A309">
        <v>45435</v>
      </c>
      <c r="B309" s="1">
        <v>45479</v>
      </c>
      <c r="C309">
        <v>349</v>
      </c>
      <c r="D309">
        <v>40</v>
      </c>
      <c r="E309" t="s">
        <v>24</v>
      </c>
      <c r="F309" t="s">
        <v>25</v>
      </c>
      <c r="G309">
        <v>3</v>
      </c>
      <c r="H309">
        <v>421.85</v>
      </c>
      <c r="I309" t="s">
        <v>15</v>
      </c>
      <c r="J309" t="s">
        <v>140</v>
      </c>
      <c r="K309">
        <v>5</v>
      </c>
      <c r="L309" t="s">
        <v>17</v>
      </c>
      <c r="M309">
        <v>25</v>
      </c>
      <c r="N309" s="18" t="str">
        <f t="shared" si="12"/>
        <v>18-30</v>
      </c>
      <c r="O309" s="12">
        <f t="shared" si="13"/>
        <v>1265.5500000000002</v>
      </c>
      <c r="P309" s="12">
        <f t="shared" si="14"/>
        <v>379.66500000000002</v>
      </c>
      <c r="X309" s="14" t="s">
        <v>440</v>
      </c>
      <c r="Y309" s="19">
        <v>84.68</v>
      </c>
    </row>
    <row r="310" spans="1:25" x14ac:dyDescent="0.3">
      <c r="A310">
        <v>89715</v>
      </c>
      <c r="B310" s="1">
        <v>45479</v>
      </c>
      <c r="C310">
        <v>941</v>
      </c>
      <c r="D310">
        <v>10</v>
      </c>
      <c r="E310" t="s">
        <v>13</v>
      </c>
      <c r="F310" t="s">
        <v>111</v>
      </c>
      <c r="G310">
        <v>1</v>
      </c>
      <c r="H310">
        <v>213.83</v>
      </c>
      <c r="I310" t="s">
        <v>15</v>
      </c>
      <c r="J310" t="s">
        <v>488</v>
      </c>
      <c r="M310">
        <v>28</v>
      </c>
      <c r="N310" s="18" t="str">
        <f t="shared" si="12"/>
        <v>18-30</v>
      </c>
      <c r="O310" s="12">
        <f t="shared" si="13"/>
        <v>213.83</v>
      </c>
      <c r="P310" s="12">
        <f t="shared" si="14"/>
        <v>64.149000000000001</v>
      </c>
      <c r="X310" s="14" t="s">
        <v>434</v>
      </c>
      <c r="Y310" s="19">
        <v>1915.76</v>
      </c>
    </row>
    <row r="311" spans="1:25" x14ac:dyDescent="0.3">
      <c r="A311">
        <v>43139</v>
      </c>
      <c r="B311" s="1">
        <v>45479</v>
      </c>
      <c r="C311">
        <v>669</v>
      </c>
      <c r="D311">
        <v>10</v>
      </c>
      <c r="E311" t="s">
        <v>13</v>
      </c>
      <c r="F311" t="s">
        <v>14</v>
      </c>
      <c r="G311">
        <v>5</v>
      </c>
      <c r="H311">
        <v>12.46</v>
      </c>
      <c r="I311" t="s">
        <v>35</v>
      </c>
      <c r="J311" t="s">
        <v>745</v>
      </c>
      <c r="K311">
        <v>3</v>
      </c>
      <c r="L311" t="s">
        <v>17</v>
      </c>
      <c r="M311">
        <v>67</v>
      </c>
      <c r="N311" s="18" t="str">
        <f t="shared" si="12"/>
        <v>60+</v>
      </c>
      <c r="O311" s="12">
        <f t="shared" si="13"/>
        <v>62.300000000000004</v>
      </c>
      <c r="P311" s="12">
        <f t="shared" si="14"/>
        <v>18.690000000000001</v>
      </c>
      <c r="X311" s="14" t="s">
        <v>701</v>
      </c>
      <c r="Y311" s="19">
        <v>301.5</v>
      </c>
    </row>
    <row r="312" spans="1:25" x14ac:dyDescent="0.3">
      <c r="A312">
        <v>24744</v>
      </c>
      <c r="B312" s="1">
        <v>45481</v>
      </c>
      <c r="C312">
        <v>818</v>
      </c>
      <c r="D312">
        <v>10</v>
      </c>
      <c r="E312" t="s">
        <v>13</v>
      </c>
      <c r="F312" t="s">
        <v>14</v>
      </c>
      <c r="G312">
        <v>5</v>
      </c>
      <c r="H312">
        <v>200.44</v>
      </c>
      <c r="I312" t="s">
        <v>26</v>
      </c>
      <c r="J312" t="s">
        <v>913</v>
      </c>
      <c r="K312">
        <v>5</v>
      </c>
      <c r="M312">
        <v>34</v>
      </c>
      <c r="N312" s="18" t="str">
        <f t="shared" si="12"/>
        <v>31-45</v>
      </c>
      <c r="O312" s="12">
        <f t="shared" si="13"/>
        <v>1002.2</v>
      </c>
      <c r="P312" s="12">
        <f t="shared" si="14"/>
        <v>300.66000000000003</v>
      </c>
      <c r="X312" s="14" t="s">
        <v>720</v>
      </c>
      <c r="Y312" s="19">
        <v>699.08</v>
      </c>
    </row>
    <row r="313" spans="1:25" x14ac:dyDescent="0.3">
      <c r="A313">
        <v>30197</v>
      </c>
      <c r="B313" s="1">
        <v>45482</v>
      </c>
      <c r="C313">
        <v>386</v>
      </c>
      <c r="D313">
        <v>40</v>
      </c>
      <c r="E313" t="s">
        <v>24</v>
      </c>
      <c r="F313" t="s">
        <v>44</v>
      </c>
      <c r="G313">
        <v>1</v>
      </c>
      <c r="H313">
        <v>305.82</v>
      </c>
      <c r="I313" t="s">
        <v>15</v>
      </c>
      <c r="J313" t="s">
        <v>183</v>
      </c>
      <c r="M313">
        <v>39</v>
      </c>
      <c r="N313" s="18" t="str">
        <f t="shared" si="12"/>
        <v>31-45</v>
      </c>
      <c r="O313" s="12">
        <f t="shared" si="13"/>
        <v>305.82</v>
      </c>
      <c r="P313" s="12">
        <f t="shared" si="14"/>
        <v>91.745999999999995</v>
      </c>
      <c r="X313" s="14" t="s">
        <v>777</v>
      </c>
      <c r="Y313" s="19">
        <v>299.39</v>
      </c>
    </row>
    <row r="314" spans="1:25" x14ac:dyDescent="0.3">
      <c r="A314">
        <v>98794</v>
      </c>
      <c r="B314" s="1">
        <v>45482</v>
      </c>
      <c r="C314">
        <v>993</v>
      </c>
      <c r="D314">
        <v>50</v>
      </c>
      <c r="E314" t="s">
        <v>18</v>
      </c>
      <c r="F314" t="s">
        <v>19</v>
      </c>
      <c r="G314">
        <v>2</v>
      </c>
      <c r="H314">
        <v>32.200000000000003</v>
      </c>
      <c r="I314" t="s">
        <v>15</v>
      </c>
      <c r="J314" t="s">
        <v>367</v>
      </c>
      <c r="K314">
        <v>5</v>
      </c>
      <c r="L314" t="s">
        <v>17</v>
      </c>
      <c r="M314">
        <v>57</v>
      </c>
      <c r="N314" s="18" t="str">
        <f t="shared" si="12"/>
        <v>46-60</v>
      </c>
      <c r="O314" s="12">
        <f t="shared" si="13"/>
        <v>64.400000000000006</v>
      </c>
      <c r="P314" s="12">
        <f t="shared" si="14"/>
        <v>19.32</v>
      </c>
      <c r="X314" s="14" t="s">
        <v>238</v>
      </c>
      <c r="Y314" s="19">
        <v>980.55</v>
      </c>
    </row>
    <row r="315" spans="1:25" x14ac:dyDescent="0.3">
      <c r="A315">
        <v>20853</v>
      </c>
      <c r="B315" s="1">
        <v>45483</v>
      </c>
      <c r="C315">
        <v>499</v>
      </c>
      <c r="D315">
        <v>30</v>
      </c>
      <c r="E315" t="s">
        <v>37</v>
      </c>
      <c r="F315" t="s">
        <v>58</v>
      </c>
      <c r="G315">
        <v>3</v>
      </c>
      <c r="H315">
        <v>227.39</v>
      </c>
      <c r="I315" t="s">
        <v>15</v>
      </c>
      <c r="J315" t="s">
        <v>986</v>
      </c>
      <c r="M315">
        <v>39</v>
      </c>
      <c r="N315" s="18" t="str">
        <f t="shared" si="12"/>
        <v>31-45</v>
      </c>
      <c r="O315" s="12">
        <f t="shared" si="13"/>
        <v>682.17</v>
      </c>
      <c r="P315" s="12">
        <f t="shared" si="14"/>
        <v>204.65099999999998</v>
      </c>
      <c r="X315" s="14" t="s">
        <v>757</v>
      </c>
      <c r="Y315" s="19">
        <v>482.66</v>
      </c>
    </row>
    <row r="316" spans="1:25" x14ac:dyDescent="0.3">
      <c r="A316">
        <v>93130</v>
      </c>
      <c r="B316" s="1">
        <v>45484</v>
      </c>
      <c r="C316">
        <v>233</v>
      </c>
      <c r="D316">
        <v>40</v>
      </c>
      <c r="E316" t="s">
        <v>24</v>
      </c>
      <c r="F316" t="s">
        <v>65</v>
      </c>
      <c r="G316">
        <v>2</v>
      </c>
      <c r="H316">
        <v>354.85</v>
      </c>
      <c r="I316" t="s">
        <v>15</v>
      </c>
      <c r="J316" t="s">
        <v>407</v>
      </c>
      <c r="K316">
        <v>5</v>
      </c>
      <c r="L316" t="s">
        <v>21</v>
      </c>
      <c r="M316">
        <v>38</v>
      </c>
      <c r="N316" s="18" t="str">
        <f t="shared" si="12"/>
        <v>31-45</v>
      </c>
      <c r="O316" s="12">
        <f t="shared" si="13"/>
        <v>709.7</v>
      </c>
      <c r="P316" s="12">
        <f t="shared" si="14"/>
        <v>212.91</v>
      </c>
      <c r="X316" s="14" t="s">
        <v>370</v>
      </c>
      <c r="Y316" s="19">
        <v>415.86</v>
      </c>
    </row>
    <row r="317" spans="1:25" x14ac:dyDescent="0.3">
      <c r="A317">
        <v>53754</v>
      </c>
      <c r="B317" s="1">
        <v>45484</v>
      </c>
      <c r="C317">
        <v>190</v>
      </c>
      <c r="D317">
        <v>50</v>
      </c>
      <c r="E317" t="s">
        <v>18</v>
      </c>
      <c r="F317" t="s">
        <v>22</v>
      </c>
      <c r="G317">
        <v>1</v>
      </c>
      <c r="H317">
        <v>92.5</v>
      </c>
      <c r="I317" t="s">
        <v>35</v>
      </c>
      <c r="J317" t="s">
        <v>515</v>
      </c>
      <c r="K317">
        <v>2</v>
      </c>
      <c r="L317" t="s">
        <v>17</v>
      </c>
      <c r="M317">
        <v>73</v>
      </c>
      <c r="N317" s="18" t="str">
        <f t="shared" si="12"/>
        <v>60+</v>
      </c>
      <c r="O317" s="12">
        <f t="shared" si="13"/>
        <v>92.5</v>
      </c>
      <c r="P317" s="12">
        <f t="shared" si="14"/>
        <v>27.75</v>
      </c>
      <c r="X317" s="14" t="s">
        <v>529</v>
      </c>
      <c r="Y317" s="19">
        <v>215.08</v>
      </c>
    </row>
    <row r="318" spans="1:25" x14ac:dyDescent="0.3">
      <c r="A318">
        <v>92276</v>
      </c>
      <c r="B318" s="1">
        <v>45484</v>
      </c>
      <c r="C318">
        <v>555</v>
      </c>
      <c r="D318">
        <v>50</v>
      </c>
      <c r="E318" t="s">
        <v>18</v>
      </c>
      <c r="F318" t="s">
        <v>22</v>
      </c>
      <c r="G318">
        <v>4</v>
      </c>
      <c r="H318">
        <v>311.86</v>
      </c>
      <c r="I318" t="s">
        <v>26</v>
      </c>
      <c r="J318" t="s">
        <v>542</v>
      </c>
      <c r="L318" t="s">
        <v>21</v>
      </c>
      <c r="M318">
        <v>63</v>
      </c>
      <c r="N318" s="18" t="str">
        <f t="shared" si="12"/>
        <v>60+</v>
      </c>
      <c r="O318" s="12">
        <f t="shared" si="13"/>
        <v>1247.44</v>
      </c>
      <c r="P318" s="12">
        <f t="shared" si="14"/>
        <v>374.23200000000003</v>
      </c>
      <c r="X318" s="14" t="s">
        <v>621</v>
      </c>
      <c r="Y318" s="19">
        <v>730.11</v>
      </c>
    </row>
    <row r="319" spans="1:25" x14ac:dyDescent="0.3">
      <c r="A319">
        <v>78620</v>
      </c>
      <c r="B319" s="1">
        <v>45484</v>
      </c>
      <c r="C319">
        <v>909</v>
      </c>
      <c r="D319">
        <v>10</v>
      </c>
      <c r="E319" t="s">
        <v>13</v>
      </c>
      <c r="F319" t="s">
        <v>14</v>
      </c>
      <c r="G319">
        <v>1</v>
      </c>
      <c r="H319">
        <v>89.38</v>
      </c>
      <c r="I319" t="s">
        <v>15</v>
      </c>
      <c r="J319" t="s">
        <v>830</v>
      </c>
      <c r="K319">
        <v>3</v>
      </c>
      <c r="L319" t="s">
        <v>17</v>
      </c>
      <c r="M319">
        <v>47</v>
      </c>
      <c r="N319" s="18" t="str">
        <f t="shared" si="12"/>
        <v>46-60</v>
      </c>
      <c r="O319" s="12">
        <f t="shared" si="13"/>
        <v>89.38</v>
      </c>
      <c r="P319" s="12">
        <f t="shared" si="14"/>
        <v>26.813999999999997</v>
      </c>
      <c r="X319" s="14" t="s">
        <v>527</v>
      </c>
      <c r="Y319" s="19">
        <v>660.96</v>
      </c>
    </row>
    <row r="320" spans="1:25" x14ac:dyDescent="0.3">
      <c r="A320">
        <v>41014</v>
      </c>
      <c r="B320" s="1">
        <v>45484</v>
      </c>
      <c r="C320">
        <v>569</v>
      </c>
      <c r="D320">
        <v>40</v>
      </c>
      <c r="E320" t="s">
        <v>24</v>
      </c>
      <c r="F320" t="s">
        <v>49</v>
      </c>
      <c r="G320">
        <v>1</v>
      </c>
      <c r="H320">
        <v>390.35</v>
      </c>
      <c r="I320" t="s">
        <v>35</v>
      </c>
      <c r="J320" t="s">
        <v>934</v>
      </c>
      <c r="K320">
        <v>5</v>
      </c>
      <c r="L320" t="s">
        <v>21</v>
      </c>
      <c r="M320">
        <v>34</v>
      </c>
      <c r="N320" s="18" t="str">
        <f t="shared" si="12"/>
        <v>31-45</v>
      </c>
      <c r="O320" s="12">
        <f t="shared" si="13"/>
        <v>390.35</v>
      </c>
      <c r="P320" s="12">
        <f t="shared" si="14"/>
        <v>117.105</v>
      </c>
      <c r="X320" s="14" t="s">
        <v>600</v>
      </c>
      <c r="Y320" s="19">
        <v>129.35</v>
      </c>
    </row>
    <row r="321" spans="1:25" x14ac:dyDescent="0.3">
      <c r="A321">
        <v>37821</v>
      </c>
      <c r="B321" s="1">
        <v>45485</v>
      </c>
      <c r="C321">
        <v>855</v>
      </c>
      <c r="D321">
        <v>50</v>
      </c>
      <c r="E321" t="s">
        <v>18</v>
      </c>
      <c r="F321" t="s">
        <v>34</v>
      </c>
      <c r="G321">
        <v>2</v>
      </c>
      <c r="H321">
        <v>341.18</v>
      </c>
      <c r="I321" t="s">
        <v>35</v>
      </c>
      <c r="J321" t="s">
        <v>379</v>
      </c>
      <c r="K321">
        <v>5</v>
      </c>
      <c r="L321" t="s">
        <v>17</v>
      </c>
      <c r="M321">
        <v>37</v>
      </c>
      <c r="N321" s="18" t="str">
        <f t="shared" si="12"/>
        <v>31-45</v>
      </c>
      <c r="O321" s="12">
        <f t="shared" si="13"/>
        <v>682.36</v>
      </c>
      <c r="P321" s="12">
        <f t="shared" si="14"/>
        <v>204.708</v>
      </c>
      <c r="X321" s="14" t="s">
        <v>732</v>
      </c>
      <c r="Y321" s="19">
        <v>1359.6</v>
      </c>
    </row>
    <row r="322" spans="1:25" x14ac:dyDescent="0.3">
      <c r="A322">
        <v>83914</v>
      </c>
      <c r="B322" s="1">
        <v>45485</v>
      </c>
      <c r="C322">
        <v>738</v>
      </c>
      <c r="D322">
        <v>40</v>
      </c>
      <c r="E322" t="s">
        <v>24</v>
      </c>
      <c r="F322" t="s">
        <v>65</v>
      </c>
      <c r="G322">
        <v>2</v>
      </c>
      <c r="H322">
        <v>59.51</v>
      </c>
      <c r="I322" t="s">
        <v>26</v>
      </c>
      <c r="J322" t="s">
        <v>596</v>
      </c>
      <c r="K322">
        <v>3</v>
      </c>
      <c r="M322">
        <v>25</v>
      </c>
      <c r="N322" s="18" t="str">
        <f t="shared" si="12"/>
        <v>18-30</v>
      </c>
      <c r="O322" s="12">
        <f t="shared" si="13"/>
        <v>119.02</v>
      </c>
      <c r="P322" s="12">
        <f t="shared" si="14"/>
        <v>35.705999999999996</v>
      </c>
      <c r="X322" s="14" t="s">
        <v>849</v>
      </c>
      <c r="Y322" s="19">
        <v>298.14</v>
      </c>
    </row>
    <row r="323" spans="1:25" x14ac:dyDescent="0.3">
      <c r="A323">
        <v>51714</v>
      </c>
      <c r="B323" s="1">
        <v>45485</v>
      </c>
      <c r="C323">
        <v>479</v>
      </c>
      <c r="D323">
        <v>40</v>
      </c>
      <c r="E323" t="s">
        <v>24</v>
      </c>
      <c r="F323" t="s">
        <v>25</v>
      </c>
      <c r="G323">
        <v>3</v>
      </c>
      <c r="H323">
        <v>453.2</v>
      </c>
      <c r="I323" t="s">
        <v>35</v>
      </c>
      <c r="J323" t="s">
        <v>732</v>
      </c>
      <c r="K323">
        <v>5</v>
      </c>
      <c r="L323" t="s">
        <v>21</v>
      </c>
      <c r="M323">
        <v>27</v>
      </c>
      <c r="N323" s="18" t="str">
        <f t="shared" ref="N323:N386" si="15">IF(M323&lt;=30,"18-30",IF(M323&lt;=45,"31-45",IF(M323&lt;=60,"46-60","60+")))</f>
        <v>18-30</v>
      </c>
      <c r="O323" s="12">
        <f t="shared" ref="O323:O386" si="16">H323*G323</f>
        <v>1359.6</v>
      </c>
      <c r="P323" s="12">
        <f t="shared" ref="P323:P386" si="17">O323*0.3</f>
        <v>407.87999999999994</v>
      </c>
      <c r="X323" s="14" t="s">
        <v>175</v>
      </c>
      <c r="Y323" s="19">
        <v>1422.96</v>
      </c>
    </row>
    <row r="324" spans="1:25" x14ac:dyDescent="0.3">
      <c r="A324">
        <v>44902</v>
      </c>
      <c r="B324" s="1">
        <v>45485</v>
      </c>
      <c r="C324">
        <v>801</v>
      </c>
      <c r="D324">
        <v>40</v>
      </c>
      <c r="E324" t="s">
        <v>24</v>
      </c>
      <c r="F324" t="s">
        <v>25</v>
      </c>
      <c r="G324">
        <v>4</v>
      </c>
      <c r="H324">
        <v>474.25</v>
      </c>
      <c r="I324" t="s">
        <v>15</v>
      </c>
      <c r="J324" t="s">
        <v>992</v>
      </c>
      <c r="K324">
        <v>5</v>
      </c>
      <c r="L324" t="s">
        <v>17</v>
      </c>
      <c r="M324">
        <v>34</v>
      </c>
      <c r="N324" s="18" t="str">
        <f t="shared" si="15"/>
        <v>31-45</v>
      </c>
      <c r="O324" s="12">
        <f t="shared" si="16"/>
        <v>1897</v>
      </c>
      <c r="P324" s="12">
        <f t="shared" si="17"/>
        <v>569.1</v>
      </c>
      <c r="X324" s="14" t="s">
        <v>185</v>
      </c>
      <c r="Y324" s="19">
        <v>1057.1600000000001</v>
      </c>
    </row>
    <row r="325" spans="1:25" x14ac:dyDescent="0.3">
      <c r="A325">
        <v>95354</v>
      </c>
      <c r="B325" s="1">
        <v>45486</v>
      </c>
      <c r="C325">
        <v>394</v>
      </c>
      <c r="D325">
        <v>50</v>
      </c>
      <c r="E325" t="s">
        <v>18</v>
      </c>
      <c r="F325" t="s">
        <v>84</v>
      </c>
      <c r="G325">
        <v>2</v>
      </c>
      <c r="H325">
        <v>343.76</v>
      </c>
      <c r="I325" t="s">
        <v>35</v>
      </c>
      <c r="J325" t="s">
        <v>279</v>
      </c>
      <c r="K325">
        <v>5</v>
      </c>
      <c r="M325">
        <v>30</v>
      </c>
      <c r="N325" s="18" t="str">
        <f t="shared" si="15"/>
        <v>18-30</v>
      </c>
      <c r="O325" s="12">
        <f t="shared" si="16"/>
        <v>687.52</v>
      </c>
      <c r="P325" s="12">
        <f t="shared" si="17"/>
        <v>206.256</v>
      </c>
      <c r="X325" s="14" t="s">
        <v>325</v>
      </c>
      <c r="Y325" s="19">
        <v>805.12</v>
      </c>
    </row>
    <row r="326" spans="1:25" x14ac:dyDescent="0.3">
      <c r="A326">
        <v>56955</v>
      </c>
      <c r="B326" s="1">
        <v>45487</v>
      </c>
      <c r="C326">
        <v>922</v>
      </c>
      <c r="D326">
        <v>20</v>
      </c>
      <c r="E326" t="s">
        <v>28</v>
      </c>
      <c r="F326" t="s">
        <v>79</v>
      </c>
      <c r="G326">
        <v>1</v>
      </c>
      <c r="H326">
        <v>183.3</v>
      </c>
      <c r="I326" t="s">
        <v>35</v>
      </c>
      <c r="J326" t="s">
        <v>105</v>
      </c>
      <c r="K326">
        <v>5</v>
      </c>
      <c r="L326" t="s">
        <v>21</v>
      </c>
      <c r="M326">
        <v>24</v>
      </c>
      <c r="N326" s="18" t="str">
        <f t="shared" si="15"/>
        <v>18-30</v>
      </c>
      <c r="O326" s="12">
        <f t="shared" si="16"/>
        <v>183.3</v>
      </c>
      <c r="P326" s="12">
        <f t="shared" si="17"/>
        <v>54.99</v>
      </c>
      <c r="X326" s="14" t="s">
        <v>187</v>
      </c>
      <c r="Y326" s="19">
        <v>501.96</v>
      </c>
    </row>
    <row r="327" spans="1:25" x14ac:dyDescent="0.3">
      <c r="A327">
        <v>38806</v>
      </c>
      <c r="B327" s="1">
        <v>45487</v>
      </c>
      <c r="C327">
        <v>665</v>
      </c>
      <c r="D327">
        <v>30</v>
      </c>
      <c r="E327" t="s">
        <v>37</v>
      </c>
      <c r="F327" t="s">
        <v>95</v>
      </c>
      <c r="G327">
        <v>3</v>
      </c>
      <c r="H327">
        <v>149.85</v>
      </c>
      <c r="I327" t="s">
        <v>15</v>
      </c>
      <c r="J327" t="s">
        <v>390</v>
      </c>
      <c r="K327">
        <v>5</v>
      </c>
      <c r="L327" t="s">
        <v>21</v>
      </c>
      <c r="M327">
        <v>62</v>
      </c>
      <c r="N327" s="18" t="str">
        <f t="shared" si="15"/>
        <v>60+</v>
      </c>
      <c r="O327" s="12">
        <f t="shared" si="16"/>
        <v>449.54999999999995</v>
      </c>
      <c r="P327" s="12">
        <f t="shared" si="17"/>
        <v>134.86499999999998</v>
      </c>
      <c r="X327" s="14" t="s">
        <v>491</v>
      </c>
      <c r="Y327" s="19">
        <v>1627.96</v>
      </c>
    </row>
    <row r="328" spans="1:25" x14ac:dyDescent="0.3">
      <c r="A328">
        <v>89114</v>
      </c>
      <c r="B328" s="1">
        <v>45487</v>
      </c>
      <c r="C328">
        <v>397</v>
      </c>
      <c r="D328">
        <v>30</v>
      </c>
      <c r="E328" t="s">
        <v>37</v>
      </c>
      <c r="F328" t="s">
        <v>95</v>
      </c>
      <c r="G328">
        <v>3</v>
      </c>
      <c r="H328">
        <v>251.63</v>
      </c>
      <c r="I328" t="s">
        <v>15</v>
      </c>
      <c r="J328" t="s">
        <v>470</v>
      </c>
      <c r="L328" t="s">
        <v>21</v>
      </c>
      <c r="M328">
        <v>40</v>
      </c>
      <c r="N328" s="18" t="str">
        <f t="shared" si="15"/>
        <v>31-45</v>
      </c>
      <c r="O328" s="12">
        <f t="shared" si="16"/>
        <v>754.89</v>
      </c>
      <c r="P328" s="12">
        <f t="shared" si="17"/>
        <v>226.46699999999998</v>
      </c>
      <c r="X328" s="14" t="s">
        <v>280</v>
      </c>
      <c r="Y328" s="19">
        <v>167.94</v>
      </c>
    </row>
    <row r="329" spans="1:25" x14ac:dyDescent="0.3">
      <c r="A329">
        <v>77848</v>
      </c>
      <c r="B329" s="1">
        <v>45487</v>
      </c>
      <c r="C329">
        <v>713</v>
      </c>
      <c r="D329">
        <v>20</v>
      </c>
      <c r="E329" t="s">
        <v>28</v>
      </c>
      <c r="F329" t="s">
        <v>29</v>
      </c>
      <c r="G329">
        <v>4</v>
      </c>
      <c r="H329">
        <v>88.02</v>
      </c>
      <c r="I329" t="s">
        <v>35</v>
      </c>
      <c r="J329" t="s">
        <v>759</v>
      </c>
      <c r="K329">
        <v>5</v>
      </c>
      <c r="L329" t="s">
        <v>17</v>
      </c>
      <c r="M329">
        <v>39</v>
      </c>
      <c r="N329" s="18" t="str">
        <f t="shared" si="15"/>
        <v>31-45</v>
      </c>
      <c r="O329" s="12">
        <f t="shared" si="16"/>
        <v>352.08</v>
      </c>
      <c r="P329" s="12">
        <f t="shared" si="17"/>
        <v>105.624</v>
      </c>
      <c r="X329" s="14" t="s">
        <v>920</v>
      </c>
      <c r="Y329" s="19">
        <v>1838.25</v>
      </c>
    </row>
    <row r="330" spans="1:25" x14ac:dyDescent="0.3">
      <c r="A330">
        <v>49262</v>
      </c>
      <c r="B330" s="1">
        <v>45487</v>
      </c>
      <c r="C330">
        <v>910</v>
      </c>
      <c r="D330">
        <v>20</v>
      </c>
      <c r="E330" t="s">
        <v>28</v>
      </c>
      <c r="F330" t="s">
        <v>77</v>
      </c>
      <c r="G330">
        <v>3</v>
      </c>
      <c r="H330">
        <v>25.79</v>
      </c>
      <c r="I330" t="s">
        <v>15</v>
      </c>
      <c r="J330" t="s">
        <v>932</v>
      </c>
      <c r="K330">
        <v>5</v>
      </c>
      <c r="M330">
        <v>22</v>
      </c>
      <c r="N330" s="18" t="str">
        <f t="shared" si="15"/>
        <v>18-30</v>
      </c>
      <c r="O330" s="12">
        <f t="shared" si="16"/>
        <v>77.37</v>
      </c>
      <c r="P330" s="12">
        <f t="shared" si="17"/>
        <v>23.211000000000002</v>
      </c>
      <c r="X330" s="14" t="s">
        <v>353</v>
      </c>
      <c r="Y330" s="19">
        <v>232.24</v>
      </c>
    </row>
    <row r="331" spans="1:25" x14ac:dyDescent="0.3">
      <c r="A331">
        <v>27282</v>
      </c>
      <c r="B331" s="1">
        <v>45488</v>
      </c>
      <c r="C331">
        <v>405</v>
      </c>
      <c r="D331">
        <v>50</v>
      </c>
      <c r="E331" t="s">
        <v>18</v>
      </c>
      <c r="F331" t="s">
        <v>34</v>
      </c>
      <c r="G331">
        <v>2</v>
      </c>
      <c r="H331">
        <v>292.89999999999998</v>
      </c>
      <c r="I331" t="s">
        <v>35</v>
      </c>
      <c r="J331" t="s">
        <v>36</v>
      </c>
      <c r="L331" t="s">
        <v>17</v>
      </c>
      <c r="M331">
        <v>60</v>
      </c>
      <c r="N331" s="18" t="str">
        <f t="shared" si="15"/>
        <v>46-60</v>
      </c>
      <c r="O331" s="12">
        <f t="shared" si="16"/>
        <v>585.79999999999995</v>
      </c>
      <c r="P331" s="12">
        <f t="shared" si="17"/>
        <v>175.73999999999998</v>
      </c>
      <c r="X331" s="14" t="s">
        <v>683</v>
      </c>
      <c r="Y331" s="19">
        <v>1302.92</v>
      </c>
    </row>
    <row r="332" spans="1:25" x14ac:dyDescent="0.3">
      <c r="A332">
        <v>85940</v>
      </c>
      <c r="B332" s="1">
        <v>45488</v>
      </c>
      <c r="C332">
        <v>722</v>
      </c>
      <c r="D332">
        <v>40</v>
      </c>
      <c r="E332" t="s">
        <v>24</v>
      </c>
      <c r="F332" t="s">
        <v>49</v>
      </c>
      <c r="G332">
        <v>1</v>
      </c>
      <c r="H332">
        <v>247.97</v>
      </c>
      <c r="I332" t="s">
        <v>26</v>
      </c>
      <c r="J332" t="s">
        <v>264</v>
      </c>
      <c r="K332">
        <v>4</v>
      </c>
      <c r="L332" t="s">
        <v>21</v>
      </c>
      <c r="M332">
        <v>37</v>
      </c>
      <c r="N332" s="18" t="str">
        <f t="shared" si="15"/>
        <v>31-45</v>
      </c>
      <c r="O332" s="12">
        <f t="shared" si="16"/>
        <v>247.97</v>
      </c>
      <c r="P332" s="12">
        <f t="shared" si="17"/>
        <v>74.390999999999991</v>
      </c>
      <c r="X332" s="14" t="s">
        <v>318</v>
      </c>
      <c r="Y332" s="19">
        <v>1851.2</v>
      </c>
    </row>
    <row r="333" spans="1:25" x14ac:dyDescent="0.3">
      <c r="A333">
        <v>22739</v>
      </c>
      <c r="B333" s="1">
        <v>45488</v>
      </c>
      <c r="C333">
        <v>196</v>
      </c>
      <c r="D333">
        <v>30</v>
      </c>
      <c r="E333" t="s">
        <v>37</v>
      </c>
      <c r="F333" t="s">
        <v>58</v>
      </c>
      <c r="G333">
        <v>5</v>
      </c>
      <c r="H333">
        <v>217.55</v>
      </c>
      <c r="I333" t="s">
        <v>26</v>
      </c>
      <c r="J333" t="s">
        <v>787</v>
      </c>
      <c r="K333">
        <v>5</v>
      </c>
      <c r="M333">
        <v>24</v>
      </c>
      <c r="N333" s="18" t="str">
        <f t="shared" si="15"/>
        <v>18-30</v>
      </c>
      <c r="O333" s="12">
        <f t="shared" si="16"/>
        <v>1087.75</v>
      </c>
      <c r="P333" s="12">
        <f t="shared" si="17"/>
        <v>326.32499999999999</v>
      </c>
      <c r="X333" s="14" t="s">
        <v>928</v>
      </c>
      <c r="Y333" s="19">
        <v>148.91999999999999</v>
      </c>
    </row>
    <row r="334" spans="1:25" x14ac:dyDescent="0.3">
      <c r="A334">
        <v>32637</v>
      </c>
      <c r="B334" s="1">
        <v>45488</v>
      </c>
      <c r="C334">
        <v>175</v>
      </c>
      <c r="D334">
        <v>20</v>
      </c>
      <c r="E334" t="s">
        <v>28</v>
      </c>
      <c r="F334" t="s">
        <v>51</v>
      </c>
      <c r="G334">
        <v>3</v>
      </c>
      <c r="H334">
        <v>101.45</v>
      </c>
      <c r="I334" t="s">
        <v>26</v>
      </c>
      <c r="J334" t="s">
        <v>869</v>
      </c>
      <c r="K334">
        <v>3</v>
      </c>
      <c r="L334" t="s">
        <v>17</v>
      </c>
      <c r="M334">
        <v>33</v>
      </c>
      <c r="N334" s="18" t="str">
        <f t="shared" si="15"/>
        <v>31-45</v>
      </c>
      <c r="O334" s="12">
        <f t="shared" si="16"/>
        <v>304.35000000000002</v>
      </c>
      <c r="P334" s="12">
        <f t="shared" si="17"/>
        <v>91.305000000000007</v>
      </c>
      <c r="X334" s="14" t="s">
        <v>598</v>
      </c>
      <c r="Y334" s="19">
        <v>119.39</v>
      </c>
    </row>
    <row r="335" spans="1:25" x14ac:dyDescent="0.3">
      <c r="A335">
        <v>90219</v>
      </c>
      <c r="B335" s="1">
        <v>45488</v>
      </c>
      <c r="C335">
        <v>430</v>
      </c>
      <c r="D335">
        <v>40</v>
      </c>
      <c r="E335" t="s">
        <v>24</v>
      </c>
      <c r="F335" t="s">
        <v>65</v>
      </c>
      <c r="G335">
        <v>1</v>
      </c>
      <c r="H335">
        <v>405.65</v>
      </c>
      <c r="I335" t="s">
        <v>35</v>
      </c>
      <c r="J335" t="s">
        <v>949</v>
      </c>
      <c r="K335">
        <v>5</v>
      </c>
      <c r="L335" t="s">
        <v>21</v>
      </c>
      <c r="M335">
        <v>58</v>
      </c>
      <c r="N335" s="18" t="str">
        <f t="shared" si="15"/>
        <v>46-60</v>
      </c>
      <c r="O335" s="12">
        <f t="shared" si="16"/>
        <v>405.65</v>
      </c>
      <c r="P335" s="12">
        <f t="shared" si="17"/>
        <v>121.69499999999999</v>
      </c>
      <c r="X335" s="14" t="s">
        <v>788</v>
      </c>
      <c r="Y335" s="19">
        <v>424.96</v>
      </c>
    </row>
    <row r="336" spans="1:25" x14ac:dyDescent="0.3">
      <c r="A336">
        <v>79723</v>
      </c>
      <c r="B336" s="1">
        <v>45489</v>
      </c>
      <c r="C336">
        <v>568</v>
      </c>
      <c r="D336">
        <v>10</v>
      </c>
      <c r="E336" t="s">
        <v>13</v>
      </c>
      <c r="F336" t="s">
        <v>42</v>
      </c>
      <c r="G336">
        <v>1</v>
      </c>
      <c r="H336">
        <v>393.9</v>
      </c>
      <c r="I336" t="s">
        <v>26</v>
      </c>
      <c r="J336" t="s">
        <v>863</v>
      </c>
      <c r="K336">
        <v>5</v>
      </c>
      <c r="L336" t="s">
        <v>21</v>
      </c>
      <c r="M336">
        <v>44</v>
      </c>
      <c r="N336" s="18" t="str">
        <f t="shared" si="15"/>
        <v>31-45</v>
      </c>
      <c r="O336" s="12">
        <f t="shared" si="16"/>
        <v>393.9</v>
      </c>
      <c r="P336" s="12">
        <f t="shared" si="17"/>
        <v>118.16999999999999</v>
      </c>
      <c r="X336" s="14" t="s">
        <v>334</v>
      </c>
      <c r="Y336" s="19">
        <v>1441.9499999999998</v>
      </c>
    </row>
    <row r="337" spans="1:25" x14ac:dyDescent="0.3">
      <c r="A337">
        <v>21109</v>
      </c>
      <c r="B337" s="1">
        <v>45490</v>
      </c>
      <c r="C337">
        <v>719</v>
      </c>
      <c r="D337">
        <v>50</v>
      </c>
      <c r="E337" t="s">
        <v>18</v>
      </c>
      <c r="F337" t="s">
        <v>34</v>
      </c>
      <c r="G337">
        <v>3</v>
      </c>
      <c r="H337">
        <v>39.67</v>
      </c>
      <c r="I337" t="s">
        <v>26</v>
      </c>
      <c r="J337" t="s">
        <v>235</v>
      </c>
      <c r="L337" t="s">
        <v>21</v>
      </c>
      <c r="M337">
        <v>37</v>
      </c>
      <c r="N337" s="18" t="str">
        <f t="shared" si="15"/>
        <v>31-45</v>
      </c>
      <c r="O337" s="12">
        <f t="shared" si="16"/>
        <v>119.01</v>
      </c>
      <c r="P337" s="12">
        <f t="shared" si="17"/>
        <v>35.703000000000003</v>
      </c>
      <c r="X337" s="14" t="s">
        <v>608</v>
      </c>
      <c r="Y337" s="19">
        <v>354.98</v>
      </c>
    </row>
    <row r="338" spans="1:25" x14ac:dyDescent="0.3">
      <c r="A338">
        <v>89639</v>
      </c>
      <c r="B338" s="1">
        <v>45490</v>
      </c>
      <c r="C338">
        <v>124</v>
      </c>
      <c r="D338">
        <v>10</v>
      </c>
      <c r="E338" t="s">
        <v>13</v>
      </c>
      <c r="F338" t="s">
        <v>32</v>
      </c>
      <c r="G338">
        <v>4</v>
      </c>
      <c r="H338">
        <v>36.1</v>
      </c>
      <c r="I338" t="s">
        <v>35</v>
      </c>
      <c r="J338" t="s">
        <v>306</v>
      </c>
      <c r="K338">
        <v>3</v>
      </c>
      <c r="L338" t="s">
        <v>21</v>
      </c>
      <c r="M338">
        <v>25</v>
      </c>
      <c r="N338" s="18" t="str">
        <f t="shared" si="15"/>
        <v>18-30</v>
      </c>
      <c r="O338" s="12">
        <f t="shared" si="16"/>
        <v>144.4</v>
      </c>
      <c r="P338" s="12">
        <f t="shared" si="17"/>
        <v>43.32</v>
      </c>
      <c r="X338" s="14" t="s">
        <v>212</v>
      </c>
      <c r="Y338" s="19">
        <v>466.45000000000005</v>
      </c>
    </row>
    <row r="339" spans="1:25" x14ac:dyDescent="0.3">
      <c r="A339">
        <v>58295</v>
      </c>
      <c r="B339" s="1">
        <v>45490</v>
      </c>
      <c r="C339">
        <v>187</v>
      </c>
      <c r="D339">
        <v>20</v>
      </c>
      <c r="E339" t="s">
        <v>28</v>
      </c>
      <c r="F339" t="s">
        <v>79</v>
      </c>
      <c r="G339">
        <v>3</v>
      </c>
      <c r="H339">
        <v>248.91</v>
      </c>
      <c r="I339" t="s">
        <v>35</v>
      </c>
      <c r="J339" t="s">
        <v>662</v>
      </c>
      <c r="K339">
        <v>5</v>
      </c>
      <c r="L339" t="s">
        <v>21</v>
      </c>
      <c r="M339">
        <v>39</v>
      </c>
      <c r="N339" s="18" t="str">
        <f t="shared" si="15"/>
        <v>31-45</v>
      </c>
      <c r="O339" s="12">
        <f t="shared" si="16"/>
        <v>746.73</v>
      </c>
      <c r="P339" s="12">
        <f t="shared" si="17"/>
        <v>224.01900000000001</v>
      </c>
      <c r="X339" s="14" t="s">
        <v>71</v>
      </c>
      <c r="Y339" s="19">
        <v>86.06</v>
      </c>
    </row>
    <row r="340" spans="1:25" x14ac:dyDescent="0.3">
      <c r="A340">
        <v>14109</v>
      </c>
      <c r="B340" s="1">
        <v>45490</v>
      </c>
      <c r="C340">
        <v>149</v>
      </c>
      <c r="D340">
        <v>20</v>
      </c>
      <c r="E340" t="s">
        <v>28</v>
      </c>
      <c r="F340" t="s">
        <v>79</v>
      </c>
      <c r="G340">
        <v>5</v>
      </c>
      <c r="H340">
        <v>179.92</v>
      </c>
      <c r="I340" t="s">
        <v>26</v>
      </c>
      <c r="J340" t="s">
        <v>918</v>
      </c>
      <c r="K340">
        <v>3</v>
      </c>
      <c r="L340" t="s">
        <v>21</v>
      </c>
      <c r="M340">
        <v>48</v>
      </c>
      <c r="N340" s="18" t="str">
        <f t="shared" si="15"/>
        <v>46-60</v>
      </c>
      <c r="O340" s="12">
        <f t="shared" si="16"/>
        <v>899.59999999999991</v>
      </c>
      <c r="P340" s="12">
        <f t="shared" si="17"/>
        <v>269.87999999999994</v>
      </c>
      <c r="X340" s="14" t="s">
        <v>444</v>
      </c>
      <c r="Y340" s="19">
        <v>1263.42</v>
      </c>
    </row>
    <row r="341" spans="1:25" x14ac:dyDescent="0.3">
      <c r="A341">
        <v>47814</v>
      </c>
      <c r="B341" s="1">
        <v>45490</v>
      </c>
      <c r="C341">
        <v>557</v>
      </c>
      <c r="D341">
        <v>20</v>
      </c>
      <c r="E341" t="s">
        <v>28</v>
      </c>
      <c r="F341" t="s">
        <v>51</v>
      </c>
      <c r="G341">
        <v>1</v>
      </c>
      <c r="H341">
        <v>146.28</v>
      </c>
      <c r="I341" t="s">
        <v>35</v>
      </c>
      <c r="J341" t="s">
        <v>951</v>
      </c>
      <c r="K341">
        <v>4</v>
      </c>
      <c r="L341" t="s">
        <v>17</v>
      </c>
      <c r="M341">
        <v>39</v>
      </c>
      <c r="N341" s="18" t="str">
        <f t="shared" si="15"/>
        <v>31-45</v>
      </c>
      <c r="O341" s="12">
        <f t="shared" si="16"/>
        <v>146.28</v>
      </c>
      <c r="P341" s="12">
        <f t="shared" si="17"/>
        <v>43.884</v>
      </c>
      <c r="X341" s="14" t="s">
        <v>996</v>
      </c>
      <c r="Y341" s="19">
        <v>235.88</v>
      </c>
    </row>
    <row r="342" spans="1:25" x14ac:dyDescent="0.3">
      <c r="A342">
        <v>81289</v>
      </c>
      <c r="B342" s="1">
        <v>45491</v>
      </c>
      <c r="C342">
        <v>485</v>
      </c>
      <c r="D342">
        <v>40</v>
      </c>
      <c r="E342" t="s">
        <v>24</v>
      </c>
      <c r="F342" t="s">
        <v>63</v>
      </c>
      <c r="G342">
        <v>1</v>
      </c>
      <c r="H342">
        <v>489.21</v>
      </c>
      <c r="I342" t="s">
        <v>35</v>
      </c>
      <c r="J342" t="s">
        <v>64</v>
      </c>
      <c r="K342">
        <v>5</v>
      </c>
      <c r="L342" t="s">
        <v>21</v>
      </c>
      <c r="M342">
        <v>60</v>
      </c>
      <c r="N342" s="18" t="str">
        <f t="shared" si="15"/>
        <v>46-60</v>
      </c>
      <c r="O342" s="12">
        <f t="shared" si="16"/>
        <v>489.21</v>
      </c>
      <c r="P342" s="12">
        <f t="shared" si="17"/>
        <v>146.76299999999998</v>
      </c>
      <c r="X342" s="14" t="s">
        <v>666</v>
      </c>
      <c r="Y342" s="19">
        <v>1426.59</v>
      </c>
    </row>
    <row r="343" spans="1:25" x14ac:dyDescent="0.3">
      <c r="A343">
        <v>53928</v>
      </c>
      <c r="B343" s="1">
        <v>45491</v>
      </c>
      <c r="C343">
        <v>624</v>
      </c>
      <c r="D343">
        <v>10</v>
      </c>
      <c r="E343" t="s">
        <v>13</v>
      </c>
      <c r="F343" t="s">
        <v>47</v>
      </c>
      <c r="G343">
        <v>5</v>
      </c>
      <c r="H343">
        <v>257.73</v>
      </c>
      <c r="I343" t="s">
        <v>26</v>
      </c>
      <c r="J343" t="s">
        <v>697</v>
      </c>
      <c r="K343">
        <v>5</v>
      </c>
      <c r="L343" t="s">
        <v>17</v>
      </c>
      <c r="M343">
        <v>35</v>
      </c>
      <c r="N343" s="18" t="str">
        <f t="shared" si="15"/>
        <v>31-45</v>
      </c>
      <c r="O343" s="12">
        <f t="shared" si="16"/>
        <v>1288.6500000000001</v>
      </c>
      <c r="P343" s="12">
        <f t="shared" si="17"/>
        <v>386.59500000000003</v>
      </c>
      <c r="X343" s="14" t="s">
        <v>886</v>
      </c>
      <c r="Y343" s="19">
        <v>423.98</v>
      </c>
    </row>
    <row r="344" spans="1:25" x14ac:dyDescent="0.3">
      <c r="A344">
        <v>92507</v>
      </c>
      <c r="B344" s="1">
        <v>45492</v>
      </c>
      <c r="C344">
        <v>170</v>
      </c>
      <c r="D344">
        <v>20</v>
      </c>
      <c r="E344" t="s">
        <v>28</v>
      </c>
      <c r="F344" t="s">
        <v>29</v>
      </c>
      <c r="G344">
        <v>1</v>
      </c>
      <c r="H344">
        <v>394.75</v>
      </c>
      <c r="I344" t="s">
        <v>15</v>
      </c>
      <c r="J344" t="s">
        <v>664</v>
      </c>
      <c r="L344" t="s">
        <v>21</v>
      </c>
      <c r="M344">
        <v>48</v>
      </c>
      <c r="N344" s="18" t="str">
        <f t="shared" si="15"/>
        <v>46-60</v>
      </c>
      <c r="O344" s="12">
        <f t="shared" si="16"/>
        <v>394.75</v>
      </c>
      <c r="P344" s="12">
        <f t="shared" si="17"/>
        <v>118.425</v>
      </c>
      <c r="X344" s="14" t="s">
        <v>973</v>
      </c>
      <c r="Y344" s="19">
        <v>715.15</v>
      </c>
    </row>
    <row r="345" spans="1:25" x14ac:dyDescent="0.3">
      <c r="A345">
        <v>77451</v>
      </c>
      <c r="B345" s="1">
        <v>45493</v>
      </c>
      <c r="C345">
        <v>509</v>
      </c>
      <c r="D345">
        <v>20</v>
      </c>
      <c r="E345" t="s">
        <v>28</v>
      </c>
      <c r="F345" t="s">
        <v>72</v>
      </c>
      <c r="G345">
        <v>3</v>
      </c>
      <c r="H345">
        <v>55.58</v>
      </c>
      <c r="I345" t="s">
        <v>15</v>
      </c>
      <c r="J345" t="s">
        <v>563</v>
      </c>
      <c r="K345">
        <v>5</v>
      </c>
      <c r="L345" t="s">
        <v>17</v>
      </c>
      <c r="M345">
        <v>71</v>
      </c>
      <c r="N345" s="18" t="str">
        <f t="shared" si="15"/>
        <v>60+</v>
      </c>
      <c r="O345" s="12">
        <f t="shared" si="16"/>
        <v>166.74</v>
      </c>
      <c r="P345" s="12">
        <f t="shared" si="17"/>
        <v>50.021999999999998</v>
      </c>
      <c r="X345" s="14" t="s">
        <v>258</v>
      </c>
      <c r="Y345" s="19">
        <v>114.3</v>
      </c>
    </row>
    <row r="346" spans="1:25" x14ac:dyDescent="0.3">
      <c r="A346">
        <v>62981</v>
      </c>
      <c r="B346" s="1">
        <v>45493</v>
      </c>
      <c r="C346">
        <v>200</v>
      </c>
      <c r="D346">
        <v>30</v>
      </c>
      <c r="E346" t="s">
        <v>37</v>
      </c>
      <c r="F346" t="s">
        <v>95</v>
      </c>
      <c r="G346">
        <v>2</v>
      </c>
      <c r="H346">
        <v>422.99</v>
      </c>
      <c r="I346" t="s">
        <v>35</v>
      </c>
      <c r="J346" t="s">
        <v>633</v>
      </c>
      <c r="K346">
        <v>5</v>
      </c>
      <c r="M346">
        <v>67</v>
      </c>
      <c r="N346" s="18" t="str">
        <f t="shared" si="15"/>
        <v>60+</v>
      </c>
      <c r="O346" s="12">
        <f t="shared" si="16"/>
        <v>845.98</v>
      </c>
      <c r="P346" s="12">
        <f t="shared" si="17"/>
        <v>253.79399999999998</v>
      </c>
      <c r="X346" s="14" t="s">
        <v>322</v>
      </c>
      <c r="Y346" s="19">
        <v>670.6</v>
      </c>
    </row>
    <row r="347" spans="1:25" x14ac:dyDescent="0.3">
      <c r="A347">
        <v>41063</v>
      </c>
      <c r="B347" s="1">
        <v>45494</v>
      </c>
      <c r="C347">
        <v>890</v>
      </c>
      <c r="D347">
        <v>50</v>
      </c>
      <c r="E347" t="s">
        <v>18</v>
      </c>
      <c r="F347" t="s">
        <v>84</v>
      </c>
      <c r="G347">
        <v>5</v>
      </c>
      <c r="H347">
        <v>82.41</v>
      </c>
      <c r="I347" t="s">
        <v>35</v>
      </c>
      <c r="J347" t="s">
        <v>374</v>
      </c>
      <c r="K347">
        <v>1</v>
      </c>
      <c r="L347" t="s">
        <v>17</v>
      </c>
      <c r="M347">
        <v>27</v>
      </c>
      <c r="N347" s="18" t="str">
        <f t="shared" si="15"/>
        <v>18-30</v>
      </c>
      <c r="O347" s="12">
        <f t="shared" si="16"/>
        <v>412.04999999999995</v>
      </c>
      <c r="P347" s="12">
        <f t="shared" si="17"/>
        <v>123.61499999999998</v>
      </c>
      <c r="X347" s="14" t="s">
        <v>586</v>
      </c>
      <c r="Y347" s="19">
        <v>1347.1000000000001</v>
      </c>
    </row>
    <row r="348" spans="1:25" x14ac:dyDescent="0.3">
      <c r="A348">
        <v>37275</v>
      </c>
      <c r="B348" s="1">
        <v>45495</v>
      </c>
      <c r="C348">
        <v>765</v>
      </c>
      <c r="D348">
        <v>10</v>
      </c>
      <c r="E348" t="s">
        <v>13</v>
      </c>
      <c r="F348" t="s">
        <v>14</v>
      </c>
      <c r="G348">
        <v>1</v>
      </c>
      <c r="H348">
        <v>447.13</v>
      </c>
      <c r="I348" t="s">
        <v>35</v>
      </c>
      <c r="J348" t="s">
        <v>545</v>
      </c>
      <c r="K348">
        <v>5</v>
      </c>
      <c r="L348" t="s">
        <v>17</v>
      </c>
      <c r="M348">
        <v>57</v>
      </c>
      <c r="N348" s="18" t="str">
        <f t="shared" si="15"/>
        <v>46-60</v>
      </c>
      <c r="O348" s="12">
        <f t="shared" si="16"/>
        <v>447.13</v>
      </c>
      <c r="P348" s="12">
        <f t="shared" si="17"/>
        <v>134.13899999999998</v>
      </c>
      <c r="X348" s="14" t="s">
        <v>556</v>
      </c>
      <c r="Y348" s="19">
        <v>1432.5</v>
      </c>
    </row>
    <row r="349" spans="1:25" x14ac:dyDescent="0.3">
      <c r="A349">
        <v>11008</v>
      </c>
      <c r="B349" s="1">
        <v>45496</v>
      </c>
      <c r="C349">
        <v>981</v>
      </c>
      <c r="D349">
        <v>30</v>
      </c>
      <c r="E349" t="s">
        <v>37</v>
      </c>
      <c r="F349" t="s">
        <v>95</v>
      </c>
      <c r="G349">
        <v>2</v>
      </c>
      <c r="H349">
        <v>366.42</v>
      </c>
      <c r="I349" t="s">
        <v>35</v>
      </c>
      <c r="J349" t="s">
        <v>276</v>
      </c>
      <c r="K349">
        <v>5</v>
      </c>
      <c r="L349" t="s">
        <v>21</v>
      </c>
      <c r="M349">
        <v>58</v>
      </c>
      <c r="N349" s="18" t="str">
        <f t="shared" si="15"/>
        <v>46-60</v>
      </c>
      <c r="O349" s="12">
        <f t="shared" si="16"/>
        <v>732.84</v>
      </c>
      <c r="P349" s="12">
        <f t="shared" si="17"/>
        <v>219.852</v>
      </c>
      <c r="X349" s="14" t="s">
        <v>200</v>
      </c>
      <c r="Y349" s="19">
        <v>915.24</v>
      </c>
    </row>
    <row r="350" spans="1:25" x14ac:dyDescent="0.3">
      <c r="A350">
        <v>46244</v>
      </c>
      <c r="B350" s="1">
        <v>45496</v>
      </c>
      <c r="C350">
        <v>263</v>
      </c>
      <c r="D350">
        <v>50</v>
      </c>
      <c r="E350" t="s">
        <v>18</v>
      </c>
      <c r="F350" t="s">
        <v>87</v>
      </c>
      <c r="G350">
        <v>5</v>
      </c>
      <c r="H350">
        <v>272.22000000000003</v>
      </c>
      <c r="I350" t="s">
        <v>35</v>
      </c>
      <c r="J350" t="s">
        <v>391</v>
      </c>
      <c r="K350">
        <v>5</v>
      </c>
      <c r="L350" t="s">
        <v>21</v>
      </c>
      <c r="M350">
        <v>62</v>
      </c>
      <c r="N350" s="18" t="str">
        <f t="shared" si="15"/>
        <v>60+</v>
      </c>
      <c r="O350" s="12">
        <f t="shared" si="16"/>
        <v>1361.1000000000001</v>
      </c>
      <c r="P350" s="12">
        <f t="shared" si="17"/>
        <v>408.33000000000004</v>
      </c>
      <c r="X350" s="14" t="s">
        <v>390</v>
      </c>
      <c r="Y350" s="19">
        <v>449.54999999999995</v>
      </c>
    </row>
    <row r="351" spans="1:25" x14ac:dyDescent="0.3">
      <c r="A351">
        <v>10211</v>
      </c>
      <c r="B351" s="1">
        <v>45496</v>
      </c>
      <c r="C351">
        <v>964</v>
      </c>
      <c r="D351">
        <v>30</v>
      </c>
      <c r="E351" t="s">
        <v>37</v>
      </c>
      <c r="F351" t="s">
        <v>38</v>
      </c>
      <c r="G351">
        <v>2</v>
      </c>
      <c r="H351">
        <v>32.51</v>
      </c>
      <c r="I351" t="s">
        <v>35</v>
      </c>
      <c r="J351" t="s">
        <v>75</v>
      </c>
      <c r="K351">
        <v>5</v>
      </c>
      <c r="L351" t="s">
        <v>17</v>
      </c>
      <c r="M351">
        <v>25</v>
      </c>
      <c r="N351" s="18" t="str">
        <f t="shared" si="15"/>
        <v>18-30</v>
      </c>
      <c r="O351" s="12">
        <f t="shared" si="16"/>
        <v>65.02</v>
      </c>
      <c r="P351" s="12">
        <f t="shared" si="17"/>
        <v>19.505999999999997</v>
      </c>
      <c r="X351" s="14" t="s">
        <v>686</v>
      </c>
      <c r="Y351" s="19">
        <v>1416.79</v>
      </c>
    </row>
    <row r="352" spans="1:25" x14ac:dyDescent="0.3">
      <c r="A352">
        <v>73282</v>
      </c>
      <c r="B352" s="1">
        <v>45496</v>
      </c>
      <c r="C352">
        <v>883</v>
      </c>
      <c r="D352">
        <v>50</v>
      </c>
      <c r="E352" t="s">
        <v>18</v>
      </c>
      <c r="F352" t="s">
        <v>34</v>
      </c>
      <c r="G352">
        <v>1</v>
      </c>
      <c r="H352">
        <v>423.98</v>
      </c>
      <c r="I352" t="s">
        <v>26</v>
      </c>
      <c r="J352" t="s">
        <v>886</v>
      </c>
      <c r="K352">
        <v>5</v>
      </c>
      <c r="L352" t="s">
        <v>21</v>
      </c>
      <c r="M352">
        <v>24</v>
      </c>
      <c r="N352" s="18" t="str">
        <f t="shared" si="15"/>
        <v>18-30</v>
      </c>
      <c r="O352" s="12">
        <f t="shared" si="16"/>
        <v>423.98</v>
      </c>
      <c r="P352" s="12">
        <f t="shared" si="17"/>
        <v>127.194</v>
      </c>
      <c r="X352" s="14" t="s">
        <v>581</v>
      </c>
      <c r="Y352" s="19">
        <v>254.46</v>
      </c>
    </row>
    <row r="353" spans="1:25" x14ac:dyDescent="0.3">
      <c r="A353">
        <v>42238</v>
      </c>
      <c r="B353" s="1">
        <v>45497</v>
      </c>
      <c r="C353">
        <v>756</v>
      </c>
      <c r="D353">
        <v>10</v>
      </c>
      <c r="E353" t="s">
        <v>13</v>
      </c>
      <c r="F353" t="s">
        <v>14</v>
      </c>
      <c r="G353">
        <v>4</v>
      </c>
      <c r="H353">
        <v>338.88</v>
      </c>
      <c r="I353" t="s">
        <v>26</v>
      </c>
      <c r="J353" t="s">
        <v>329</v>
      </c>
      <c r="K353">
        <v>3</v>
      </c>
      <c r="L353" t="s">
        <v>17</v>
      </c>
      <c r="M353">
        <v>55</v>
      </c>
      <c r="N353" s="18" t="str">
        <f t="shared" si="15"/>
        <v>46-60</v>
      </c>
      <c r="O353" s="12">
        <f t="shared" si="16"/>
        <v>1355.52</v>
      </c>
      <c r="P353" s="12">
        <f t="shared" si="17"/>
        <v>406.65600000000001</v>
      </c>
      <c r="X353" s="14" t="s">
        <v>417</v>
      </c>
      <c r="Y353" s="19">
        <v>194.9</v>
      </c>
    </row>
    <row r="354" spans="1:25" x14ac:dyDescent="0.3">
      <c r="A354">
        <v>29305</v>
      </c>
      <c r="B354" s="1">
        <v>45497</v>
      </c>
      <c r="C354">
        <v>596</v>
      </c>
      <c r="D354">
        <v>30</v>
      </c>
      <c r="E354" t="s">
        <v>37</v>
      </c>
      <c r="F354" t="s">
        <v>38</v>
      </c>
      <c r="G354">
        <v>3</v>
      </c>
      <c r="H354">
        <v>199.31</v>
      </c>
      <c r="I354" t="s">
        <v>26</v>
      </c>
      <c r="J354" t="s">
        <v>364</v>
      </c>
      <c r="K354">
        <v>5</v>
      </c>
      <c r="L354" t="s">
        <v>21</v>
      </c>
      <c r="M354">
        <v>23</v>
      </c>
      <c r="N354" s="18" t="str">
        <f t="shared" si="15"/>
        <v>18-30</v>
      </c>
      <c r="O354" s="12">
        <f t="shared" si="16"/>
        <v>597.93000000000006</v>
      </c>
      <c r="P354" s="12">
        <f t="shared" si="17"/>
        <v>179.37900000000002</v>
      </c>
      <c r="X354" s="14" t="s">
        <v>206</v>
      </c>
      <c r="Y354" s="19">
        <v>720.15000000000009</v>
      </c>
    </row>
    <row r="355" spans="1:25" x14ac:dyDescent="0.3">
      <c r="A355">
        <v>97390</v>
      </c>
      <c r="B355" s="1">
        <v>45497</v>
      </c>
      <c r="C355">
        <v>512</v>
      </c>
      <c r="D355">
        <v>10</v>
      </c>
      <c r="E355" t="s">
        <v>13</v>
      </c>
      <c r="F355" t="s">
        <v>111</v>
      </c>
      <c r="G355">
        <v>3</v>
      </c>
      <c r="H355">
        <v>312.87</v>
      </c>
      <c r="I355" t="s">
        <v>15</v>
      </c>
      <c r="J355" t="s">
        <v>835</v>
      </c>
      <c r="K355">
        <v>5</v>
      </c>
      <c r="L355" t="s">
        <v>17</v>
      </c>
      <c r="M355">
        <v>71</v>
      </c>
      <c r="N355" s="18" t="str">
        <f t="shared" si="15"/>
        <v>60+</v>
      </c>
      <c r="O355" s="12">
        <f t="shared" si="16"/>
        <v>938.61</v>
      </c>
      <c r="P355" s="12">
        <f t="shared" si="17"/>
        <v>281.58299999999997</v>
      </c>
      <c r="X355" s="14" t="s">
        <v>289</v>
      </c>
      <c r="Y355" s="19">
        <v>857.75</v>
      </c>
    </row>
    <row r="356" spans="1:25" x14ac:dyDescent="0.3">
      <c r="A356">
        <v>57158</v>
      </c>
      <c r="B356" s="1">
        <v>45498</v>
      </c>
      <c r="C356">
        <v>294</v>
      </c>
      <c r="D356">
        <v>30</v>
      </c>
      <c r="E356" t="s">
        <v>37</v>
      </c>
      <c r="F356" t="s">
        <v>38</v>
      </c>
      <c r="G356">
        <v>4</v>
      </c>
      <c r="H356">
        <v>11.74</v>
      </c>
      <c r="I356" t="s">
        <v>15</v>
      </c>
      <c r="J356" t="s">
        <v>101</v>
      </c>
      <c r="K356">
        <v>5</v>
      </c>
      <c r="L356" t="s">
        <v>21</v>
      </c>
      <c r="M356">
        <v>59</v>
      </c>
      <c r="N356" s="18" t="str">
        <f t="shared" si="15"/>
        <v>46-60</v>
      </c>
      <c r="O356" s="12">
        <f t="shared" si="16"/>
        <v>46.96</v>
      </c>
      <c r="P356" s="12">
        <f t="shared" si="17"/>
        <v>14.087999999999999</v>
      </c>
      <c r="X356" s="14" t="s">
        <v>126</v>
      </c>
      <c r="Y356" s="19">
        <v>723.98</v>
      </c>
    </row>
    <row r="357" spans="1:25" x14ac:dyDescent="0.3">
      <c r="A357">
        <v>72081</v>
      </c>
      <c r="B357" s="1">
        <v>45498</v>
      </c>
      <c r="C357">
        <v>563</v>
      </c>
      <c r="D357">
        <v>40</v>
      </c>
      <c r="E357" t="s">
        <v>24</v>
      </c>
      <c r="F357" t="s">
        <v>49</v>
      </c>
      <c r="G357">
        <v>3</v>
      </c>
      <c r="H357">
        <v>471.32</v>
      </c>
      <c r="I357" t="s">
        <v>15</v>
      </c>
      <c r="J357" t="s">
        <v>149</v>
      </c>
      <c r="L357" t="s">
        <v>17</v>
      </c>
      <c r="M357">
        <v>63</v>
      </c>
      <c r="N357" s="18" t="str">
        <f t="shared" si="15"/>
        <v>60+</v>
      </c>
      <c r="O357" s="12">
        <f t="shared" si="16"/>
        <v>1413.96</v>
      </c>
      <c r="P357" s="12">
        <f t="shared" si="17"/>
        <v>424.18799999999999</v>
      </c>
      <c r="X357" s="14" t="s">
        <v>150</v>
      </c>
      <c r="Y357" s="19">
        <v>1406.48</v>
      </c>
    </row>
    <row r="358" spans="1:25" x14ac:dyDescent="0.3">
      <c r="A358">
        <v>79954</v>
      </c>
      <c r="B358" s="1">
        <v>45498</v>
      </c>
      <c r="C358">
        <v>295</v>
      </c>
      <c r="D358">
        <v>20</v>
      </c>
      <c r="E358" t="s">
        <v>28</v>
      </c>
      <c r="F358" t="s">
        <v>79</v>
      </c>
      <c r="G358">
        <v>5</v>
      </c>
      <c r="H358">
        <v>115.58</v>
      </c>
      <c r="I358" t="s">
        <v>26</v>
      </c>
      <c r="J358" t="s">
        <v>823</v>
      </c>
      <c r="K358">
        <v>4</v>
      </c>
      <c r="L358" t="s">
        <v>17</v>
      </c>
      <c r="M358">
        <v>31</v>
      </c>
      <c r="N358" s="18" t="str">
        <f t="shared" si="15"/>
        <v>31-45</v>
      </c>
      <c r="O358" s="12">
        <f t="shared" si="16"/>
        <v>577.9</v>
      </c>
      <c r="P358" s="12">
        <f t="shared" si="17"/>
        <v>173.36999999999998</v>
      </c>
      <c r="X358" s="14" t="s">
        <v>463</v>
      </c>
      <c r="Y358" s="19">
        <v>404.04</v>
      </c>
    </row>
    <row r="359" spans="1:25" x14ac:dyDescent="0.3">
      <c r="A359">
        <v>31245</v>
      </c>
      <c r="B359" s="1">
        <v>45498</v>
      </c>
      <c r="C359">
        <v>209</v>
      </c>
      <c r="D359">
        <v>20</v>
      </c>
      <c r="E359" t="s">
        <v>28</v>
      </c>
      <c r="F359" t="s">
        <v>51</v>
      </c>
      <c r="G359">
        <v>1</v>
      </c>
      <c r="H359">
        <v>96.75</v>
      </c>
      <c r="I359" t="s">
        <v>35</v>
      </c>
      <c r="J359" t="s">
        <v>839</v>
      </c>
      <c r="K359">
        <v>4</v>
      </c>
      <c r="L359" t="s">
        <v>17</v>
      </c>
      <c r="M359">
        <v>39</v>
      </c>
      <c r="N359" s="18" t="str">
        <f t="shared" si="15"/>
        <v>31-45</v>
      </c>
      <c r="O359" s="12">
        <f t="shared" si="16"/>
        <v>96.75</v>
      </c>
      <c r="P359" s="12">
        <f t="shared" si="17"/>
        <v>29.024999999999999</v>
      </c>
      <c r="X359" s="14" t="s">
        <v>391</v>
      </c>
      <c r="Y359" s="19">
        <v>1361.1000000000001</v>
      </c>
    </row>
    <row r="360" spans="1:25" x14ac:dyDescent="0.3">
      <c r="A360">
        <v>39305</v>
      </c>
      <c r="B360" s="1">
        <v>45498</v>
      </c>
      <c r="C360">
        <v>846</v>
      </c>
      <c r="D360">
        <v>50</v>
      </c>
      <c r="E360" t="s">
        <v>18</v>
      </c>
      <c r="F360" t="s">
        <v>19</v>
      </c>
      <c r="G360">
        <v>4</v>
      </c>
      <c r="H360">
        <v>134.12</v>
      </c>
      <c r="I360" t="s">
        <v>35</v>
      </c>
      <c r="J360" t="s">
        <v>860</v>
      </c>
      <c r="K360">
        <v>2</v>
      </c>
      <c r="L360" t="s">
        <v>21</v>
      </c>
      <c r="M360">
        <v>32</v>
      </c>
      <c r="N360" s="18" t="str">
        <f t="shared" si="15"/>
        <v>31-45</v>
      </c>
      <c r="O360" s="12">
        <f t="shared" si="16"/>
        <v>536.48</v>
      </c>
      <c r="P360" s="12">
        <f t="shared" si="17"/>
        <v>160.94399999999999</v>
      </c>
      <c r="X360" s="14" t="s">
        <v>490</v>
      </c>
      <c r="Y360" s="19">
        <v>231.36</v>
      </c>
    </row>
    <row r="361" spans="1:25" x14ac:dyDescent="0.3">
      <c r="A361">
        <v>52278</v>
      </c>
      <c r="B361" s="1">
        <v>45498</v>
      </c>
      <c r="C361">
        <v>749</v>
      </c>
      <c r="D361">
        <v>10</v>
      </c>
      <c r="E361" t="s">
        <v>13</v>
      </c>
      <c r="F361" t="s">
        <v>47</v>
      </c>
      <c r="G361">
        <v>3</v>
      </c>
      <c r="H361">
        <v>461.91</v>
      </c>
      <c r="I361" t="s">
        <v>26</v>
      </c>
      <c r="J361" t="s">
        <v>917</v>
      </c>
      <c r="K361">
        <v>3</v>
      </c>
      <c r="L361" t="s">
        <v>21</v>
      </c>
      <c r="M361">
        <v>21</v>
      </c>
      <c r="N361" s="18" t="str">
        <f t="shared" si="15"/>
        <v>18-30</v>
      </c>
      <c r="O361" s="12">
        <f t="shared" si="16"/>
        <v>1385.73</v>
      </c>
      <c r="P361" s="12">
        <f t="shared" si="17"/>
        <v>415.71899999999999</v>
      </c>
      <c r="X361" s="14" t="s">
        <v>276</v>
      </c>
      <c r="Y361" s="19">
        <v>732.84</v>
      </c>
    </row>
    <row r="362" spans="1:25" x14ac:dyDescent="0.3">
      <c r="A362">
        <v>80441</v>
      </c>
      <c r="B362" s="1">
        <v>45499</v>
      </c>
      <c r="C362">
        <v>867</v>
      </c>
      <c r="D362">
        <v>30</v>
      </c>
      <c r="E362" t="s">
        <v>37</v>
      </c>
      <c r="F362" t="s">
        <v>58</v>
      </c>
      <c r="G362">
        <v>2</v>
      </c>
      <c r="H362">
        <v>308.39999999999998</v>
      </c>
      <c r="I362" t="s">
        <v>15</v>
      </c>
      <c r="J362" t="s">
        <v>60</v>
      </c>
      <c r="K362">
        <v>3</v>
      </c>
      <c r="L362" t="s">
        <v>21</v>
      </c>
      <c r="M362">
        <v>52</v>
      </c>
      <c r="N362" s="18" t="str">
        <f t="shared" si="15"/>
        <v>46-60</v>
      </c>
      <c r="O362" s="12">
        <f t="shared" si="16"/>
        <v>616.79999999999995</v>
      </c>
      <c r="P362" s="12">
        <f t="shared" si="17"/>
        <v>185.04</v>
      </c>
      <c r="X362" s="14" t="s">
        <v>546</v>
      </c>
      <c r="Y362" s="19">
        <v>137.06</v>
      </c>
    </row>
    <row r="363" spans="1:25" x14ac:dyDescent="0.3">
      <c r="A363">
        <v>97433</v>
      </c>
      <c r="B363" s="1">
        <v>45499</v>
      </c>
      <c r="C363">
        <v>677</v>
      </c>
      <c r="D363">
        <v>10</v>
      </c>
      <c r="E363" t="s">
        <v>13</v>
      </c>
      <c r="F363" t="s">
        <v>14</v>
      </c>
      <c r="G363">
        <v>4</v>
      </c>
      <c r="H363">
        <v>418.88</v>
      </c>
      <c r="I363" t="s">
        <v>15</v>
      </c>
      <c r="J363" t="s">
        <v>880</v>
      </c>
      <c r="K363">
        <v>5</v>
      </c>
      <c r="M363">
        <v>59</v>
      </c>
      <c r="N363" s="18" t="str">
        <f t="shared" si="15"/>
        <v>46-60</v>
      </c>
      <c r="O363" s="12">
        <f t="shared" si="16"/>
        <v>1675.52</v>
      </c>
      <c r="P363" s="12">
        <f t="shared" si="17"/>
        <v>502.65599999999995</v>
      </c>
      <c r="X363" s="14" t="s">
        <v>768</v>
      </c>
      <c r="Y363" s="19">
        <v>454.56</v>
      </c>
    </row>
    <row r="364" spans="1:25" x14ac:dyDescent="0.3">
      <c r="A364">
        <v>90154</v>
      </c>
      <c r="B364" s="1">
        <v>45500</v>
      </c>
      <c r="C364">
        <v>762</v>
      </c>
      <c r="D364">
        <v>50</v>
      </c>
      <c r="E364" t="s">
        <v>18</v>
      </c>
      <c r="F364" t="s">
        <v>19</v>
      </c>
      <c r="G364">
        <v>1</v>
      </c>
      <c r="H364">
        <v>388.35</v>
      </c>
      <c r="I364" t="s">
        <v>26</v>
      </c>
      <c r="J364" t="s">
        <v>541</v>
      </c>
      <c r="K364">
        <v>4</v>
      </c>
      <c r="L364" t="s">
        <v>17</v>
      </c>
      <c r="M364">
        <v>19</v>
      </c>
      <c r="N364" s="18" t="str">
        <f t="shared" si="15"/>
        <v>18-30</v>
      </c>
      <c r="O364" s="12">
        <f t="shared" si="16"/>
        <v>388.35</v>
      </c>
      <c r="P364" s="12">
        <f t="shared" si="17"/>
        <v>116.505</v>
      </c>
      <c r="X364" s="14" t="s">
        <v>41</v>
      </c>
      <c r="Y364" s="19">
        <v>765.56</v>
      </c>
    </row>
    <row r="365" spans="1:25" x14ac:dyDescent="0.3">
      <c r="A365">
        <v>16797</v>
      </c>
      <c r="B365" s="1">
        <v>45500</v>
      </c>
      <c r="C365">
        <v>333</v>
      </c>
      <c r="D365">
        <v>40</v>
      </c>
      <c r="E365" t="s">
        <v>24</v>
      </c>
      <c r="F365" t="s">
        <v>63</v>
      </c>
      <c r="G365">
        <v>1</v>
      </c>
      <c r="H365">
        <v>124.08</v>
      </c>
      <c r="I365" t="s">
        <v>15</v>
      </c>
      <c r="J365" t="s">
        <v>852</v>
      </c>
      <c r="L365" t="s">
        <v>21</v>
      </c>
      <c r="M365">
        <v>59</v>
      </c>
      <c r="N365" s="18" t="str">
        <f t="shared" si="15"/>
        <v>46-60</v>
      </c>
      <c r="O365" s="12">
        <f t="shared" si="16"/>
        <v>124.08</v>
      </c>
      <c r="P365" s="12">
        <f t="shared" si="17"/>
        <v>37.223999999999997</v>
      </c>
      <c r="X365" s="14" t="s">
        <v>109</v>
      </c>
      <c r="Y365" s="19">
        <v>107.79</v>
      </c>
    </row>
    <row r="366" spans="1:25" x14ac:dyDescent="0.3">
      <c r="A366">
        <v>66566</v>
      </c>
      <c r="B366" s="1">
        <v>45501</v>
      </c>
      <c r="C366">
        <v>794</v>
      </c>
      <c r="D366">
        <v>30</v>
      </c>
      <c r="E366" t="s">
        <v>37</v>
      </c>
      <c r="F366" t="s">
        <v>68</v>
      </c>
      <c r="G366">
        <v>5</v>
      </c>
      <c r="H366">
        <v>100.1</v>
      </c>
      <c r="I366" t="s">
        <v>35</v>
      </c>
      <c r="J366" t="s">
        <v>428</v>
      </c>
      <c r="K366">
        <v>4</v>
      </c>
      <c r="L366" t="s">
        <v>17</v>
      </c>
      <c r="M366">
        <v>19</v>
      </c>
      <c r="N366" s="18" t="str">
        <f t="shared" si="15"/>
        <v>18-30</v>
      </c>
      <c r="O366" s="12">
        <f t="shared" si="16"/>
        <v>500.5</v>
      </c>
      <c r="P366" s="12">
        <f t="shared" si="17"/>
        <v>150.15</v>
      </c>
      <c r="X366" s="14" t="s">
        <v>656</v>
      </c>
      <c r="Y366" s="19">
        <v>988.01</v>
      </c>
    </row>
    <row r="367" spans="1:25" x14ac:dyDescent="0.3">
      <c r="A367">
        <v>87653</v>
      </c>
      <c r="B367" s="1">
        <v>45501</v>
      </c>
      <c r="C367">
        <v>653</v>
      </c>
      <c r="D367">
        <v>10</v>
      </c>
      <c r="E367" t="s">
        <v>13</v>
      </c>
      <c r="F367" t="s">
        <v>111</v>
      </c>
      <c r="G367">
        <v>2</v>
      </c>
      <c r="H367">
        <v>459.77</v>
      </c>
      <c r="I367" t="s">
        <v>15</v>
      </c>
      <c r="J367" t="s">
        <v>593</v>
      </c>
      <c r="K367">
        <v>5</v>
      </c>
      <c r="L367" t="s">
        <v>21</v>
      </c>
      <c r="M367">
        <v>28</v>
      </c>
      <c r="N367" s="18" t="str">
        <f t="shared" si="15"/>
        <v>18-30</v>
      </c>
      <c r="O367" s="12">
        <f t="shared" si="16"/>
        <v>919.54</v>
      </c>
      <c r="P367" s="12">
        <f t="shared" si="17"/>
        <v>275.86199999999997</v>
      </c>
      <c r="X367" s="14" t="s">
        <v>899</v>
      </c>
      <c r="Y367" s="19">
        <v>247.59</v>
      </c>
    </row>
    <row r="368" spans="1:25" x14ac:dyDescent="0.3">
      <c r="A368">
        <v>19284</v>
      </c>
      <c r="B368" s="1">
        <v>45501</v>
      </c>
      <c r="C368">
        <v>944</v>
      </c>
      <c r="D368">
        <v>20</v>
      </c>
      <c r="E368" t="s">
        <v>28</v>
      </c>
      <c r="F368" t="s">
        <v>79</v>
      </c>
      <c r="G368">
        <v>5</v>
      </c>
      <c r="H368">
        <v>162.44999999999999</v>
      </c>
      <c r="I368" t="s">
        <v>35</v>
      </c>
      <c r="J368" t="s">
        <v>637</v>
      </c>
      <c r="K368">
        <v>4</v>
      </c>
      <c r="L368" t="s">
        <v>17</v>
      </c>
      <c r="M368">
        <v>52</v>
      </c>
      <c r="N368" s="18" t="str">
        <f t="shared" si="15"/>
        <v>46-60</v>
      </c>
      <c r="O368" s="12">
        <f t="shared" si="16"/>
        <v>812.25</v>
      </c>
      <c r="P368" s="12">
        <f t="shared" si="17"/>
        <v>243.67499999999998</v>
      </c>
      <c r="X368" s="14" t="s">
        <v>86</v>
      </c>
      <c r="Y368" s="19">
        <v>376.51</v>
      </c>
    </row>
    <row r="369" spans="1:25" x14ac:dyDescent="0.3">
      <c r="A369">
        <v>37040</v>
      </c>
      <c r="B369" s="1">
        <v>45501</v>
      </c>
      <c r="C369">
        <v>628</v>
      </c>
      <c r="D369">
        <v>40</v>
      </c>
      <c r="E369" t="s">
        <v>24</v>
      </c>
      <c r="F369" t="s">
        <v>25</v>
      </c>
      <c r="G369">
        <v>3</v>
      </c>
      <c r="H369">
        <v>421.13</v>
      </c>
      <c r="I369" t="s">
        <v>35</v>
      </c>
      <c r="J369" t="s">
        <v>696</v>
      </c>
      <c r="K369">
        <v>5</v>
      </c>
      <c r="L369" t="s">
        <v>17</v>
      </c>
      <c r="M369">
        <v>41</v>
      </c>
      <c r="N369" s="18" t="str">
        <f t="shared" si="15"/>
        <v>31-45</v>
      </c>
      <c r="O369" s="12">
        <f t="shared" si="16"/>
        <v>1263.3899999999999</v>
      </c>
      <c r="P369" s="12">
        <f t="shared" si="17"/>
        <v>379.01699999999994</v>
      </c>
      <c r="X369" s="14" t="s">
        <v>373</v>
      </c>
      <c r="Y369" s="19">
        <v>486</v>
      </c>
    </row>
    <row r="370" spans="1:25" x14ac:dyDescent="0.3">
      <c r="A370">
        <v>73957</v>
      </c>
      <c r="B370" s="1">
        <v>45501</v>
      </c>
      <c r="C370">
        <v>834</v>
      </c>
      <c r="D370">
        <v>40</v>
      </c>
      <c r="E370" t="s">
        <v>24</v>
      </c>
      <c r="F370" t="s">
        <v>44</v>
      </c>
      <c r="G370">
        <v>5</v>
      </c>
      <c r="H370">
        <v>137.29</v>
      </c>
      <c r="I370" t="s">
        <v>26</v>
      </c>
      <c r="J370" t="s">
        <v>824</v>
      </c>
      <c r="K370">
        <v>4</v>
      </c>
      <c r="M370">
        <v>24</v>
      </c>
      <c r="N370" s="18" t="str">
        <f t="shared" si="15"/>
        <v>18-30</v>
      </c>
      <c r="O370" s="12">
        <f t="shared" si="16"/>
        <v>686.44999999999993</v>
      </c>
      <c r="P370" s="12">
        <f t="shared" si="17"/>
        <v>205.93499999999997</v>
      </c>
      <c r="X370" s="14" t="s">
        <v>267</v>
      </c>
      <c r="Y370" s="19">
        <v>550.85</v>
      </c>
    </row>
    <row r="371" spans="1:25" x14ac:dyDescent="0.3">
      <c r="A371">
        <v>35014</v>
      </c>
      <c r="B371" s="1">
        <v>45501</v>
      </c>
      <c r="C371">
        <v>149</v>
      </c>
      <c r="D371">
        <v>20</v>
      </c>
      <c r="E371" t="s">
        <v>28</v>
      </c>
      <c r="F371" t="s">
        <v>29</v>
      </c>
      <c r="G371">
        <v>1</v>
      </c>
      <c r="H371">
        <v>54.19</v>
      </c>
      <c r="I371" t="s">
        <v>26</v>
      </c>
      <c r="J371" t="s">
        <v>943</v>
      </c>
      <c r="K371">
        <v>5</v>
      </c>
      <c r="M371">
        <v>33</v>
      </c>
      <c r="N371" s="18" t="str">
        <f t="shared" si="15"/>
        <v>31-45</v>
      </c>
      <c r="O371" s="12">
        <f t="shared" si="16"/>
        <v>54.19</v>
      </c>
      <c r="P371" s="12">
        <f t="shared" si="17"/>
        <v>16.256999999999998</v>
      </c>
      <c r="X371" s="14" t="s">
        <v>838</v>
      </c>
      <c r="Y371" s="19">
        <v>487.74</v>
      </c>
    </row>
    <row r="372" spans="1:25" x14ac:dyDescent="0.3">
      <c r="A372">
        <v>13011</v>
      </c>
      <c r="B372" s="1">
        <v>45502</v>
      </c>
      <c r="C372">
        <v>231</v>
      </c>
      <c r="D372">
        <v>20</v>
      </c>
      <c r="E372" t="s">
        <v>28</v>
      </c>
      <c r="F372" t="s">
        <v>29</v>
      </c>
      <c r="G372">
        <v>2</v>
      </c>
      <c r="H372">
        <v>276.11</v>
      </c>
      <c r="I372" t="s">
        <v>26</v>
      </c>
      <c r="J372" t="s">
        <v>729</v>
      </c>
      <c r="L372" t="s">
        <v>21</v>
      </c>
      <c r="M372">
        <v>69</v>
      </c>
      <c r="N372" s="18" t="str">
        <f t="shared" si="15"/>
        <v>60+</v>
      </c>
      <c r="O372" s="12">
        <f t="shared" si="16"/>
        <v>552.22</v>
      </c>
      <c r="P372" s="12">
        <f t="shared" si="17"/>
        <v>165.666</v>
      </c>
      <c r="X372" s="14" t="s">
        <v>389</v>
      </c>
      <c r="Y372" s="19">
        <v>659.84</v>
      </c>
    </row>
    <row r="373" spans="1:25" x14ac:dyDescent="0.3">
      <c r="A373">
        <v>65235</v>
      </c>
      <c r="B373" s="1">
        <v>45502</v>
      </c>
      <c r="C373">
        <v>554</v>
      </c>
      <c r="D373">
        <v>40</v>
      </c>
      <c r="E373" t="s">
        <v>24</v>
      </c>
      <c r="F373" t="s">
        <v>65</v>
      </c>
      <c r="G373">
        <v>1</v>
      </c>
      <c r="H373">
        <v>299.39</v>
      </c>
      <c r="I373" t="s">
        <v>15</v>
      </c>
      <c r="J373" t="s">
        <v>777</v>
      </c>
      <c r="K373">
        <v>3</v>
      </c>
      <c r="L373" t="s">
        <v>21</v>
      </c>
      <c r="M373">
        <v>19</v>
      </c>
      <c r="N373" s="18" t="str">
        <f t="shared" si="15"/>
        <v>18-30</v>
      </c>
      <c r="O373" s="12">
        <f t="shared" si="16"/>
        <v>299.39</v>
      </c>
      <c r="P373" s="12">
        <f t="shared" si="17"/>
        <v>89.816999999999993</v>
      </c>
      <c r="X373" s="14" t="s">
        <v>579</v>
      </c>
      <c r="Y373" s="19">
        <v>1034.31</v>
      </c>
    </row>
    <row r="374" spans="1:25" x14ac:dyDescent="0.3">
      <c r="A374">
        <v>86435</v>
      </c>
      <c r="B374" s="1">
        <v>45503</v>
      </c>
      <c r="C374">
        <v>988</v>
      </c>
      <c r="D374">
        <v>40</v>
      </c>
      <c r="E374" t="s">
        <v>24</v>
      </c>
      <c r="F374" t="s">
        <v>44</v>
      </c>
      <c r="G374">
        <v>4</v>
      </c>
      <c r="H374">
        <v>431.48</v>
      </c>
      <c r="I374" t="s">
        <v>26</v>
      </c>
      <c r="J374" t="s">
        <v>174</v>
      </c>
      <c r="K374">
        <v>3</v>
      </c>
      <c r="L374" t="s">
        <v>17</v>
      </c>
      <c r="M374">
        <v>48</v>
      </c>
      <c r="N374" s="18" t="str">
        <f t="shared" si="15"/>
        <v>46-60</v>
      </c>
      <c r="O374" s="12">
        <f t="shared" si="16"/>
        <v>1725.92</v>
      </c>
      <c r="P374" s="12">
        <f t="shared" si="17"/>
        <v>517.77599999999995</v>
      </c>
      <c r="X374" s="14" t="s">
        <v>914</v>
      </c>
      <c r="Y374" s="19">
        <v>38.700000000000003</v>
      </c>
    </row>
    <row r="375" spans="1:25" x14ac:dyDescent="0.3">
      <c r="A375">
        <v>54645</v>
      </c>
      <c r="B375" s="1">
        <v>45503</v>
      </c>
      <c r="C375">
        <v>190</v>
      </c>
      <c r="D375">
        <v>50</v>
      </c>
      <c r="E375" t="s">
        <v>18</v>
      </c>
      <c r="F375" t="s">
        <v>19</v>
      </c>
      <c r="G375">
        <v>4</v>
      </c>
      <c r="H375">
        <v>354.69</v>
      </c>
      <c r="I375" t="s">
        <v>26</v>
      </c>
      <c r="J375" t="s">
        <v>590</v>
      </c>
      <c r="K375">
        <v>5</v>
      </c>
      <c r="L375" t="s">
        <v>17</v>
      </c>
      <c r="M375">
        <v>75</v>
      </c>
      <c r="N375" s="18" t="str">
        <f t="shared" si="15"/>
        <v>60+</v>
      </c>
      <c r="O375" s="12">
        <f t="shared" si="16"/>
        <v>1418.76</v>
      </c>
      <c r="P375" s="12">
        <f t="shared" si="17"/>
        <v>425.62799999999999</v>
      </c>
      <c r="X375" s="14" t="s">
        <v>369</v>
      </c>
      <c r="Y375" s="19">
        <v>202.55</v>
      </c>
    </row>
    <row r="376" spans="1:25" x14ac:dyDescent="0.3">
      <c r="A376">
        <v>47601</v>
      </c>
      <c r="B376" s="1">
        <v>45504</v>
      </c>
      <c r="C376">
        <v>793</v>
      </c>
      <c r="D376">
        <v>50</v>
      </c>
      <c r="E376" t="s">
        <v>18</v>
      </c>
      <c r="F376" t="s">
        <v>34</v>
      </c>
      <c r="G376">
        <v>2</v>
      </c>
      <c r="H376">
        <v>241.9</v>
      </c>
      <c r="I376" t="s">
        <v>35</v>
      </c>
      <c r="J376" t="s">
        <v>162</v>
      </c>
      <c r="K376">
        <v>3</v>
      </c>
      <c r="M376">
        <v>24</v>
      </c>
      <c r="N376" s="18" t="str">
        <f t="shared" si="15"/>
        <v>18-30</v>
      </c>
      <c r="O376" s="12">
        <f t="shared" si="16"/>
        <v>483.8</v>
      </c>
      <c r="P376" s="12">
        <f t="shared" si="17"/>
        <v>145.13999999999999</v>
      </c>
      <c r="X376" s="14" t="s">
        <v>953</v>
      </c>
      <c r="Y376" s="19">
        <v>420.63</v>
      </c>
    </row>
    <row r="377" spans="1:25" x14ac:dyDescent="0.3">
      <c r="A377">
        <v>34368</v>
      </c>
      <c r="B377" s="1">
        <v>45504</v>
      </c>
      <c r="C377">
        <v>204</v>
      </c>
      <c r="D377">
        <v>20</v>
      </c>
      <c r="E377" t="s">
        <v>28</v>
      </c>
      <c r="F377" t="s">
        <v>72</v>
      </c>
      <c r="G377">
        <v>3</v>
      </c>
      <c r="H377">
        <v>475.53</v>
      </c>
      <c r="I377" t="s">
        <v>26</v>
      </c>
      <c r="J377" t="s">
        <v>666</v>
      </c>
      <c r="K377">
        <v>5</v>
      </c>
      <c r="L377" t="s">
        <v>17</v>
      </c>
      <c r="M377">
        <v>69</v>
      </c>
      <c r="N377" s="18" t="str">
        <f t="shared" si="15"/>
        <v>60+</v>
      </c>
      <c r="O377" s="12">
        <f t="shared" si="16"/>
        <v>1426.59</v>
      </c>
      <c r="P377" s="12">
        <f t="shared" si="17"/>
        <v>427.97699999999998</v>
      </c>
      <c r="X377" s="14" t="s">
        <v>345</v>
      </c>
      <c r="Y377" s="19">
        <v>1319.35</v>
      </c>
    </row>
    <row r="378" spans="1:25" x14ac:dyDescent="0.3">
      <c r="A378">
        <v>83983</v>
      </c>
      <c r="B378" s="1">
        <v>45505</v>
      </c>
      <c r="C378">
        <v>395</v>
      </c>
      <c r="D378">
        <v>20</v>
      </c>
      <c r="E378" t="s">
        <v>28</v>
      </c>
      <c r="F378" t="s">
        <v>79</v>
      </c>
      <c r="G378">
        <v>5</v>
      </c>
      <c r="H378">
        <v>161.05000000000001</v>
      </c>
      <c r="I378" t="s">
        <v>15</v>
      </c>
      <c r="J378" t="s">
        <v>104</v>
      </c>
      <c r="K378">
        <v>5</v>
      </c>
      <c r="L378" t="s">
        <v>21</v>
      </c>
      <c r="M378">
        <v>55</v>
      </c>
      <c r="N378" s="18" t="str">
        <f t="shared" si="15"/>
        <v>46-60</v>
      </c>
      <c r="O378" s="12">
        <f t="shared" si="16"/>
        <v>805.25</v>
      </c>
      <c r="P378" s="12">
        <f t="shared" si="17"/>
        <v>241.57499999999999</v>
      </c>
      <c r="X378" s="14" t="s">
        <v>144</v>
      </c>
      <c r="Y378" s="19">
        <v>35.520000000000003</v>
      </c>
    </row>
    <row r="379" spans="1:25" x14ac:dyDescent="0.3">
      <c r="A379">
        <v>73069</v>
      </c>
      <c r="B379" s="1">
        <v>45505</v>
      </c>
      <c r="C379">
        <v>171</v>
      </c>
      <c r="D379">
        <v>20</v>
      </c>
      <c r="E379" t="s">
        <v>28</v>
      </c>
      <c r="F379" t="s">
        <v>77</v>
      </c>
      <c r="G379">
        <v>2</v>
      </c>
      <c r="H379">
        <v>278.91000000000003</v>
      </c>
      <c r="I379" t="s">
        <v>35</v>
      </c>
      <c r="J379" t="s">
        <v>310</v>
      </c>
      <c r="K379">
        <v>5</v>
      </c>
      <c r="L379" t="s">
        <v>21</v>
      </c>
      <c r="M379">
        <v>38</v>
      </c>
      <c r="N379" s="18" t="str">
        <f t="shared" si="15"/>
        <v>31-45</v>
      </c>
      <c r="O379" s="12">
        <f t="shared" si="16"/>
        <v>557.82000000000005</v>
      </c>
      <c r="P379" s="12">
        <f t="shared" si="17"/>
        <v>167.346</v>
      </c>
      <c r="X379" s="14" t="s">
        <v>473</v>
      </c>
      <c r="Y379" s="19">
        <v>2111.9499999999998</v>
      </c>
    </row>
    <row r="380" spans="1:25" x14ac:dyDescent="0.3">
      <c r="A380">
        <v>37787</v>
      </c>
      <c r="B380" s="1">
        <v>45506</v>
      </c>
      <c r="C380">
        <v>971</v>
      </c>
      <c r="D380">
        <v>10</v>
      </c>
      <c r="E380" t="s">
        <v>13</v>
      </c>
      <c r="F380" t="s">
        <v>32</v>
      </c>
      <c r="G380">
        <v>3</v>
      </c>
      <c r="H380">
        <v>91.52</v>
      </c>
      <c r="I380" t="s">
        <v>26</v>
      </c>
      <c r="J380" t="s">
        <v>210</v>
      </c>
      <c r="K380">
        <v>5</v>
      </c>
      <c r="L380" t="s">
        <v>21</v>
      </c>
      <c r="M380">
        <v>35</v>
      </c>
      <c r="N380" s="18" t="str">
        <f t="shared" si="15"/>
        <v>31-45</v>
      </c>
      <c r="O380" s="12">
        <f t="shared" si="16"/>
        <v>274.56</v>
      </c>
      <c r="P380" s="12">
        <f t="shared" si="17"/>
        <v>82.367999999999995</v>
      </c>
      <c r="X380" s="14" t="s">
        <v>893</v>
      </c>
      <c r="Y380" s="19">
        <v>1508.3000000000002</v>
      </c>
    </row>
    <row r="381" spans="1:25" x14ac:dyDescent="0.3">
      <c r="A381">
        <v>59875</v>
      </c>
      <c r="B381" s="1">
        <v>45506</v>
      </c>
      <c r="C381">
        <v>210</v>
      </c>
      <c r="D381">
        <v>40</v>
      </c>
      <c r="E381" t="s">
        <v>24</v>
      </c>
      <c r="F381" t="s">
        <v>63</v>
      </c>
      <c r="G381">
        <v>4</v>
      </c>
      <c r="H381">
        <v>334.76</v>
      </c>
      <c r="I381" t="s">
        <v>35</v>
      </c>
      <c r="J381" t="s">
        <v>236</v>
      </c>
      <c r="K381">
        <v>5</v>
      </c>
      <c r="M381">
        <v>49</v>
      </c>
      <c r="N381" s="18" t="str">
        <f t="shared" si="15"/>
        <v>46-60</v>
      </c>
      <c r="O381" s="12">
        <f t="shared" si="16"/>
        <v>1339.04</v>
      </c>
      <c r="P381" s="12">
        <f t="shared" si="17"/>
        <v>401.71199999999999</v>
      </c>
      <c r="X381" s="14" t="s">
        <v>922</v>
      </c>
      <c r="Y381" s="19">
        <v>230.09</v>
      </c>
    </row>
    <row r="382" spans="1:25" x14ac:dyDescent="0.3">
      <c r="A382">
        <v>37813</v>
      </c>
      <c r="B382" s="1">
        <v>45506</v>
      </c>
      <c r="C382">
        <v>792</v>
      </c>
      <c r="D382">
        <v>10</v>
      </c>
      <c r="E382" t="s">
        <v>13</v>
      </c>
      <c r="F382" t="s">
        <v>14</v>
      </c>
      <c r="G382">
        <v>5</v>
      </c>
      <c r="H382">
        <v>221.15</v>
      </c>
      <c r="I382" t="s">
        <v>26</v>
      </c>
      <c r="J382" t="s">
        <v>362</v>
      </c>
      <c r="K382">
        <v>5</v>
      </c>
      <c r="L382" t="s">
        <v>17</v>
      </c>
      <c r="M382">
        <v>24</v>
      </c>
      <c r="N382" s="18" t="str">
        <f t="shared" si="15"/>
        <v>18-30</v>
      </c>
      <c r="O382" s="12">
        <f t="shared" si="16"/>
        <v>1105.75</v>
      </c>
      <c r="P382" s="12">
        <f t="shared" si="17"/>
        <v>331.72499999999997</v>
      </c>
      <c r="X382" s="14" t="s">
        <v>977</v>
      </c>
      <c r="Y382" s="19">
        <v>774.1</v>
      </c>
    </row>
    <row r="383" spans="1:25" x14ac:dyDescent="0.3">
      <c r="A383">
        <v>13595</v>
      </c>
      <c r="B383" s="1">
        <v>45506</v>
      </c>
      <c r="C383">
        <v>311</v>
      </c>
      <c r="D383">
        <v>40</v>
      </c>
      <c r="E383" t="s">
        <v>24</v>
      </c>
      <c r="F383" t="s">
        <v>44</v>
      </c>
      <c r="G383">
        <v>1</v>
      </c>
      <c r="H383">
        <v>496.5</v>
      </c>
      <c r="I383" t="s">
        <v>26</v>
      </c>
      <c r="J383" t="s">
        <v>415</v>
      </c>
      <c r="K383">
        <v>4</v>
      </c>
      <c r="M383">
        <v>25</v>
      </c>
      <c r="N383" s="18" t="str">
        <f t="shared" si="15"/>
        <v>18-30</v>
      </c>
      <c r="O383" s="12">
        <f t="shared" si="16"/>
        <v>496.5</v>
      </c>
      <c r="P383" s="12">
        <f t="shared" si="17"/>
        <v>148.94999999999999</v>
      </c>
      <c r="X383" s="14" t="s">
        <v>497</v>
      </c>
      <c r="Y383" s="19">
        <v>138.55000000000001</v>
      </c>
    </row>
    <row r="384" spans="1:25" x14ac:dyDescent="0.3">
      <c r="A384">
        <v>81400</v>
      </c>
      <c r="B384" s="1">
        <v>45506</v>
      </c>
      <c r="C384">
        <v>950</v>
      </c>
      <c r="D384">
        <v>10</v>
      </c>
      <c r="E384" t="s">
        <v>13</v>
      </c>
      <c r="F384" t="s">
        <v>32</v>
      </c>
      <c r="G384">
        <v>4</v>
      </c>
      <c r="H384">
        <v>167.11</v>
      </c>
      <c r="I384" t="s">
        <v>26</v>
      </c>
      <c r="J384" t="s">
        <v>698</v>
      </c>
      <c r="K384">
        <v>5</v>
      </c>
      <c r="L384" t="s">
        <v>21</v>
      </c>
      <c r="M384">
        <v>48</v>
      </c>
      <c r="N384" s="18" t="str">
        <f t="shared" si="15"/>
        <v>46-60</v>
      </c>
      <c r="O384" s="12">
        <f t="shared" si="16"/>
        <v>668.44</v>
      </c>
      <c r="P384" s="12">
        <f t="shared" si="17"/>
        <v>200.53200000000001</v>
      </c>
      <c r="X384" s="14" t="s">
        <v>711</v>
      </c>
      <c r="Y384" s="19">
        <v>735.88</v>
      </c>
    </row>
    <row r="385" spans="1:25" x14ac:dyDescent="0.3">
      <c r="A385">
        <v>78768</v>
      </c>
      <c r="B385" s="1">
        <v>45507</v>
      </c>
      <c r="C385">
        <v>880</v>
      </c>
      <c r="D385">
        <v>10</v>
      </c>
      <c r="E385" t="s">
        <v>13</v>
      </c>
      <c r="F385" t="s">
        <v>14</v>
      </c>
      <c r="G385">
        <v>1</v>
      </c>
      <c r="H385">
        <v>152.19999999999999</v>
      </c>
      <c r="I385" t="s">
        <v>26</v>
      </c>
      <c r="J385" t="s">
        <v>357</v>
      </c>
      <c r="K385">
        <v>5</v>
      </c>
      <c r="L385" t="s">
        <v>21</v>
      </c>
      <c r="M385">
        <v>49</v>
      </c>
      <c r="N385" s="18" t="str">
        <f t="shared" si="15"/>
        <v>46-60</v>
      </c>
      <c r="O385" s="12">
        <f t="shared" si="16"/>
        <v>152.19999999999999</v>
      </c>
      <c r="P385" s="12">
        <f t="shared" si="17"/>
        <v>45.66</v>
      </c>
      <c r="X385" s="14" t="s">
        <v>620</v>
      </c>
      <c r="Y385" s="19">
        <v>2336.81</v>
      </c>
    </row>
    <row r="386" spans="1:25" x14ac:dyDescent="0.3">
      <c r="A386">
        <v>98074</v>
      </c>
      <c r="B386" s="1">
        <v>45507</v>
      </c>
      <c r="C386">
        <v>463</v>
      </c>
      <c r="D386">
        <v>30</v>
      </c>
      <c r="E386" t="s">
        <v>37</v>
      </c>
      <c r="F386" t="s">
        <v>68</v>
      </c>
      <c r="G386">
        <v>4</v>
      </c>
      <c r="H386">
        <v>494.66</v>
      </c>
      <c r="I386" t="s">
        <v>35</v>
      </c>
      <c r="J386" t="s">
        <v>395</v>
      </c>
      <c r="K386">
        <v>4</v>
      </c>
      <c r="L386" t="s">
        <v>17</v>
      </c>
      <c r="M386">
        <v>47</v>
      </c>
      <c r="N386" s="18" t="str">
        <f t="shared" si="15"/>
        <v>46-60</v>
      </c>
      <c r="O386" s="12">
        <f t="shared" si="16"/>
        <v>1978.64</v>
      </c>
      <c r="P386" s="12">
        <f t="shared" si="17"/>
        <v>593.59199999999998</v>
      </c>
      <c r="X386" s="14" t="s">
        <v>75</v>
      </c>
      <c r="Y386" s="19">
        <v>248.63</v>
      </c>
    </row>
    <row r="387" spans="1:25" x14ac:dyDescent="0.3">
      <c r="A387">
        <v>56829</v>
      </c>
      <c r="B387" s="1">
        <v>45508</v>
      </c>
      <c r="C387">
        <v>839</v>
      </c>
      <c r="D387">
        <v>10</v>
      </c>
      <c r="E387" t="s">
        <v>13</v>
      </c>
      <c r="F387" t="s">
        <v>32</v>
      </c>
      <c r="G387">
        <v>1</v>
      </c>
      <c r="H387">
        <v>311.67</v>
      </c>
      <c r="I387" t="s">
        <v>26</v>
      </c>
      <c r="J387" t="s">
        <v>233</v>
      </c>
      <c r="L387" t="s">
        <v>21</v>
      </c>
      <c r="M387">
        <v>59</v>
      </c>
      <c r="N387" s="18" t="str">
        <f t="shared" ref="N387:N450" si="18">IF(M387&lt;=30,"18-30",IF(M387&lt;=45,"31-45",IF(M387&lt;=60,"46-60","60+")))</f>
        <v>46-60</v>
      </c>
      <c r="O387" s="12">
        <f t="shared" ref="O387:O450" si="19">H387*G387</f>
        <v>311.67</v>
      </c>
      <c r="P387" s="12">
        <f t="shared" ref="P387:P450" si="20">O387*0.3</f>
        <v>93.501000000000005</v>
      </c>
      <c r="X387" s="14" t="s">
        <v>249</v>
      </c>
      <c r="Y387" s="19">
        <v>662.18999999999994</v>
      </c>
    </row>
    <row r="388" spans="1:25" x14ac:dyDescent="0.3">
      <c r="A388">
        <v>51963</v>
      </c>
      <c r="B388" s="1">
        <v>45508</v>
      </c>
      <c r="C388">
        <v>471</v>
      </c>
      <c r="D388">
        <v>40</v>
      </c>
      <c r="E388" t="s">
        <v>24</v>
      </c>
      <c r="F388" t="s">
        <v>65</v>
      </c>
      <c r="G388">
        <v>3</v>
      </c>
      <c r="H388">
        <v>149.61000000000001</v>
      </c>
      <c r="I388" t="s">
        <v>35</v>
      </c>
      <c r="J388" t="s">
        <v>299</v>
      </c>
      <c r="K388">
        <v>5</v>
      </c>
      <c r="L388" t="s">
        <v>21</v>
      </c>
      <c r="M388">
        <v>61</v>
      </c>
      <c r="N388" s="18" t="str">
        <f t="shared" si="18"/>
        <v>60+</v>
      </c>
      <c r="O388" s="12">
        <f t="shared" si="19"/>
        <v>448.83000000000004</v>
      </c>
      <c r="P388" s="12">
        <f t="shared" si="20"/>
        <v>134.649</v>
      </c>
      <c r="X388" s="14" t="s">
        <v>228</v>
      </c>
      <c r="Y388" s="19">
        <v>89.04</v>
      </c>
    </row>
    <row r="389" spans="1:25" x14ac:dyDescent="0.3">
      <c r="A389">
        <v>74288</v>
      </c>
      <c r="B389" s="1">
        <v>45508</v>
      </c>
      <c r="C389">
        <v>173</v>
      </c>
      <c r="D389">
        <v>50</v>
      </c>
      <c r="E389" t="s">
        <v>18</v>
      </c>
      <c r="F389" t="s">
        <v>22</v>
      </c>
      <c r="G389">
        <v>2</v>
      </c>
      <c r="H389">
        <v>308.43</v>
      </c>
      <c r="I389" t="s">
        <v>26</v>
      </c>
      <c r="J389" t="s">
        <v>649</v>
      </c>
      <c r="K389">
        <v>5</v>
      </c>
      <c r="L389" t="s">
        <v>17</v>
      </c>
      <c r="M389">
        <v>25</v>
      </c>
      <c r="N389" s="18" t="str">
        <f t="shared" si="18"/>
        <v>18-30</v>
      </c>
      <c r="O389" s="12">
        <f t="shared" si="19"/>
        <v>616.86</v>
      </c>
      <c r="P389" s="12">
        <f t="shared" si="20"/>
        <v>185.05799999999999</v>
      </c>
      <c r="X389" s="14" t="s">
        <v>604</v>
      </c>
      <c r="Y389" s="19">
        <v>1978.1999999999998</v>
      </c>
    </row>
    <row r="390" spans="1:25" x14ac:dyDescent="0.3">
      <c r="A390">
        <v>47453</v>
      </c>
      <c r="B390" s="1">
        <v>45508</v>
      </c>
      <c r="C390">
        <v>175</v>
      </c>
      <c r="D390">
        <v>30</v>
      </c>
      <c r="E390" t="s">
        <v>37</v>
      </c>
      <c r="F390" t="s">
        <v>58</v>
      </c>
      <c r="G390">
        <v>2</v>
      </c>
      <c r="H390">
        <v>36.36</v>
      </c>
      <c r="I390" t="s">
        <v>35</v>
      </c>
      <c r="J390" t="s">
        <v>721</v>
      </c>
      <c r="K390">
        <v>2</v>
      </c>
      <c r="L390" t="s">
        <v>17</v>
      </c>
      <c r="M390">
        <v>58</v>
      </c>
      <c r="N390" s="18" t="str">
        <f t="shared" si="18"/>
        <v>46-60</v>
      </c>
      <c r="O390" s="12">
        <f t="shared" si="19"/>
        <v>72.72</v>
      </c>
      <c r="P390" s="12">
        <f t="shared" si="20"/>
        <v>21.815999999999999</v>
      </c>
      <c r="X390" s="14" t="s">
        <v>108</v>
      </c>
      <c r="Y390" s="19">
        <v>562.91999999999996</v>
      </c>
    </row>
    <row r="391" spans="1:25" x14ac:dyDescent="0.3">
      <c r="A391">
        <v>30037</v>
      </c>
      <c r="B391" s="1">
        <v>45509</v>
      </c>
      <c r="C391">
        <v>314</v>
      </c>
      <c r="D391">
        <v>20</v>
      </c>
      <c r="E391" t="s">
        <v>28</v>
      </c>
      <c r="F391" t="s">
        <v>72</v>
      </c>
      <c r="G391">
        <v>5</v>
      </c>
      <c r="H391">
        <v>337.8</v>
      </c>
      <c r="I391" t="s">
        <v>15</v>
      </c>
      <c r="J391" t="s">
        <v>73</v>
      </c>
      <c r="K391">
        <v>4</v>
      </c>
      <c r="L391" t="s">
        <v>17</v>
      </c>
      <c r="M391">
        <v>28</v>
      </c>
      <c r="N391" s="18" t="str">
        <f t="shared" si="18"/>
        <v>18-30</v>
      </c>
      <c r="O391" s="12">
        <f t="shared" si="19"/>
        <v>1689</v>
      </c>
      <c r="P391" s="12">
        <f t="shared" si="20"/>
        <v>506.7</v>
      </c>
      <c r="X391" s="14" t="s">
        <v>925</v>
      </c>
      <c r="Y391" s="19">
        <v>172.92</v>
      </c>
    </row>
    <row r="392" spans="1:25" x14ac:dyDescent="0.3">
      <c r="A392">
        <v>25536</v>
      </c>
      <c r="B392" s="1">
        <v>45511</v>
      </c>
      <c r="C392">
        <v>482</v>
      </c>
      <c r="D392">
        <v>10</v>
      </c>
      <c r="E392" t="s">
        <v>13</v>
      </c>
      <c r="F392" t="s">
        <v>32</v>
      </c>
      <c r="G392">
        <v>3</v>
      </c>
      <c r="H392">
        <v>344.77</v>
      </c>
      <c r="I392" t="s">
        <v>15</v>
      </c>
      <c r="J392" t="s">
        <v>579</v>
      </c>
      <c r="K392">
        <v>3</v>
      </c>
      <c r="M392">
        <v>43</v>
      </c>
      <c r="N392" s="18" t="str">
        <f t="shared" si="18"/>
        <v>31-45</v>
      </c>
      <c r="O392" s="12">
        <f t="shared" si="19"/>
        <v>1034.31</v>
      </c>
      <c r="P392" s="12">
        <f t="shared" si="20"/>
        <v>310.29299999999995</v>
      </c>
      <c r="X392" s="14" t="s">
        <v>448</v>
      </c>
      <c r="Y392" s="19">
        <v>1347.0500000000002</v>
      </c>
    </row>
    <row r="393" spans="1:25" x14ac:dyDescent="0.3">
      <c r="A393">
        <v>58848</v>
      </c>
      <c r="B393" s="1">
        <v>45512</v>
      </c>
      <c r="C393">
        <v>876</v>
      </c>
      <c r="D393">
        <v>30</v>
      </c>
      <c r="E393" t="s">
        <v>37</v>
      </c>
      <c r="F393" t="s">
        <v>40</v>
      </c>
      <c r="G393">
        <v>2</v>
      </c>
      <c r="H393">
        <v>97.08</v>
      </c>
      <c r="I393" t="s">
        <v>15</v>
      </c>
      <c r="J393" t="s">
        <v>599</v>
      </c>
      <c r="K393">
        <v>5</v>
      </c>
      <c r="M393">
        <v>36</v>
      </c>
      <c r="N393" s="18" t="str">
        <f t="shared" si="18"/>
        <v>31-45</v>
      </c>
      <c r="O393" s="12">
        <f t="shared" si="19"/>
        <v>194.16</v>
      </c>
      <c r="P393" s="12">
        <f t="shared" si="20"/>
        <v>58.247999999999998</v>
      </c>
      <c r="X393" s="14" t="s">
        <v>299</v>
      </c>
      <c r="Y393" s="19">
        <v>448.83000000000004</v>
      </c>
    </row>
    <row r="394" spans="1:25" x14ac:dyDescent="0.3">
      <c r="A394">
        <v>63313</v>
      </c>
      <c r="B394" s="1">
        <v>45513</v>
      </c>
      <c r="C394">
        <v>182</v>
      </c>
      <c r="D394">
        <v>50</v>
      </c>
      <c r="E394" t="s">
        <v>18</v>
      </c>
      <c r="F394" t="s">
        <v>22</v>
      </c>
      <c r="G394">
        <v>5</v>
      </c>
      <c r="H394">
        <v>266.16000000000003</v>
      </c>
      <c r="I394" t="s">
        <v>26</v>
      </c>
      <c r="J394" t="s">
        <v>91</v>
      </c>
      <c r="K394">
        <v>1</v>
      </c>
      <c r="L394" t="s">
        <v>17</v>
      </c>
      <c r="M394">
        <v>59</v>
      </c>
      <c r="N394" s="18" t="str">
        <f t="shared" si="18"/>
        <v>46-60</v>
      </c>
      <c r="O394" s="12">
        <f t="shared" si="19"/>
        <v>1330.8000000000002</v>
      </c>
      <c r="P394" s="12">
        <f t="shared" si="20"/>
        <v>399.24000000000007</v>
      </c>
      <c r="X394" s="14" t="s">
        <v>83</v>
      </c>
      <c r="Y394" s="19">
        <v>299.54000000000002</v>
      </c>
    </row>
    <row r="395" spans="1:25" x14ac:dyDescent="0.3">
      <c r="A395">
        <v>53269</v>
      </c>
      <c r="B395" s="1">
        <v>45513</v>
      </c>
      <c r="C395">
        <v>314</v>
      </c>
      <c r="D395">
        <v>40</v>
      </c>
      <c r="E395" t="s">
        <v>24</v>
      </c>
      <c r="F395" t="s">
        <v>49</v>
      </c>
      <c r="G395">
        <v>5</v>
      </c>
      <c r="H395">
        <v>346.19</v>
      </c>
      <c r="I395" t="s">
        <v>26</v>
      </c>
      <c r="J395" t="s">
        <v>245</v>
      </c>
      <c r="K395">
        <v>5</v>
      </c>
      <c r="L395" t="s">
        <v>21</v>
      </c>
      <c r="M395">
        <v>54</v>
      </c>
      <c r="N395" s="18" t="str">
        <f t="shared" si="18"/>
        <v>46-60</v>
      </c>
      <c r="O395" s="12">
        <f t="shared" si="19"/>
        <v>1730.95</v>
      </c>
      <c r="P395" s="12">
        <f t="shared" si="20"/>
        <v>519.28499999999997</v>
      </c>
      <c r="X395" s="14" t="s">
        <v>217</v>
      </c>
      <c r="Y395" s="19">
        <v>631.15</v>
      </c>
    </row>
    <row r="396" spans="1:25" x14ac:dyDescent="0.3">
      <c r="A396">
        <v>39126</v>
      </c>
      <c r="B396" s="1">
        <v>45513</v>
      </c>
      <c r="C396">
        <v>225</v>
      </c>
      <c r="D396">
        <v>20</v>
      </c>
      <c r="E396" t="s">
        <v>28</v>
      </c>
      <c r="F396" t="s">
        <v>29</v>
      </c>
      <c r="G396">
        <v>3</v>
      </c>
      <c r="H396">
        <v>482.28</v>
      </c>
      <c r="I396" t="s">
        <v>35</v>
      </c>
      <c r="J396" t="s">
        <v>505</v>
      </c>
      <c r="K396">
        <v>5</v>
      </c>
      <c r="L396" t="s">
        <v>21</v>
      </c>
      <c r="M396">
        <v>24</v>
      </c>
      <c r="N396" s="18" t="str">
        <f t="shared" si="18"/>
        <v>18-30</v>
      </c>
      <c r="O396" s="12">
        <f t="shared" si="19"/>
        <v>1446.84</v>
      </c>
      <c r="P396" s="12">
        <f t="shared" si="20"/>
        <v>434.05199999999996</v>
      </c>
      <c r="X396" s="14" t="s">
        <v>329</v>
      </c>
      <c r="Y396" s="19">
        <v>1355.52</v>
      </c>
    </row>
    <row r="397" spans="1:25" x14ac:dyDescent="0.3">
      <c r="A397">
        <v>44035</v>
      </c>
      <c r="B397" s="1">
        <v>45514</v>
      </c>
      <c r="C397">
        <v>974</v>
      </c>
      <c r="D397">
        <v>10</v>
      </c>
      <c r="E397" t="s">
        <v>13</v>
      </c>
      <c r="F397" t="s">
        <v>111</v>
      </c>
      <c r="G397">
        <v>4</v>
      </c>
      <c r="H397">
        <v>292.12</v>
      </c>
      <c r="I397" t="s">
        <v>35</v>
      </c>
      <c r="J397" t="s">
        <v>271</v>
      </c>
      <c r="K397">
        <v>4</v>
      </c>
      <c r="L397" t="s">
        <v>17</v>
      </c>
      <c r="M397">
        <v>39</v>
      </c>
      <c r="N397" s="18" t="str">
        <f t="shared" si="18"/>
        <v>31-45</v>
      </c>
      <c r="O397" s="12">
        <f t="shared" si="19"/>
        <v>1168.48</v>
      </c>
      <c r="P397" s="12">
        <f t="shared" si="20"/>
        <v>350.54399999999998</v>
      </c>
      <c r="X397" s="14" t="s">
        <v>73</v>
      </c>
      <c r="Y397" s="19">
        <v>1689</v>
      </c>
    </row>
    <row r="398" spans="1:25" x14ac:dyDescent="0.3">
      <c r="A398">
        <v>17341</v>
      </c>
      <c r="B398" s="1">
        <v>45514</v>
      </c>
      <c r="C398">
        <v>291</v>
      </c>
      <c r="D398">
        <v>20</v>
      </c>
      <c r="E398" t="s">
        <v>28</v>
      </c>
      <c r="F398" t="s">
        <v>51</v>
      </c>
      <c r="G398">
        <v>5</v>
      </c>
      <c r="H398">
        <v>98.76</v>
      </c>
      <c r="I398" t="s">
        <v>15</v>
      </c>
      <c r="J398" t="s">
        <v>655</v>
      </c>
      <c r="K398">
        <v>4</v>
      </c>
      <c r="L398" t="s">
        <v>17</v>
      </c>
      <c r="M398">
        <v>20</v>
      </c>
      <c r="N398" s="18" t="str">
        <f t="shared" si="18"/>
        <v>18-30</v>
      </c>
      <c r="O398" s="12">
        <f t="shared" si="19"/>
        <v>493.8</v>
      </c>
      <c r="P398" s="12">
        <f t="shared" si="20"/>
        <v>148.13999999999999</v>
      </c>
      <c r="X398" s="14" t="s">
        <v>667</v>
      </c>
      <c r="Y398" s="19">
        <v>317.08</v>
      </c>
    </row>
    <row r="399" spans="1:25" x14ac:dyDescent="0.3">
      <c r="A399">
        <v>99909</v>
      </c>
      <c r="B399" s="1">
        <v>45515</v>
      </c>
      <c r="C399">
        <v>233</v>
      </c>
      <c r="D399">
        <v>10</v>
      </c>
      <c r="E399" t="s">
        <v>13</v>
      </c>
      <c r="F399" t="s">
        <v>32</v>
      </c>
      <c r="G399">
        <v>1</v>
      </c>
      <c r="H399">
        <v>474.06</v>
      </c>
      <c r="I399" t="s">
        <v>35</v>
      </c>
      <c r="J399" t="s">
        <v>195</v>
      </c>
      <c r="K399">
        <v>5</v>
      </c>
      <c r="L399" t="s">
        <v>17</v>
      </c>
      <c r="M399">
        <v>37</v>
      </c>
      <c r="N399" s="18" t="str">
        <f t="shared" si="18"/>
        <v>31-45</v>
      </c>
      <c r="O399" s="12">
        <f t="shared" si="19"/>
        <v>474.06</v>
      </c>
      <c r="P399" s="12">
        <f t="shared" si="20"/>
        <v>142.21799999999999</v>
      </c>
      <c r="X399" s="14" t="s">
        <v>159</v>
      </c>
      <c r="Y399" s="19">
        <v>59.88</v>
      </c>
    </row>
    <row r="400" spans="1:25" x14ac:dyDescent="0.3">
      <c r="A400">
        <v>91742</v>
      </c>
      <c r="B400" s="1">
        <v>45515</v>
      </c>
      <c r="C400">
        <v>632</v>
      </c>
      <c r="D400">
        <v>20</v>
      </c>
      <c r="E400" t="s">
        <v>28</v>
      </c>
      <c r="F400" t="s">
        <v>77</v>
      </c>
      <c r="G400">
        <v>1</v>
      </c>
      <c r="H400">
        <v>332.78</v>
      </c>
      <c r="I400" t="s">
        <v>35</v>
      </c>
      <c r="J400" t="s">
        <v>349</v>
      </c>
      <c r="K400">
        <v>5</v>
      </c>
      <c r="L400" t="s">
        <v>21</v>
      </c>
      <c r="M400">
        <v>28</v>
      </c>
      <c r="N400" s="18" t="str">
        <f t="shared" si="18"/>
        <v>18-30</v>
      </c>
      <c r="O400" s="12">
        <f t="shared" si="19"/>
        <v>332.78</v>
      </c>
      <c r="P400" s="12">
        <f t="shared" si="20"/>
        <v>99.833999999999989</v>
      </c>
      <c r="X400" s="14" t="s">
        <v>906</v>
      </c>
      <c r="Y400" s="19">
        <v>903.32</v>
      </c>
    </row>
    <row r="401" spans="1:25" x14ac:dyDescent="0.3">
      <c r="A401">
        <v>56705</v>
      </c>
      <c r="B401" s="1">
        <v>45516</v>
      </c>
      <c r="C401">
        <v>299</v>
      </c>
      <c r="D401">
        <v>20</v>
      </c>
      <c r="E401" t="s">
        <v>28</v>
      </c>
      <c r="F401" t="s">
        <v>51</v>
      </c>
      <c r="G401">
        <v>2</v>
      </c>
      <c r="H401">
        <v>168.65</v>
      </c>
      <c r="I401" t="s">
        <v>15</v>
      </c>
      <c r="J401" t="s">
        <v>241</v>
      </c>
      <c r="K401">
        <v>2</v>
      </c>
      <c r="L401" t="s">
        <v>21</v>
      </c>
      <c r="M401">
        <v>38</v>
      </c>
      <c r="N401" s="18" t="str">
        <f t="shared" si="18"/>
        <v>31-45</v>
      </c>
      <c r="O401" s="12">
        <f t="shared" si="19"/>
        <v>337.3</v>
      </c>
      <c r="P401" s="12">
        <f t="shared" si="20"/>
        <v>101.19</v>
      </c>
      <c r="X401" s="14" t="s">
        <v>227</v>
      </c>
      <c r="Y401" s="19">
        <v>1091.68</v>
      </c>
    </row>
    <row r="402" spans="1:25" x14ac:dyDescent="0.3">
      <c r="A402">
        <v>23601</v>
      </c>
      <c r="B402" s="1">
        <v>45516</v>
      </c>
      <c r="C402">
        <v>468</v>
      </c>
      <c r="D402">
        <v>40</v>
      </c>
      <c r="E402" t="s">
        <v>24</v>
      </c>
      <c r="F402" t="s">
        <v>44</v>
      </c>
      <c r="G402">
        <v>3</v>
      </c>
      <c r="H402">
        <v>408.46</v>
      </c>
      <c r="I402" t="s">
        <v>35</v>
      </c>
      <c r="J402" t="s">
        <v>292</v>
      </c>
      <c r="K402">
        <v>5</v>
      </c>
      <c r="M402">
        <v>57</v>
      </c>
      <c r="N402" s="18" t="str">
        <f t="shared" si="18"/>
        <v>46-60</v>
      </c>
      <c r="O402" s="12">
        <f t="shared" si="19"/>
        <v>1225.3799999999999</v>
      </c>
      <c r="P402" s="12">
        <f t="shared" si="20"/>
        <v>367.61399999999998</v>
      </c>
      <c r="X402" s="14" t="s">
        <v>568</v>
      </c>
      <c r="Y402" s="19">
        <v>172.3</v>
      </c>
    </row>
    <row r="403" spans="1:25" x14ac:dyDescent="0.3">
      <c r="A403">
        <v>60664</v>
      </c>
      <c r="B403" s="1">
        <v>45516</v>
      </c>
      <c r="C403">
        <v>809</v>
      </c>
      <c r="D403">
        <v>30</v>
      </c>
      <c r="E403" t="s">
        <v>37</v>
      </c>
      <c r="F403" t="s">
        <v>68</v>
      </c>
      <c r="G403">
        <v>3</v>
      </c>
      <c r="H403">
        <v>186.36</v>
      </c>
      <c r="I403" t="s">
        <v>26</v>
      </c>
      <c r="J403" t="s">
        <v>292</v>
      </c>
      <c r="L403" t="s">
        <v>21</v>
      </c>
      <c r="M403">
        <v>21</v>
      </c>
      <c r="N403" s="18" t="str">
        <f t="shared" si="18"/>
        <v>18-30</v>
      </c>
      <c r="O403" s="12">
        <f t="shared" si="19"/>
        <v>559.08000000000004</v>
      </c>
      <c r="P403" s="12">
        <f t="shared" si="20"/>
        <v>167.72400000000002</v>
      </c>
      <c r="X403" s="14" t="s">
        <v>114</v>
      </c>
      <c r="Y403" s="19">
        <v>86.25</v>
      </c>
    </row>
    <row r="404" spans="1:25" x14ac:dyDescent="0.3">
      <c r="A404">
        <v>17439</v>
      </c>
      <c r="B404" s="1">
        <v>45516</v>
      </c>
      <c r="C404">
        <v>520</v>
      </c>
      <c r="D404">
        <v>10</v>
      </c>
      <c r="E404" t="s">
        <v>13</v>
      </c>
      <c r="F404" t="s">
        <v>47</v>
      </c>
      <c r="G404">
        <v>4</v>
      </c>
      <c r="H404">
        <v>462.82</v>
      </c>
      <c r="I404" t="s">
        <v>26</v>
      </c>
      <c r="J404" t="s">
        <v>578</v>
      </c>
      <c r="K404">
        <v>5</v>
      </c>
      <c r="L404" t="s">
        <v>21</v>
      </c>
      <c r="M404">
        <v>55</v>
      </c>
      <c r="N404" s="18" t="str">
        <f t="shared" si="18"/>
        <v>46-60</v>
      </c>
      <c r="O404" s="12">
        <f t="shared" si="19"/>
        <v>1851.28</v>
      </c>
      <c r="P404" s="12">
        <f t="shared" si="20"/>
        <v>555.38400000000001</v>
      </c>
      <c r="X404" s="14" t="s">
        <v>427</v>
      </c>
      <c r="Y404" s="19">
        <v>1185.1200000000001</v>
      </c>
    </row>
    <row r="405" spans="1:25" x14ac:dyDescent="0.3">
      <c r="A405">
        <v>48216</v>
      </c>
      <c r="B405" s="1">
        <v>45516</v>
      </c>
      <c r="C405">
        <v>738</v>
      </c>
      <c r="D405">
        <v>40</v>
      </c>
      <c r="E405" t="s">
        <v>24</v>
      </c>
      <c r="F405" t="s">
        <v>49</v>
      </c>
      <c r="G405">
        <v>5</v>
      </c>
      <c r="H405">
        <v>228.23</v>
      </c>
      <c r="I405" t="s">
        <v>26</v>
      </c>
      <c r="J405" t="s">
        <v>755</v>
      </c>
      <c r="K405">
        <v>4</v>
      </c>
      <c r="L405" t="s">
        <v>21</v>
      </c>
      <c r="M405">
        <v>21</v>
      </c>
      <c r="N405" s="18" t="str">
        <f t="shared" si="18"/>
        <v>18-30</v>
      </c>
      <c r="O405" s="12">
        <f t="shared" si="19"/>
        <v>1141.1499999999999</v>
      </c>
      <c r="P405" s="12">
        <f t="shared" si="20"/>
        <v>342.34499999999997</v>
      </c>
      <c r="X405" s="14" t="s">
        <v>908</v>
      </c>
      <c r="Y405" s="19">
        <v>891</v>
      </c>
    </row>
    <row r="406" spans="1:25" x14ac:dyDescent="0.3">
      <c r="A406">
        <v>29312</v>
      </c>
      <c r="B406" s="1">
        <v>45516</v>
      </c>
      <c r="C406">
        <v>481</v>
      </c>
      <c r="D406">
        <v>30</v>
      </c>
      <c r="E406" t="s">
        <v>37</v>
      </c>
      <c r="F406" t="s">
        <v>38</v>
      </c>
      <c r="G406">
        <v>4</v>
      </c>
      <c r="H406">
        <v>354.83</v>
      </c>
      <c r="I406" t="s">
        <v>35</v>
      </c>
      <c r="J406" t="s">
        <v>763</v>
      </c>
      <c r="K406">
        <v>5</v>
      </c>
      <c r="L406" t="s">
        <v>21</v>
      </c>
      <c r="M406">
        <v>64</v>
      </c>
      <c r="N406" s="18" t="str">
        <f t="shared" si="18"/>
        <v>60+</v>
      </c>
      <c r="O406" s="12">
        <f t="shared" si="19"/>
        <v>1419.32</v>
      </c>
      <c r="P406" s="12">
        <f t="shared" si="20"/>
        <v>425.79599999999999</v>
      </c>
      <c r="X406" s="14" t="s">
        <v>622</v>
      </c>
      <c r="Y406" s="19">
        <v>579.79999999999995</v>
      </c>
    </row>
    <row r="407" spans="1:25" x14ac:dyDescent="0.3">
      <c r="A407">
        <v>35514</v>
      </c>
      <c r="B407" s="1">
        <v>45516</v>
      </c>
      <c r="C407">
        <v>791</v>
      </c>
      <c r="D407">
        <v>20</v>
      </c>
      <c r="E407" t="s">
        <v>28</v>
      </c>
      <c r="F407" t="s">
        <v>72</v>
      </c>
      <c r="G407">
        <v>4</v>
      </c>
      <c r="H407">
        <v>216.69</v>
      </c>
      <c r="I407" t="s">
        <v>35</v>
      </c>
      <c r="J407" t="s">
        <v>829</v>
      </c>
      <c r="K407">
        <v>4</v>
      </c>
      <c r="L407" t="s">
        <v>17</v>
      </c>
      <c r="M407">
        <v>35</v>
      </c>
      <c r="N407" s="18" t="str">
        <f t="shared" si="18"/>
        <v>31-45</v>
      </c>
      <c r="O407" s="12">
        <f t="shared" si="19"/>
        <v>866.76</v>
      </c>
      <c r="P407" s="12">
        <f t="shared" si="20"/>
        <v>260.02799999999996</v>
      </c>
      <c r="X407" s="14" t="s">
        <v>346</v>
      </c>
      <c r="Y407" s="19">
        <v>1897.08</v>
      </c>
    </row>
    <row r="408" spans="1:25" x14ac:dyDescent="0.3">
      <c r="A408">
        <v>65789</v>
      </c>
      <c r="B408" s="1">
        <v>45516</v>
      </c>
      <c r="C408">
        <v>368</v>
      </c>
      <c r="D408">
        <v>30</v>
      </c>
      <c r="E408" t="s">
        <v>37</v>
      </c>
      <c r="F408" t="s">
        <v>68</v>
      </c>
      <c r="G408">
        <v>3</v>
      </c>
      <c r="H408">
        <v>91.58</v>
      </c>
      <c r="I408" t="s">
        <v>26</v>
      </c>
      <c r="J408" t="s">
        <v>939</v>
      </c>
      <c r="K408">
        <v>5</v>
      </c>
      <c r="L408" t="s">
        <v>21</v>
      </c>
      <c r="M408">
        <v>69</v>
      </c>
      <c r="N408" s="18" t="str">
        <f t="shared" si="18"/>
        <v>60+</v>
      </c>
      <c r="O408" s="12">
        <f t="shared" si="19"/>
        <v>274.74</v>
      </c>
      <c r="P408" s="12">
        <f t="shared" si="20"/>
        <v>82.421999999999997</v>
      </c>
      <c r="X408" s="14" t="s">
        <v>296</v>
      </c>
      <c r="Y408" s="19">
        <v>142.5</v>
      </c>
    </row>
    <row r="409" spans="1:25" x14ac:dyDescent="0.3">
      <c r="A409">
        <v>11021</v>
      </c>
      <c r="B409" s="1">
        <v>45516</v>
      </c>
      <c r="C409">
        <v>114</v>
      </c>
      <c r="D409">
        <v>20</v>
      </c>
      <c r="E409" t="s">
        <v>28</v>
      </c>
      <c r="F409" t="s">
        <v>79</v>
      </c>
      <c r="G409">
        <v>5</v>
      </c>
      <c r="H409">
        <v>67.92</v>
      </c>
      <c r="I409" t="s">
        <v>26</v>
      </c>
      <c r="J409" t="s">
        <v>962</v>
      </c>
      <c r="K409">
        <v>5</v>
      </c>
      <c r="L409" t="s">
        <v>21</v>
      </c>
      <c r="M409">
        <v>47</v>
      </c>
      <c r="N409" s="18" t="str">
        <f t="shared" si="18"/>
        <v>46-60</v>
      </c>
      <c r="O409" s="12">
        <f t="shared" si="19"/>
        <v>339.6</v>
      </c>
      <c r="P409" s="12">
        <f t="shared" si="20"/>
        <v>101.88000000000001</v>
      </c>
      <c r="X409" s="14" t="s">
        <v>680</v>
      </c>
      <c r="Y409" s="19">
        <v>773.6</v>
      </c>
    </row>
    <row r="410" spans="1:25" x14ac:dyDescent="0.3">
      <c r="A410">
        <v>33094</v>
      </c>
      <c r="B410" s="1">
        <v>45516</v>
      </c>
      <c r="C410">
        <v>298</v>
      </c>
      <c r="D410">
        <v>30</v>
      </c>
      <c r="E410" t="s">
        <v>37</v>
      </c>
      <c r="F410" t="s">
        <v>40</v>
      </c>
      <c r="G410">
        <v>2</v>
      </c>
      <c r="H410">
        <v>387.05</v>
      </c>
      <c r="I410" t="s">
        <v>15</v>
      </c>
      <c r="J410" t="s">
        <v>977</v>
      </c>
      <c r="K410">
        <v>5</v>
      </c>
      <c r="M410">
        <v>68</v>
      </c>
      <c r="N410" s="18" t="str">
        <f t="shared" si="18"/>
        <v>60+</v>
      </c>
      <c r="O410" s="12">
        <f t="shared" si="19"/>
        <v>774.1</v>
      </c>
      <c r="P410" s="12">
        <f t="shared" si="20"/>
        <v>232.23</v>
      </c>
      <c r="X410" s="14" t="s">
        <v>439</v>
      </c>
      <c r="Y410" s="19">
        <v>53.849999999999994</v>
      </c>
    </row>
    <row r="411" spans="1:25" x14ac:dyDescent="0.3">
      <c r="A411">
        <v>21565</v>
      </c>
      <c r="B411" s="1">
        <v>45517</v>
      </c>
      <c r="C411">
        <v>499</v>
      </c>
      <c r="D411">
        <v>50</v>
      </c>
      <c r="E411" t="s">
        <v>18</v>
      </c>
      <c r="F411" t="s">
        <v>19</v>
      </c>
      <c r="G411">
        <v>4</v>
      </c>
      <c r="H411">
        <v>484.81</v>
      </c>
      <c r="I411" t="s">
        <v>15</v>
      </c>
      <c r="J411" t="s">
        <v>81</v>
      </c>
      <c r="L411" t="s">
        <v>17</v>
      </c>
      <c r="M411">
        <v>43</v>
      </c>
      <c r="N411" s="18" t="str">
        <f t="shared" si="18"/>
        <v>31-45</v>
      </c>
      <c r="O411" s="12">
        <f t="shared" si="19"/>
        <v>1939.24</v>
      </c>
      <c r="P411" s="12">
        <f t="shared" si="20"/>
        <v>581.77199999999993</v>
      </c>
      <c r="X411" s="14" t="s">
        <v>725</v>
      </c>
      <c r="Y411" s="19">
        <v>974.15000000000009</v>
      </c>
    </row>
    <row r="412" spans="1:25" x14ac:dyDescent="0.3">
      <c r="A412">
        <v>11849</v>
      </c>
      <c r="B412" s="1">
        <v>45518</v>
      </c>
      <c r="C412">
        <v>141</v>
      </c>
      <c r="D412">
        <v>40</v>
      </c>
      <c r="E412" t="s">
        <v>24</v>
      </c>
      <c r="F412" t="s">
        <v>65</v>
      </c>
      <c r="G412">
        <v>5</v>
      </c>
      <c r="H412">
        <v>409.35</v>
      </c>
      <c r="I412" t="s">
        <v>35</v>
      </c>
      <c r="J412" t="s">
        <v>130</v>
      </c>
      <c r="K412">
        <v>4</v>
      </c>
      <c r="M412">
        <v>23</v>
      </c>
      <c r="N412" s="18" t="str">
        <f t="shared" si="18"/>
        <v>18-30</v>
      </c>
      <c r="O412" s="12">
        <f t="shared" si="19"/>
        <v>2046.75</v>
      </c>
      <c r="P412" s="12">
        <f t="shared" si="20"/>
        <v>614.02499999999998</v>
      </c>
      <c r="X412" s="14" t="s">
        <v>649</v>
      </c>
      <c r="Y412" s="19">
        <v>616.86</v>
      </c>
    </row>
    <row r="413" spans="1:25" x14ac:dyDescent="0.3">
      <c r="A413">
        <v>79948</v>
      </c>
      <c r="B413" s="1">
        <v>45518</v>
      </c>
      <c r="C413">
        <v>858</v>
      </c>
      <c r="D413">
        <v>40</v>
      </c>
      <c r="E413" t="s">
        <v>24</v>
      </c>
      <c r="F413" t="s">
        <v>63</v>
      </c>
      <c r="G413">
        <v>2</v>
      </c>
      <c r="H413">
        <v>164.11</v>
      </c>
      <c r="I413" t="s">
        <v>26</v>
      </c>
      <c r="J413" t="s">
        <v>189</v>
      </c>
      <c r="L413" t="s">
        <v>17</v>
      </c>
      <c r="M413">
        <v>66</v>
      </c>
      <c r="N413" s="18" t="str">
        <f t="shared" si="18"/>
        <v>60+</v>
      </c>
      <c r="O413" s="12">
        <f t="shared" si="19"/>
        <v>328.22</v>
      </c>
      <c r="P413" s="12">
        <f t="shared" si="20"/>
        <v>98.466000000000008</v>
      </c>
      <c r="X413" s="14" t="s">
        <v>644</v>
      </c>
      <c r="Y413" s="19">
        <v>867.34</v>
      </c>
    </row>
    <row r="414" spans="1:25" x14ac:dyDescent="0.3">
      <c r="A414">
        <v>35088</v>
      </c>
      <c r="B414" s="1">
        <v>45518</v>
      </c>
      <c r="C414">
        <v>157</v>
      </c>
      <c r="D414">
        <v>30</v>
      </c>
      <c r="E414" t="s">
        <v>37</v>
      </c>
      <c r="F414" t="s">
        <v>68</v>
      </c>
      <c r="G414">
        <v>5</v>
      </c>
      <c r="H414">
        <v>305.27999999999997</v>
      </c>
      <c r="I414" t="s">
        <v>26</v>
      </c>
      <c r="J414" t="s">
        <v>327</v>
      </c>
      <c r="L414" t="s">
        <v>21</v>
      </c>
      <c r="M414">
        <v>50</v>
      </c>
      <c r="N414" s="18" t="str">
        <f t="shared" si="18"/>
        <v>46-60</v>
      </c>
      <c r="O414" s="12">
        <f t="shared" si="19"/>
        <v>1526.3999999999999</v>
      </c>
      <c r="P414" s="12">
        <f t="shared" si="20"/>
        <v>457.91999999999996</v>
      </c>
      <c r="X414" s="14" t="s">
        <v>891</v>
      </c>
      <c r="Y414" s="19">
        <v>921.35</v>
      </c>
    </row>
    <row r="415" spans="1:25" x14ac:dyDescent="0.3">
      <c r="A415">
        <v>14303</v>
      </c>
      <c r="B415" s="1">
        <v>45518</v>
      </c>
      <c r="C415">
        <v>332</v>
      </c>
      <c r="D415">
        <v>10</v>
      </c>
      <c r="E415" t="s">
        <v>13</v>
      </c>
      <c r="F415" t="s">
        <v>32</v>
      </c>
      <c r="G415">
        <v>5</v>
      </c>
      <c r="H415">
        <v>425.1</v>
      </c>
      <c r="I415" t="s">
        <v>15</v>
      </c>
      <c r="J415" t="s">
        <v>431</v>
      </c>
      <c r="K415">
        <v>4</v>
      </c>
      <c r="L415" t="s">
        <v>17</v>
      </c>
      <c r="M415">
        <v>51</v>
      </c>
      <c r="N415" s="18" t="str">
        <f t="shared" si="18"/>
        <v>46-60</v>
      </c>
      <c r="O415" s="12">
        <f t="shared" si="19"/>
        <v>2125.5</v>
      </c>
      <c r="P415" s="12">
        <f t="shared" si="20"/>
        <v>637.65</v>
      </c>
      <c r="X415" s="14" t="s">
        <v>416</v>
      </c>
      <c r="Y415" s="19">
        <v>197.28</v>
      </c>
    </row>
    <row r="416" spans="1:25" x14ac:dyDescent="0.3">
      <c r="A416">
        <v>64326</v>
      </c>
      <c r="B416" s="1">
        <v>45519</v>
      </c>
      <c r="C416">
        <v>348</v>
      </c>
      <c r="D416">
        <v>40</v>
      </c>
      <c r="E416" t="s">
        <v>24</v>
      </c>
      <c r="F416" t="s">
        <v>44</v>
      </c>
      <c r="G416">
        <v>5</v>
      </c>
      <c r="H416">
        <v>275.88</v>
      </c>
      <c r="I416" t="s">
        <v>26</v>
      </c>
      <c r="J416" t="s">
        <v>135</v>
      </c>
      <c r="L416" t="s">
        <v>17</v>
      </c>
      <c r="M416">
        <v>63</v>
      </c>
      <c r="N416" s="18" t="str">
        <f t="shared" si="18"/>
        <v>60+</v>
      </c>
      <c r="O416" s="12">
        <f t="shared" si="19"/>
        <v>1379.4</v>
      </c>
      <c r="P416" s="12">
        <f t="shared" si="20"/>
        <v>413.82</v>
      </c>
      <c r="X416" s="14" t="s">
        <v>203</v>
      </c>
      <c r="Y416" s="19">
        <v>1977.28</v>
      </c>
    </row>
    <row r="417" spans="1:25" x14ac:dyDescent="0.3">
      <c r="A417">
        <v>45453</v>
      </c>
      <c r="B417" s="1">
        <v>45519</v>
      </c>
      <c r="C417">
        <v>363</v>
      </c>
      <c r="D417">
        <v>40</v>
      </c>
      <c r="E417" t="s">
        <v>24</v>
      </c>
      <c r="F417" t="s">
        <v>63</v>
      </c>
      <c r="G417">
        <v>3</v>
      </c>
      <c r="H417">
        <v>292.74</v>
      </c>
      <c r="I417" t="s">
        <v>35</v>
      </c>
      <c r="J417" t="s">
        <v>171</v>
      </c>
      <c r="L417" t="s">
        <v>21</v>
      </c>
      <c r="M417">
        <v>63</v>
      </c>
      <c r="N417" s="18" t="str">
        <f t="shared" si="18"/>
        <v>60+</v>
      </c>
      <c r="O417" s="12">
        <f t="shared" si="19"/>
        <v>878.22</v>
      </c>
      <c r="P417" s="12">
        <f t="shared" si="20"/>
        <v>263.46600000000001</v>
      </c>
      <c r="X417" s="14" t="s">
        <v>350</v>
      </c>
      <c r="Y417" s="19">
        <v>828.74</v>
      </c>
    </row>
    <row r="418" spans="1:25" x14ac:dyDescent="0.3">
      <c r="A418">
        <v>35603</v>
      </c>
      <c r="B418" s="1">
        <v>45519</v>
      </c>
      <c r="C418">
        <v>177</v>
      </c>
      <c r="D418">
        <v>40</v>
      </c>
      <c r="E418" t="s">
        <v>24</v>
      </c>
      <c r="F418" t="s">
        <v>25</v>
      </c>
      <c r="G418">
        <v>4</v>
      </c>
      <c r="H418">
        <v>228.81</v>
      </c>
      <c r="I418" t="s">
        <v>26</v>
      </c>
      <c r="J418" t="s">
        <v>200</v>
      </c>
      <c r="K418">
        <v>3</v>
      </c>
      <c r="L418" t="s">
        <v>17</v>
      </c>
      <c r="M418">
        <v>68</v>
      </c>
      <c r="N418" s="18" t="str">
        <f t="shared" si="18"/>
        <v>60+</v>
      </c>
      <c r="O418" s="12">
        <f t="shared" si="19"/>
        <v>915.24</v>
      </c>
      <c r="P418" s="12">
        <f t="shared" si="20"/>
        <v>274.572</v>
      </c>
      <c r="X418" s="14" t="s">
        <v>998</v>
      </c>
      <c r="Y418" s="19">
        <v>1338.72</v>
      </c>
    </row>
    <row r="419" spans="1:25" x14ac:dyDescent="0.3">
      <c r="A419">
        <v>23747</v>
      </c>
      <c r="B419" s="1">
        <v>45519</v>
      </c>
      <c r="C419">
        <v>558</v>
      </c>
      <c r="D419">
        <v>10</v>
      </c>
      <c r="E419" t="s">
        <v>13</v>
      </c>
      <c r="F419" t="s">
        <v>111</v>
      </c>
      <c r="G419">
        <v>1</v>
      </c>
      <c r="H419">
        <v>51.1</v>
      </c>
      <c r="I419" t="s">
        <v>15</v>
      </c>
      <c r="J419" t="s">
        <v>304</v>
      </c>
      <c r="K419">
        <v>2</v>
      </c>
      <c r="M419">
        <v>36</v>
      </c>
      <c r="N419" s="18" t="str">
        <f t="shared" si="18"/>
        <v>31-45</v>
      </c>
      <c r="O419" s="12">
        <f t="shared" si="19"/>
        <v>51.1</v>
      </c>
      <c r="P419" s="12">
        <f t="shared" si="20"/>
        <v>15.33</v>
      </c>
      <c r="X419" s="14" t="s">
        <v>612</v>
      </c>
      <c r="Y419" s="19">
        <v>778.65</v>
      </c>
    </row>
    <row r="420" spans="1:25" x14ac:dyDescent="0.3">
      <c r="A420">
        <v>45326</v>
      </c>
      <c r="B420" s="1">
        <v>45519</v>
      </c>
      <c r="C420">
        <v>714</v>
      </c>
      <c r="D420">
        <v>20</v>
      </c>
      <c r="E420" t="s">
        <v>28</v>
      </c>
      <c r="F420" t="s">
        <v>29</v>
      </c>
      <c r="G420">
        <v>2</v>
      </c>
      <c r="H420">
        <v>329.92</v>
      </c>
      <c r="I420" t="s">
        <v>26</v>
      </c>
      <c r="J420" t="s">
        <v>389</v>
      </c>
      <c r="K420">
        <v>4</v>
      </c>
      <c r="L420" t="s">
        <v>21</v>
      </c>
      <c r="M420">
        <v>41</v>
      </c>
      <c r="N420" s="18" t="str">
        <f t="shared" si="18"/>
        <v>31-45</v>
      </c>
      <c r="O420" s="12">
        <f t="shared" si="19"/>
        <v>659.84</v>
      </c>
      <c r="P420" s="12">
        <f t="shared" si="20"/>
        <v>197.952</v>
      </c>
      <c r="X420" s="14" t="s">
        <v>394</v>
      </c>
      <c r="Y420" s="19">
        <v>624.84</v>
      </c>
    </row>
    <row r="421" spans="1:25" x14ac:dyDescent="0.3">
      <c r="A421">
        <v>63051</v>
      </c>
      <c r="B421" s="1">
        <v>45519</v>
      </c>
      <c r="C421">
        <v>525</v>
      </c>
      <c r="D421">
        <v>50</v>
      </c>
      <c r="E421" t="s">
        <v>18</v>
      </c>
      <c r="F421" t="s">
        <v>84</v>
      </c>
      <c r="G421">
        <v>1</v>
      </c>
      <c r="H421">
        <v>100.18</v>
      </c>
      <c r="I421" t="s">
        <v>35</v>
      </c>
      <c r="J421" t="s">
        <v>443</v>
      </c>
      <c r="K421">
        <v>5</v>
      </c>
      <c r="M421">
        <v>33</v>
      </c>
      <c r="N421" s="18" t="str">
        <f t="shared" si="18"/>
        <v>31-45</v>
      </c>
      <c r="O421" s="12">
        <f t="shared" si="19"/>
        <v>100.18</v>
      </c>
      <c r="P421" s="12">
        <f t="shared" si="20"/>
        <v>30.054000000000002</v>
      </c>
      <c r="X421" s="14" t="s">
        <v>744</v>
      </c>
      <c r="Y421" s="19">
        <v>1916.48</v>
      </c>
    </row>
    <row r="422" spans="1:25" x14ac:dyDescent="0.3">
      <c r="A422">
        <v>37401</v>
      </c>
      <c r="B422" s="1">
        <v>45520</v>
      </c>
      <c r="C422">
        <v>861</v>
      </c>
      <c r="D422">
        <v>50</v>
      </c>
      <c r="E422" t="s">
        <v>18</v>
      </c>
      <c r="F422" t="s">
        <v>19</v>
      </c>
      <c r="G422">
        <v>1</v>
      </c>
      <c r="H422">
        <v>376.51</v>
      </c>
      <c r="I422" t="s">
        <v>15</v>
      </c>
      <c r="J422" t="s">
        <v>86</v>
      </c>
      <c r="L422" t="s">
        <v>17</v>
      </c>
      <c r="M422">
        <v>63</v>
      </c>
      <c r="N422" s="18" t="str">
        <f t="shared" si="18"/>
        <v>60+</v>
      </c>
      <c r="O422" s="12">
        <f t="shared" si="19"/>
        <v>376.51</v>
      </c>
      <c r="P422" s="12">
        <f t="shared" si="20"/>
        <v>112.95299999999999</v>
      </c>
      <c r="X422" s="14" t="s">
        <v>53</v>
      </c>
      <c r="Y422" s="19">
        <v>117.47</v>
      </c>
    </row>
    <row r="423" spans="1:25" x14ac:dyDescent="0.3">
      <c r="A423">
        <v>44592</v>
      </c>
      <c r="B423" s="1">
        <v>45521</v>
      </c>
      <c r="C423">
        <v>909</v>
      </c>
      <c r="D423">
        <v>50</v>
      </c>
      <c r="E423" t="s">
        <v>18</v>
      </c>
      <c r="F423" t="s">
        <v>19</v>
      </c>
      <c r="G423">
        <v>2</v>
      </c>
      <c r="H423">
        <v>414.37</v>
      </c>
      <c r="I423" t="s">
        <v>15</v>
      </c>
      <c r="J423" t="s">
        <v>350</v>
      </c>
      <c r="M423">
        <v>66</v>
      </c>
      <c r="N423" s="18" t="str">
        <f t="shared" si="18"/>
        <v>60+</v>
      </c>
      <c r="O423" s="12">
        <f t="shared" si="19"/>
        <v>828.74</v>
      </c>
      <c r="P423" s="12">
        <f t="shared" si="20"/>
        <v>248.62199999999999</v>
      </c>
      <c r="X423" s="14" t="s">
        <v>363</v>
      </c>
      <c r="Y423" s="19">
        <v>1860.6599999999999</v>
      </c>
    </row>
    <row r="424" spans="1:25" x14ac:dyDescent="0.3">
      <c r="A424">
        <v>41135</v>
      </c>
      <c r="B424" s="1">
        <v>45521</v>
      </c>
      <c r="C424">
        <v>862</v>
      </c>
      <c r="D424">
        <v>30</v>
      </c>
      <c r="E424" t="s">
        <v>37</v>
      </c>
      <c r="F424" t="s">
        <v>68</v>
      </c>
      <c r="G424">
        <v>4</v>
      </c>
      <c r="H424">
        <v>57.84</v>
      </c>
      <c r="I424" t="s">
        <v>35</v>
      </c>
      <c r="J424" t="s">
        <v>490</v>
      </c>
      <c r="K424">
        <v>5</v>
      </c>
      <c r="L424" t="s">
        <v>21</v>
      </c>
      <c r="M424">
        <v>23</v>
      </c>
      <c r="N424" s="18" t="str">
        <f t="shared" si="18"/>
        <v>18-30</v>
      </c>
      <c r="O424" s="12">
        <f t="shared" si="19"/>
        <v>231.36</v>
      </c>
      <c r="P424" s="12">
        <f t="shared" si="20"/>
        <v>69.408000000000001</v>
      </c>
      <c r="X424" s="14" t="s">
        <v>985</v>
      </c>
      <c r="Y424" s="19">
        <v>2700.9</v>
      </c>
    </row>
    <row r="425" spans="1:25" x14ac:dyDescent="0.3">
      <c r="A425">
        <v>27140</v>
      </c>
      <c r="B425" s="1">
        <v>45521</v>
      </c>
      <c r="C425">
        <v>260</v>
      </c>
      <c r="D425">
        <v>20</v>
      </c>
      <c r="E425" t="s">
        <v>28</v>
      </c>
      <c r="F425" t="s">
        <v>77</v>
      </c>
      <c r="G425">
        <v>1</v>
      </c>
      <c r="H425">
        <v>408.63</v>
      </c>
      <c r="I425" t="s">
        <v>15</v>
      </c>
      <c r="J425" t="s">
        <v>514</v>
      </c>
      <c r="K425">
        <v>4</v>
      </c>
      <c r="L425" t="s">
        <v>17</v>
      </c>
      <c r="M425">
        <v>21</v>
      </c>
      <c r="N425" s="18" t="str">
        <f t="shared" si="18"/>
        <v>18-30</v>
      </c>
      <c r="O425" s="12">
        <f t="shared" si="19"/>
        <v>408.63</v>
      </c>
      <c r="P425" s="12">
        <f t="shared" si="20"/>
        <v>122.589</v>
      </c>
      <c r="X425" s="14" t="s">
        <v>870</v>
      </c>
      <c r="Y425" s="19">
        <v>442.84999999999997</v>
      </c>
    </row>
    <row r="426" spans="1:25" x14ac:dyDescent="0.3">
      <c r="A426">
        <v>62597</v>
      </c>
      <c r="B426" s="1">
        <v>45521</v>
      </c>
      <c r="C426">
        <v>828</v>
      </c>
      <c r="D426">
        <v>20</v>
      </c>
      <c r="E426" t="s">
        <v>28</v>
      </c>
      <c r="F426" t="s">
        <v>77</v>
      </c>
      <c r="G426">
        <v>1</v>
      </c>
      <c r="H426">
        <v>132.34</v>
      </c>
      <c r="I426" t="s">
        <v>35</v>
      </c>
      <c r="J426" t="s">
        <v>517</v>
      </c>
      <c r="K426">
        <v>3</v>
      </c>
      <c r="L426" t="s">
        <v>21</v>
      </c>
      <c r="M426">
        <v>54</v>
      </c>
      <c r="N426" s="18" t="str">
        <f t="shared" si="18"/>
        <v>46-60</v>
      </c>
      <c r="O426" s="12">
        <f t="shared" si="19"/>
        <v>132.34</v>
      </c>
      <c r="P426" s="12">
        <f t="shared" si="20"/>
        <v>39.701999999999998</v>
      </c>
      <c r="X426" s="14" t="s">
        <v>611</v>
      </c>
      <c r="Y426" s="19">
        <v>842.2</v>
      </c>
    </row>
    <row r="427" spans="1:25" x14ac:dyDescent="0.3">
      <c r="A427">
        <v>78206</v>
      </c>
      <c r="B427" s="1">
        <v>45521</v>
      </c>
      <c r="C427">
        <v>610</v>
      </c>
      <c r="D427">
        <v>30</v>
      </c>
      <c r="E427" t="s">
        <v>37</v>
      </c>
      <c r="F427" t="s">
        <v>58</v>
      </c>
      <c r="G427">
        <v>5</v>
      </c>
      <c r="H427">
        <v>212.85</v>
      </c>
      <c r="I427" t="s">
        <v>35</v>
      </c>
      <c r="J427" t="s">
        <v>619</v>
      </c>
      <c r="K427">
        <v>1</v>
      </c>
      <c r="L427" t="s">
        <v>21</v>
      </c>
      <c r="M427">
        <v>18</v>
      </c>
      <c r="N427" s="18" t="str">
        <f t="shared" si="18"/>
        <v>18-30</v>
      </c>
      <c r="O427" s="12">
        <f t="shared" si="19"/>
        <v>1064.25</v>
      </c>
      <c r="P427" s="12">
        <f t="shared" si="20"/>
        <v>319.27499999999998</v>
      </c>
      <c r="X427" s="14" t="s">
        <v>616</v>
      </c>
      <c r="Y427" s="19">
        <v>324.51</v>
      </c>
    </row>
    <row r="428" spans="1:25" x14ac:dyDescent="0.3">
      <c r="A428">
        <v>90329</v>
      </c>
      <c r="B428" s="1">
        <v>45521</v>
      </c>
      <c r="C428">
        <v>114</v>
      </c>
      <c r="D428">
        <v>30</v>
      </c>
      <c r="E428" t="s">
        <v>37</v>
      </c>
      <c r="F428" t="s">
        <v>40</v>
      </c>
      <c r="G428">
        <v>4</v>
      </c>
      <c r="H428">
        <v>379.26</v>
      </c>
      <c r="I428" t="s">
        <v>15</v>
      </c>
      <c r="J428" t="s">
        <v>718</v>
      </c>
      <c r="K428">
        <v>3</v>
      </c>
      <c r="L428" t="s">
        <v>17</v>
      </c>
      <c r="M428">
        <v>49</v>
      </c>
      <c r="N428" s="18" t="str">
        <f t="shared" si="18"/>
        <v>46-60</v>
      </c>
      <c r="O428" s="12">
        <f t="shared" si="19"/>
        <v>1517.04</v>
      </c>
      <c r="P428" s="12">
        <f t="shared" si="20"/>
        <v>455.11199999999997</v>
      </c>
      <c r="X428" s="14" t="s">
        <v>592</v>
      </c>
      <c r="Y428" s="19">
        <v>187.60000000000002</v>
      </c>
    </row>
    <row r="429" spans="1:25" x14ac:dyDescent="0.3">
      <c r="A429">
        <v>19180</v>
      </c>
      <c r="B429" s="1">
        <v>45521</v>
      </c>
      <c r="C429">
        <v>427</v>
      </c>
      <c r="D429">
        <v>30</v>
      </c>
      <c r="E429" t="s">
        <v>37</v>
      </c>
      <c r="F429" t="s">
        <v>38</v>
      </c>
      <c r="G429">
        <v>2</v>
      </c>
      <c r="H429">
        <v>351.84</v>
      </c>
      <c r="I429" t="s">
        <v>26</v>
      </c>
      <c r="J429" t="s">
        <v>781</v>
      </c>
      <c r="K429">
        <v>1</v>
      </c>
      <c r="L429" t="s">
        <v>17</v>
      </c>
      <c r="M429">
        <v>50</v>
      </c>
      <c r="N429" s="18" t="str">
        <f t="shared" si="18"/>
        <v>46-60</v>
      </c>
      <c r="O429" s="12">
        <f t="shared" si="19"/>
        <v>703.68</v>
      </c>
      <c r="P429" s="12">
        <f t="shared" si="20"/>
        <v>211.10399999999998</v>
      </c>
      <c r="X429" s="14" t="s">
        <v>729</v>
      </c>
      <c r="Y429" s="19">
        <v>552.22</v>
      </c>
    </row>
    <row r="430" spans="1:25" x14ac:dyDescent="0.3">
      <c r="A430">
        <v>56744</v>
      </c>
      <c r="B430" s="1">
        <v>45521</v>
      </c>
      <c r="C430">
        <v>798</v>
      </c>
      <c r="D430">
        <v>50</v>
      </c>
      <c r="E430" t="s">
        <v>18</v>
      </c>
      <c r="F430" t="s">
        <v>19</v>
      </c>
      <c r="G430">
        <v>5</v>
      </c>
      <c r="H430">
        <v>301.66000000000003</v>
      </c>
      <c r="I430" t="s">
        <v>26</v>
      </c>
      <c r="J430" t="s">
        <v>893</v>
      </c>
      <c r="L430" t="s">
        <v>17</v>
      </c>
      <c r="M430">
        <v>27</v>
      </c>
      <c r="N430" s="18" t="str">
        <f t="shared" si="18"/>
        <v>18-30</v>
      </c>
      <c r="O430" s="12">
        <f t="shared" si="19"/>
        <v>1508.3000000000002</v>
      </c>
      <c r="P430" s="12">
        <f t="shared" si="20"/>
        <v>452.49000000000007</v>
      </c>
      <c r="X430" s="14" t="s">
        <v>528</v>
      </c>
      <c r="Y430" s="19">
        <v>2051.9</v>
      </c>
    </row>
    <row r="431" spans="1:25" x14ac:dyDescent="0.3">
      <c r="A431">
        <v>99414</v>
      </c>
      <c r="B431" s="1">
        <v>45521</v>
      </c>
      <c r="C431">
        <v>186</v>
      </c>
      <c r="D431">
        <v>20</v>
      </c>
      <c r="E431" t="s">
        <v>28</v>
      </c>
      <c r="F431" t="s">
        <v>77</v>
      </c>
      <c r="G431">
        <v>4</v>
      </c>
      <c r="H431">
        <v>365.04</v>
      </c>
      <c r="I431" t="s">
        <v>26</v>
      </c>
      <c r="J431" t="s">
        <v>978</v>
      </c>
      <c r="K431">
        <v>3</v>
      </c>
      <c r="L431" t="s">
        <v>17</v>
      </c>
      <c r="M431">
        <v>55</v>
      </c>
      <c r="N431" s="18" t="str">
        <f t="shared" si="18"/>
        <v>46-60</v>
      </c>
      <c r="O431" s="12">
        <f t="shared" si="19"/>
        <v>1460.16</v>
      </c>
      <c r="P431" s="12">
        <f t="shared" si="20"/>
        <v>438.048</v>
      </c>
      <c r="X431" s="14" t="s">
        <v>560</v>
      </c>
      <c r="Y431" s="19">
        <v>108.6</v>
      </c>
    </row>
    <row r="432" spans="1:25" x14ac:dyDescent="0.3">
      <c r="A432">
        <v>49509</v>
      </c>
      <c r="B432" s="1">
        <v>45522</v>
      </c>
      <c r="C432">
        <v>508</v>
      </c>
      <c r="D432">
        <v>10</v>
      </c>
      <c r="E432" t="s">
        <v>13</v>
      </c>
      <c r="F432" t="s">
        <v>111</v>
      </c>
      <c r="G432">
        <v>1</v>
      </c>
      <c r="H432">
        <v>194.81</v>
      </c>
      <c r="I432" t="s">
        <v>35</v>
      </c>
      <c r="J432" t="s">
        <v>432</v>
      </c>
      <c r="K432">
        <v>5</v>
      </c>
      <c r="L432" t="s">
        <v>17</v>
      </c>
      <c r="M432">
        <v>58</v>
      </c>
      <c r="N432" s="18" t="str">
        <f t="shared" si="18"/>
        <v>46-60</v>
      </c>
      <c r="O432" s="12">
        <f t="shared" si="19"/>
        <v>194.81</v>
      </c>
      <c r="P432" s="12">
        <f t="shared" si="20"/>
        <v>58.442999999999998</v>
      </c>
      <c r="X432" s="14" t="s">
        <v>128</v>
      </c>
      <c r="Y432" s="19">
        <v>69.22</v>
      </c>
    </row>
    <row r="433" spans="1:25" x14ac:dyDescent="0.3">
      <c r="A433">
        <v>33753</v>
      </c>
      <c r="B433" s="1">
        <v>45522</v>
      </c>
      <c r="C433">
        <v>531</v>
      </c>
      <c r="D433">
        <v>50</v>
      </c>
      <c r="E433" t="s">
        <v>18</v>
      </c>
      <c r="F433" t="s">
        <v>19</v>
      </c>
      <c r="G433">
        <v>3</v>
      </c>
      <c r="H433">
        <v>477.5</v>
      </c>
      <c r="I433" t="s">
        <v>15</v>
      </c>
      <c r="J433" t="s">
        <v>556</v>
      </c>
      <c r="K433">
        <v>5</v>
      </c>
      <c r="L433" t="s">
        <v>17</v>
      </c>
      <c r="M433">
        <v>56</v>
      </c>
      <c r="N433" s="18" t="str">
        <f t="shared" si="18"/>
        <v>46-60</v>
      </c>
      <c r="O433" s="12">
        <f t="shared" si="19"/>
        <v>1432.5</v>
      </c>
      <c r="P433" s="12">
        <f t="shared" si="20"/>
        <v>429.75</v>
      </c>
      <c r="X433" s="14" t="s">
        <v>177</v>
      </c>
      <c r="Y433" s="19">
        <v>480.52</v>
      </c>
    </row>
    <row r="434" spans="1:25" x14ac:dyDescent="0.3">
      <c r="A434">
        <v>54627</v>
      </c>
      <c r="B434" s="1">
        <v>45522</v>
      </c>
      <c r="C434">
        <v>297</v>
      </c>
      <c r="D434">
        <v>30</v>
      </c>
      <c r="E434" t="s">
        <v>37</v>
      </c>
      <c r="F434" t="s">
        <v>95</v>
      </c>
      <c r="G434">
        <v>1</v>
      </c>
      <c r="H434">
        <v>52.33</v>
      </c>
      <c r="I434" t="s">
        <v>26</v>
      </c>
      <c r="J434" t="s">
        <v>557</v>
      </c>
      <c r="L434" t="s">
        <v>21</v>
      </c>
      <c r="M434">
        <v>42</v>
      </c>
      <c r="N434" s="18" t="str">
        <f t="shared" si="18"/>
        <v>31-45</v>
      </c>
      <c r="O434" s="12">
        <f t="shared" si="19"/>
        <v>52.33</v>
      </c>
      <c r="P434" s="12">
        <f t="shared" si="20"/>
        <v>15.698999999999998</v>
      </c>
      <c r="X434" s="14" t="s">
        <v>578</v>
      </c>
      <c r="Y434" s="19">
        <v>1851.28</v>
      </c>
    </row>
    <row r="435" spans="1:25" x14ac:dyDescent="0.3">
      <c r="A435">
        <v>99026</v>
      </c>
      <c r="B435" s="1">
        <v>45522</v>
      </c>
      <c r="C435">
        <v>665</v>
      </c>
      <c r="D435">
        <v>20</v>
      </c>
      <c r="E435" t="s">
        <v>28</v>
      </c>
      <c r="F435" t="s">
        <v>29</v>
      </c>
      <c r="G435">
        <v>5</v>
      </c>
      <c r="H435">
        <v>470.2</v>
      </c>
      <c r="I435" t="s">
        <v>15</v>
      </c>
      <c r="J435" t="s">
        <v>760</v>
      </c>
      <c r="K435">
        <v>1</v>
      </c>
      <c r="L435" t="s">
        <v>17</v>
      </c>
      <c r="M435">
        <v>34</v>
      </c>
      <c r="N435" s="18" t="str">
        <f t="shared" si="18"/>
        <v>31-45</v>
      </c>
      <c r="O435" s="12">
        <f t="shared" si="19"/>
        <v>2351</v>
      </c>
      <c r="P435" s="12">
        <f t="shared" si="20"/>
        <v>705.3</v>
      </c>
      <c r="X435" s="14" t="s">
        <v>506</v>
      </c>
      <c r="Y435" s="19">
        <v>357.97</v>
      </c>
    </row>
    <row r="436" spans="1:25" x14ac:dyDescent="0.3">
      <c r="A436">
        <v>21731</v>
      </c>
      <c r="B436" s="1">
        <v>45523</v>
      </c>
      <c r="C436">
        <v>206</v>
      </c>
      <c r="D436">
        <v>50</v>
      </c>
      <c r="E436" t="s">
        <v>18</v>
      </c>
      <c r="F436" t="s">
        <v>22</v>
      </c>
      <c r="G436">
        <v>5</v>
      </c>
      <c r="H436">
        <v>22.86</v>
      </c>
      <c r="I436" t="s">
        <v>35</v>
      </c>
      <c r="J436" t="s">
        <v>258</v>
      </c>
      <c r="K436">
        <v>5</v>
      </c>
      <c r="L436" t="s">
        <v>21</v>
      </c>
      <c r="M436">
        <v>34</v>
      </c>
      <c r="N436" s="18" t="str">
        <f t="shared" si="18"/>
        <v>31-45</v>
      </c>
      <c r="O436" s="12">
        <f t="shared" si="19"/>
        <v>114.3</v>
      </c>
      <c r="P436" s="12">
        <f t="shared" si="20"/>
        <v>34.29</v>
      </c>
      <c r="X436" s="14" t="s">
        <v>684</v>
      </c>
      <c r="Y436" s="19">
        <v>176.73</v>
      </c>
    </row>
    <row r="437" spans="1:25" x14ac:dyDescent="0.3">
      <c r="A437">
        <v>23420</v>
      </c>
      <c r="B437" s="1">
        <v>45523</v>
      </c>
      <c r="C437">
        <v>508</v>
      </c>
      <c r="D437">
        <v>20</v>
      </c>
      <c r="E437" t="s">
        <v>28</v>
      </c>
      <c r="F437" t="s">
        <v>51</v>
      </c>
      <c r="G437">
        <v>4</v>
      </c>
      <c r="H437">
        <v>498.66</v>
      </c>
      <c r="I437" t="s">
        <v>15</v>
      </c>
      <c r="J437" t="s">
        <v>478</v>
      </c>
      <c r="K437">
        <v>5</v>
      </c>
      <c r="L437" t="s">
        <v>17</v>
      </c>
      <c r="M437">
        <v>56</v>
      </c>
      <c r="N437" s="18" t="str">
        <f t="shared" si="18"/>
        <v>46-60</v>
      </c>
      <c r="O437" s="12">
        <f t="shared" si="19"/>
        <v>1994.64</v>
      </c>
      <c r="P437" s="12">
        <f t="shared" si="20"/>
        <v>598.39200000000005</v>
      </c>
      <c r="X437" s="14" t="s">
        <v>940</v>
      </c>
      <c r="Y437" s="19">
        <v>948.6</v>
      </c>
    </row>
    <row r="438" spans="1:25" x14ac:dyDescent="0.3">
      <c r="A438">
        <v>70317</v>
      </c>
      <c r="B438" s="1">
        <v>45524</v>
      </c>
      <c r="C438">
        <v>151</v>
      </c>
      <c r="D438">
        <v>30</v>
      </c>
      <c r="E438" t="s">
        <v>37</v>
      </c>
      <c r="F438" t="s">
        <v>95</v>
      </c>
      <c r="G438">
        <v>1</v>
      </c>
      <c r="H438">
        <v>357.67</v>
      </c>
      <c r="I438" t="s">
        <v>35</v>
      </c>
      <c r="J438" t="s">
        <v>338</v>
      </c>
      <c r="K438">
        <v>4</v>
      </c>
      <c r="L438" t="s">
        <v>17</v>
      </c>
      <c r="M438">
        <v>27</v>
      </c>
      <c r="N438" s="18" t="str">
        <f t="shared" si="18"/>
        <v>18-30</v>
      </c>
      <c r="O438" s="12">
        <f t="shared" si="19"/>
        <v>357.67</v>
      </c>
      <c r="P438" s="12">
        <f t="shared" si="20"/>
        <v>107.301</v>
      </c>
      <c r="X438" s="14" t="s">
        <v>263</v>
      </c>
      <c r="Y438" s="19">
        <v>344.92</v>
      </c>
    </row>
    <row r="439" spans="1:25" x14ac:dyDescent="0.3">
      <c r="A439">
        <v>60024</v>
      </c>
      <c r="B439" s="1">
        <v>45525</v>
      </c>
      <c r="C439">
        <v>643</v>
      </c>
      <c r="D439">
        <v>50</v>
      </c>
      <c r="E439" t="s">
        <v>18</v>
      </c>
      <c r="F439" t="s">
        <v>34</v>
      </c>
      <c r="G439">
        <v>5</v>
      </c>
      <c r="H439">
        <v>234.44</v>
      </c>
      <c r="I439" t="s">
        <v>15</v>
      </c>
      <c r="J439" t="s">
        <v>244</v>
      </c>
      <c r="L439" t="s">
        <v>17</v>
      </c>
      <c r="M439">
        <v>71</v>
      </c>
      <c r="N439" s="18" t="str">
        <f t="shared" si="18"/>
        <v>60+</v>
      </c>
      <c r="O439" s="12">
        <f t="shared" si="19"/>
        <v>1172.2</v>
      </c>
      <c r="P439" s="12">
        <f t="shared" si="20"/>
        <v>351.66</v>
      </c>
      <c r="X439" s="14" t="s">
        <v>997</v>
      </c>
      <c r="Y439" s="19">
        <v>1948.84</v>
      </c>
    </row>
    <row r="440" spans="1:25" x14ac:dyDescent="0.3">
      <c r="A440">
        <v>72471</v>
      </c>
      <c r="B440" s="1">
        <v>45526</v>
      </c>
      <c r="C440">
        <v>557</v>
      </c>
      <c r="D440">
        <v>30</v>
      </c>
      <c r="E440" t="s">
        <v>37</v>
      </c>
      <c r="F440" t="s">
        <v>38</v>
      </c>
      <c r="G440">
        <v>3</v>
      </c>
      <c r="H440">
        <v>116.13</v>
      </c>
      <c r="I440" t="s">
        <v>35</v>
      </c>
      <c r="J440" t="s">
        <v>774</v>
      </c>
      <c r="K440">
        <v>5</v>
      </c>
      <c r="L440" t="s">
        <v>17</v>
      </c>
      <c r="M440">
        <v>69</v>
      </c>
      <c r="N440" s="18" t="str">
        <f t="shared" si="18"/>
        <v>60+</v>
      </c>
      <c r="O440" s="12">
        <f t="shared" si="19"/>
        <v>348.39</v>
      </c>
      <c r="P440" s="12">
        <f t="shared" si="20"/>
        <v>104.517</v>
      </c>
      <c r="X440" s="14" t="s">
        <v>193</v>
      </c>
      <c r="Y440" s="19">
        <v>1947.36</v>
      </c>
    </row>
    <row r="441" spans="1:25" x14ac:dyDescent="0.3">
      <c r="A441">
        <v>32285</v>
      </c>
      <c r="B441" s="1">
        <v>45527</v>
      </c>
      <c r="C441">
        <v>978</v>
      </c>
      <c r="D441">
        <v>10</v>
      </c>
      <c r="E441" t="s">
        <v>13</v>
      </c>
      <c r="F441" t="s">
        <v>47</v>
      </c>
      <c r="G441">
        <v>1</v>
      </c>
      <c r="H441">
        <v>127.53</v>
      </c>
      <c r="I441" t="s">
        <v>35</v>
      </c>
      <c r="J441" t="s">
        <v>176</v>
      </c>
      <c r="L441" t="s">
        <v>21</v>
      </c>
      <c r="M441">
        <v>43</v>
      </c>
      <c r="N441" s="18" t="str">
        <f t="shared" si="18"/>
        <v>31-45</v>
      </c>
      <c r="O441" s="12">
        <f t="shared" si="19"/>
        <v>127.53</v>
      </c>
      <c r="P441" s="12">
        <f t="shared" si="20"/>
        <v>38.259</v>
      </c>
      <c r="X441" s="14" t="s">
        <v>672</v>
      </c>
      <c r="Y441" s="19">
        <v>739.4</v>
      </c>
    </row>
    <row r="442" spans="1:25" x14ac:dyDescent="0.3">
      <c r="A442">
        <v>61294</v>
      </c>
      <c r="B442" s="1">
        <v>45527</v>
      </c>
      <c r="C442">
        <v>645</v>
      </c>
      <c r="D442">
        <v>40</v>
      </c>
      <c r="E442" t="s">
        <v>24</v>
      </c>
      <c r="F442" t="s">
        <v>65</v>
      </c>
      <c r="G442">
        <v>2</v>
      </c>
      <c r="H442">
        <v>229.57</v>
      </c>
      <c r="I442" t="s">
        <v>26</v>
      </c>
      <c r="J442" t="s">
        <v>700</v>
      </c>
      <c r="K442">
        <v>4</v>
      </c>
      <c r="L442" t="s">
        <v>21</v>
      </c>
      <c r="M442">
        <v>38</v>
      </c>
      <c r="N442" s="18" t="str">
        <f t="shared" si="18"/>
        <v>31-45</v>
      </c>
      <c r="O442" s="12">
        <f t="shared" si="19"/>
        <v>459.14</v>
      </c>
      <c r="P442" s="12">
        <f t="shared" si="20"/>
        <v>137.74199999999999</v>
      </c>
      <c r="X442" s="14" t="s">
        <v>795</v>
      </c>
      <c r="Y442" s="19">
        <v>675.3</v>
      </c>
    </row>
    <row r="443" spans="1:25" x14ac:dyDescent="0.3">
      <c r="A443">
        <v>24147</v>
      </c>
      <c r="B443" s="1">
        <v>45527</v>
      </c>
      <c r="C443">
        <v>568</v>
      </c>
      <c r="D443">
        <v>30</v>
      </c>
      <c r="E443" t="s">
        <v>37</v>
      </c>
      <c r="F443" t="s">
        <v>95</v>
      </c>
      <c r="G443">
        <v>1</v>
      </c>
      <c r="H443">
        <v>268.26</v>
      </c>
      <c r="I443" t="s">
        <v>35</v>
      </c>
      <c r="J443" t="s">
        <v>958</v>
      </c>
      <c r="K443">
        <v>1</v>
      </c>
      <c r="L443" t="s">
        <v>21</v>
      </c>
      <c r="M443">
        <v>29</v>
      </c>
      <c r="N443" s="18" t="str">
        <f t="shared" si="18"/>
        <v>18-30</v>
      </c>
      <c r="O443" s="12">
        <f t="shared" si="19"/>
        <v>268.26</v>
      </c>
      <c r="P443" s="12">
        <f t="shared" si="20"/>
        <v>80.477999999999994</v>
      </c>
      <c r="X443" s="14" t="s">
        <v>543</v>
      </c>
      <c r="Y443" s="19">
        <v>545.66</v>
      </c>
    </row>
    <row r="444" spans="1:25" x14ac:dyDescent="0.3">
      <c r="A444">
        <v>82916</v>
      </c>
      <c r="B444" s="1">
        <v>45528</v>
      </c>
      <c r="C444">
        <v>180</v>
      </c>
      <c r="D444">
        <v>30</v>
      </c>
      <c r="E444" t="s">
        <v>37</v>
      </c>
      <c r="F444" t="s">
        <v>40</v>
      </c>
      <c r="G444">
        <v>1</v>
      </c>
      <c r="H444">
        <v>375.92</v>
      </c>
      <c r="I444" t="s">
        <v>26</v>
      </c>
      <c r="J444" t="s">
        <v>209</v>
      </c>
      <c r="K444">
        <v>5</v>
      </c>
      <c r="L444" t="s">
        <v>17</v>
      </c>
      <c r="M444">
        <v>73</v>
      </c>
      <c r="N444" s="18" t="str">
        <f t="shared" si="18"/>
        <v>60+</v>
      </c>
      <c r="O444" s="12">
        <f t="shared" si="19"/>
        <v>375.92</v>
      </c>
      <c r="P444" s="12">
        <f t="shared" si="20"/>
        <v>112.776</v>
      </c>
      <c r="X444" s="14" t="s">
        <v>81</v>
      </c>
      <c r="Y444" s="19">
        <v>1939.24</v>
      </c>
    </row>
    <row r="445" spans="1:25" x14ac:dyDescent="0.3">
      <c r="A445">
        <v>25309</v>
      </c>
      <c r="B445" s="1">
        <v>45528</v>
      </c>
      <c r="C445">
        <v>977</v>
      </c>
      <c r="D445">
        <v>40</v>
      </c>
      <c r="E445" t="s">
        <v>24</v>
      </c>
      <c r="F445" t="s">
        <v>25</v>
      </c>
      <c r="G445">
        <v>3</v>
      </c>
      <c r="H445">
        <v>368.91</v>
      </c>
      <c r="I445" t="s">
        <v>35</v>
      </c>
      <c r="J445" t="s">
        <v>559</v>
      </c>
      <c r="K445">
        <v>5</v>
      </c>
      <c r="L445" t="s">
        <v>21</v>
      </c>
      <c r="M445">
        <v>52</v>
      </c>
      <c r="N445" s="18" t="str">
        <f t="shared" si="18"/>
        <v>46-60</v>
      </c>
      <c r="O445" s="12">
        <f t="shared" si="19"/>
        <v>1106.73</v>
      </c>
      <c r="P445" s="12">
        <f t="shared" si="20"/>
        <v>332.01900000000001</v>
      </c>
      <c r="X445" s="14" t="s">
        <v>821</v>
      </c>
      <c r="Y445" s="19">
        <v>1274</v>
      </c>
    </row>
    <row r="446" spans="1:25" x14ac:dyDescent="0.3">
      <c r="A446">
        <v>42991</v>
      </c>
      <c r="B446" s="1">
        <v>45528</v>
      </c>
      <c r="C446">
        <v>144</v>
      </c>
      <c r="D446">
        <v>30</v>
      </c>
      <c r="E446" t="s">
        <v>37</v>
      </c>
      <c r="F446" t="s">
        <v>68</v>
      </c>
      <c r="G446">
        <v>1</v>
      </c>
      <c r="H446">
        <v>261.60000000000002</v>
      </c>
      <c r="I446" t="s">
        <v>35</v>
      </c>
      <c r="J446" t="s">
        <v>572</v>
      </c>
      <c r="K446">
        <v>2</v>
      </c>
      <c r="L446" t="s">
        <v>17</v>
      </c>
      <c r="M446">
        <v>44</v>
      </c>
      <c r="N446" s="18" t="str">
        <f t="shared" si="18"/>
        <v>31-45</v>
      </c>
      <c r="O446" s="12">
        <f t="shared" si="19"/>
        <v>261.60000000000002</v>
      </c>
      <c r="P446" s="12">
        <f t="shared" si="20"/>
        <v>78.48</v>
      </c>
      <c r="X446" s="14" t="s">
        <v>696</v>
      </c>
      <c r="Y446" s="19">
        <v>1263.3899999999999</v>
      </c>
    </row>
    <row r="447" spans="1:25" x14ac:dyDescent="0.3">
      <c r="A447">
        <v>99265</v>
      </c>
      <c r="B447" s="1">
        <v>45528</v>
      </c>
      <c r="C447">
        <v>532</v>
      </c>
      <c r="D447">
        <v>10</v>
      </c>
      <c r="E447" t="s">
        <v>13</v>
      </c>
      <c r="F447" t="s">
        <v>42</v>
      </c>
      <c r="G447">
        <v>5</v>
      </c>
      <c r="H447">
        <v>266.04000000000002</v>
      </c>
      <c r="I447" t="s">
        <v>35</v>
      </c>
      <c r="J447" t="s">
        <v>785</v>
      </c>
      <c r="L447" t="s">
        <v>17</v>
      </c>
      <c r="M447">
        <v>43</v>
      </c>
      <c r="N447" s="18" t="str">
        <f t="shared" si="18"/>
        <v>31-45</v>
      </c>
      <c r="O447" s="12">
        <f t="shared" si="19"/>
        <v>1330.2</v>
      </c>
      <c r="P447" s="12">
        <f t="shared" si="20"/>
        <v>399.06</v>
      </c>
      <c r="X447" s="14" t="s">
        <v>678</v>
      </c>
      <c r="Y447" s="19">
        <v>1086.5999999999999</v>
      </c>
    </row>
    <row r="448" spans="1:25" x14ac:dyDescent="0.3">
      <c r="A448">
        <v>73481</v>
      </c>
      <c r="B448" s="1">
        <v>45528</v>
      </c>
      <c r="C448">
        <v>538</v>
      </c>
      <c r="D448">
        <v>30</v>
      </c>
      <c r="E448" t="s">
        <v>37</v>
      </c>
      <c r="F448" t="s">
        <v>38</v>
      </c>
      <c r="G448">
        <v>4</v>
      </c>
      <c r="H448">
        <v>197.51</v>
      </c>
      <c r="I448" t="s">
        <v>15</v>
      </c>
      <c r="J448" t="s">
        <v>805</v>
      </c>
      <c r="K448">
        <v>5</v>
      </c>
      <c r="L448" t="s">
        <v>21</v>
      </c>
      <c r="M448">
        <v>22</v>
      </c>
      <c r="N448" s="18" t="str">
        <f t="shared" si="18"/>
        <v>18-30</v>
      </c>
      <c r="O448" s="12">
        <f t="shared" si="19"/>
        <v>790.04</v>
      </c>
      <c r="P448" s="12">
        <f t="shared" si="20"/>
        <v>237.01199999999997</v>
      </c>
      <c r="X448" s="14" t="s">
        <v>774</v>
      </c>
      <c r="Y448" s="19">
        <v>348.39</v>
      </c>
    </row>
    <row r="449" spans="1:25" x14ac:dyDescent="0.3">
      <c r="A449">
        <v>45719</v>
      </c>
      <c r="B449" s="1">
        <v>45529</v>
      </c>
      <c r="C449">
        <v>329</v>
      </c>
      <c r="D449">
        <v>40</v>
      </c>
      <c r="E449" t="s">
        <v>24</v>
      </c>
      <c r="F449" t="s">
        <v>65</v>
      </c>
      <c r="G449">
        <v>3</v>
      </c>
      <c r="H449">
        <v>348.31</v>
      </c>
      <c r="I449" t="s">
        <v>15</v>
      </c>
      <c r="J449" t="s">
        <v>487</v>
      </c>
      <c r="K449">
        <v>3</v>
      </c>
      <c r="L449" t="s">
        <v>21</v>
      </c>
      <c r="M449">
        <v>26</v>
      </c>
      <c r="N449" s="18" t="str">
        <f t="shared" si="18"/>
        <v>18-30</v>
      </c>
      <c r="O449" s="12">
        <f t="shared" si="19"/>
        <v>1044.93</v>
      </c>
      <c r="P449" s="12">
        <f t="shared" si="20"/>
        <v>313.47899999999998</v>
      </c>
      <c r="X449" s="14" t="s">
        <v>113</v>
      </c>
      <c r="Y449" s="19">
        <v>470.23</v>
      </c>
    </row>
    <row r="450" spans="1:25" x14ac:dyDescent="0.3">
      <c r="A450">
        <v>56269</v>
      </c>
      <c r="B450" s="1">
        <v>45529</v>
      </c>
      <c r="C450">
        <v>575</v>
      </c>
      <c r="D450">
        <v>30</v>
      </c>
      <c r="E450" t="s">
        <v>37</v>
      </c>
      <c r="F450" t="s">
        <v>95</v>
      </c>
      <c r="G450">
        <v>5</v>
      </c>
      <c r="H450">
        <v>155.72999999999999</v>
      </c>
      <c r="I450" t="s">
        <v>15</v>
      </c>
      <c r="J450" t="s">
        <v>612</v>
      </c>
      <c r="L450" t="s">
        <v>17</v>
      </c>
      <c r="M450">
        <v>57</v>
      </c>
      <c r="N450" s="18" t="str">
        <f t="shared" si="18"/>
        <v>46-60</v>
      </c>
      <c r="O450" s="12">
        <f t="shared" si="19"/>
        <v>778.65</v>
      </c>
      <c r="P450" s="12">
        <f t="shared" si="20"/>
        <v>233.59499999999997</v>
      </c>
      <c r="X450" s="14" t="s">
        <v>281</v>
      </c>
      <c r="Y450" s="19">
        <v>150.08000000000001</v>
      </c>
    </row>
    <row r="451" spans="1:25" x14ac:dyDescent="0.3">
      <c r="A451">
        <v>98186</v>
      </c>
      <c r="B451" s="1">
        <v>45529</v>
      </c>
      <c r="C451">
        <v>606</v>
      </c>
      <c r="D451">
        <v>50</v>
      </c>
      <c r="E451" t="s">
        <v>18</v>
      </c>
      <c r="F451" t="s">
        <v>84</v>
      </c>
      <c r="G451">
        <v>1</v>
      </c>
      <c r="H451">
        <v>134.35</v>
      </c>
      <c r="I451" t="s">
        <v>26</v>
      </c>
      <c r="J451" t="s">
        <v>686</v>
      </c>
      <c r="K451">
        <v>4</v>
      </c>
      <c r="L451" t="s">
        <v>17</v>
      </c>
      <c r="M451">
        <v>47</v>
      </c>
      <c r="N451" s="18" t="str">
        <f t="shared" ref="N451:N514" si="21">IF(M451&lt;=30,"18-30",IF(M451&lt;=45,"31-45",IF(M451&lt;=60,"46-60","60+")))</f>
        <v>46-60</v>
      </c>
      <c r="O451" s="12">
        <f t="shared" ref="O451:O514" si="22">H451*G451</f>
        <v>134.35</v>
      </c>
      <c r="P451" s="12">
        <f t="shared" ref="P451:P514" si="23">O451*0.3</f>
        <v>40.305</v>
      </c>
      <c r="X451" s="14" t="s">
        <v>285</v>
      </c>
      <c r="Y451" s="19">
        <v>419.6</v>
      </c>
    </row>
    <row r="452" spans="1:25" x14ac:dyDescent="0.3">
      <c r="A452">
        <v>47335</v>
      </c>
      <c r="B452" s="1">
        <v>45529</v>
      </c>
      <c r="C452">
        <v>776</v>
      </c>
      <c r="D452">
        <v>10</v>
      </c>
      <c r="E452" t="s">
        <v>13</v>
      </c>
      <c r="F452" t="s">
        <v>32</v>
      </c>
      <c r="G452">
        <v>5</v>
      </c>
      <c r="H452">
        <v>310.77999999999997</v>
      </c>
      <c r="I452" t="s">
        <v>35</v>
      </c>
      <c r="J452" t="s">
        <v>141</v>
      </c>
      <c r="K452">
        <v>5</v>
      </c>
      <c r="L452" t="s">
        <v>17</v>
      </c>
      <c r="M452">
        <v>49</v>
      </c>
      <c r="N452" s="18" t="str">
        <f t="shared" si="21"/>
        <v>46-60</v>
      </c>
      <c r="O452" s="12">
        <f t="shared" si="22"/>
        <v>1553.8999999999999</v>
      </c>
      <c r="P452" s="12">
        <f t="shared" si="23"/>
        <v>466.16999999999996</v>
      </c>
      <c r="X452" s="14" t="s">
        <v>93</v>
      </c>
      <c r="Y452" s="19">
        <v>234.56</v>
      </c>
    </row>
    <row r="453" spans="1:25" x14ac:dyDescent="0.3">
      <c r="A453">
        <v>83687</v>
      </c>
      <c r="B453" s="1">
        <v>45530</v>
      </c>
      <c r="C453">
        <v>115</v>
      </c>
      <c r="D453">
        <v>50</v>
      </c>
      <c r="E453" t="s">
        <v>18</v>
      </c>
      <c r="F453" t="s">
        <v>22</v>
      </c>
      <c r="G453">
        <v>5</v>
      </c>
      <c r="H453">
        <v>475.89</v>
      </c>
      <c r="I453" t="s">
        <v>35</v>
      </c>
      <c r="J453" t="s">
        <v>184</v>
      </c>
      <c r="K453">
        <v>5</v>
      </c>
      <c r="L453" t="s">
        <v>17</v>
      </c>
      <c r="M453">
        <v>52</v>
      </c>
      <c r="N453" s="18" t="str">
        <f t="shared" si="21"/>
        <v>46-60</v>
      </c>
      <c r="O453" s="12">
        <f t="shared" si="22"/>
        <v>2379.4499999999998</v>
      </c>
      <c r="P453" s="12">
        <f t="shared" si="23"/>
        <v>713.83499999999992</v>
      </c>
      <c r="X453" s="14" t="s">
        <v>288</v>
      </c>
      <c r="Y453" s="19">
        <v>389.49</v>
      </c>
    </row>
    <row r="454" spans="1:25" x14ac:dyDescent="0.3">
      <c r="A454">
        <v>50848</v>
      </c>
      <c r="B454" s="1">
        <v>45531</v>
      </c>
      <c r="C454">
        <v>721</v>
      </c>
      <c r="D454">
        <v>50</v>
      </c>
      <c r="E454" t="s">
        <v>18</v>
      </c>
      <c r="F454" t="s">
        <v>34</v>
      </c>
      <c r="G454">
        <v>4</v>
      </c>
      <c r="H454">
        <v>350.05</v>
      </c>
      <c r="I454" t="s">
        <v>26</v>
      </c>
      <c r="J454" t="s">
        <v>336</v>
      </c>
      <c r="K454">
        <v>1</v>
      </c>
      <c r="L454" t="s">
        <v>21</v>
      </c>
      <c r="M454">
        <v>65</v>
      </c>
      <c r="N454" s="18" t="str">
        <f t="shared" si="21"/>
        <v>60+</v>
      </c>
      <c r="O454" s="12">
        <f t="shared" si="22"/>
        <v>1400.2</v>
      </c>
      <c r="P454" s="12">
        <f t="shared" si="23"/>
        <v>420.06</v>
      </c>
      <c r="X454" s="14" t="s">
        <v>341</v>
      </c>
      <c r="Y454" s="19">
        <v>294.36</v>
      </c>
    </row>
    <row r="455" spans="1:25" x14ac:dyDescent="0.3">
      <c r="A455">
        <v>75246</v>
      </c>
      <c r="B455" s="1">
        <v>45531</v>
      </c>
      <c r="C455">
        <v>643</v>
      </c>
      <c r="D455">
        <v>10</v>
      </c>
      <c r="E455" t="s">
        <v>13</v>
      </c>
      <c r="F455" t="s">
        <v>14</v>
      </c>
      <c r="G455">
        <v>5</v>
      </c>
      <c r="H455">
        <v>208.59</v>
      </c>
      <c r="I455" t="s">
        <v>26</v>
      </c>
      <c r="J455" t="s">
        <v>452</v>
      </c>
      <c r="K455">
        <v>4</v>
      </c>
      <c r="L455" t="s">
        <v>21</v>
      </c>
      <c r="M455">
        <v>56</v>
      </c>
      <c r="N455" s="18" t="str">
        <f t="shared" si="21"/>
        <v>46-60</v>
      </c>
      <c r="O455" s="12">
        <f t="shared" si="22"/>
        <v>1042.95</v>
      </c>
      <c r="P455" s="12">
        <f t="shared" si="23"/>
        <v>312.88499999999999</v>
      </c>
      <c r="X455" s="14" t="s">
        <v>45</v>
      </c>
      <c r="Y455" s="19">
        <v>1484.6100000000001</v>
      </c>
    </row>
    <row r="456" spans="1:25" x14ac:dyDescent="0.3">
      <c r="A456">
        <v>39329</v>
      </c>
      <c r="B456" s="1">
        <v>45532</v>
      </c>
      <c r="C456">
        <v>218</v>
      </c>
      <c r="D456">
        <v>40</v>
      </c>
      <c r="E456" t="s">
        <v>24</v>
      </c>
      <c r="F456" t="s">
        <v>65</v>
      </c>
      <c r="G456">
        <v>2</v>
      </c>
      <c r="H456">
        <v>354.8</v>
      </c>
      <c r="I456" t="s">
        <v>35</v>
      </c>
      <c r="J456" t="s">
        <v>269</v>
      </c>
      <c r="K456">
        <v>4</v>
      </c>
      <c r="L456" t="s">
        <v>17</v>
      </c>
      <c r="M456">
        <v>59</v>
      </c>
      <c r="N456" s="18" t="str">
        <f t="shared" si="21"/>
        <v>46-60</v>
      </c>
      <c r="O456" s="12">
        <f t="shared" si="22"/>
        <v>709.6</v>
      </c>
      <c r="P456" s="12">
        <f t="shared" si="23"/>
        <v>212.88</v>
      </c>
      <c r="X456" s="14" t="s">
        <v>184</v>
      </c>
      <c r="Y456" s="19">
        <v>2379.4499999999998</v>
      </c>
    </row>
    <row r="457" spans="1:25" x14ac:dyDescent="0.3">
      <c r="A457">
        <v>37422</v>
      </c>
      <c r="B457" s="1">
        <v>45532</v>
      </c>
      <c r="C457">
        <v>444</v>
      </c>
      <c r="D457">
        <v>10</v>
      </c>
      <c r="E457" t="s">
        <v>13</v>
      </c>
      <c r="F457" t="s">
        <v>32</v>
      </c>
      <c r="G457">
        <v>5</v>
      </c>
      <c r="H457">
        <v>21.72</v>
      </c>
      <c r="I457" t="s">
        <v>35</v>
      </c>
      <c r="J457" t="s">
        <v>560</v>
      </c>
      <c r="K457">
        <v>3</v>
      </c>
      <c r="L457" t="s">
        <v>17</v>
      </c>
      <c r="M457">
        <v>22</v>
      </c>
      <c r="N457" s="18" t="str">
        <f t="shared" si="21"/>
        <v>18-30</v>
      </c>
      <c r="O457" s="12">
        <f t="shared" si="22"/>
        <v>108.6</v>
      </c>
      <c r="P457" s="12">
        <f t="shared" si="23"/>
        <v>32.58</v>
      </c>
      <c r="X457" s="14" t="s">
        <v>482</v>
      </c>
      <c r="Y457" s="19">
        <v>552.78</v>
      </c>
    </row>
    <row r="458" spans="1:25" x14ac:dyDescent="0.3">
      <c r="A458">
        <v>69327</v>
      </c>
      <c r="B458" s="1">
        <v>45532</v>
      </c>
      <c r="C458">
        <v>183</v>
      </c>
      <c r="D458">
        <v>50</v>
      </c>
      <c r="E458" t="s">
        <v>18</v>
      </c>
      <c r="F458" t="s">
        <v>34</v>
      </c>
      <c r="G458">
        <v>3</v>
      </c>
      <c r="H458">
        <v>105.43</v>
      </c>
      <c r="I458" t="s">
        <v>35</v>
      </c>
      <c r="J458" t="s">
        <v>796</v>
      </c>
      <c r="K458">
        <v>4</v>
      </c>
      <c r="L458" t="s">
        <v>17</v>
      </c>
      <c r="M458">
        <v>72</v>
      </c>
      <c r="N458" s="18" t="str">
        <f t="shared" si="21"/>
        <v>60+</v>
      </c>
      <c r="O458" s="12">
        <f t="shared" si="22"/>
        <v>316.29000000000002</v>
      </c>
      <c r="P458" s="12">
        <f t="shared" si="23"/>
        <v>94.887</v>
      </c>
      <c r="X458" s="14" t="s">
        <v>70</v>
      </c>
      <c r="Y458" s="19">
        <v>894.81</v>
      </c>
    </row>
    <row r="459" spans="1:25" x14ac:dyDescent="0.3">
      <c r="A459">
        <v>39858</v>
      </c>
      <c r="B459" s="1">
        <v>45533</v>
      </c>
      <c r="C459">
        <v>339</v>
      </c>
      <c r="D459">
        <v>20</v>
      </c>
      <c r="E459" t="s">
        <v>28</v>
      </c>
      <c r="F459" t="s">
        <v>29</v>
      </c>
      <c r="G459">
        <v>5</v>
      </c>
      <c r="H459">
        <v>442.3</v>
      </c>
      <c r="I459" t="s">
        <v>15</v>
      </c>
      <c r="J459" t="s">
        <v>392</v>
      </c>
      <c r="K459">
        <v>5</v>
      </c>
      <c r="L459" t="s">
        <v>21</v>
      </c>
      <c r="M459">
        <v>19</v>
      </c>
      <c r="N459" s="18" t="str">
        <f t="shared" si="21"/>
        <v>18-30</v>
      </c>
      <c r="O459" s="12">
        <f t="shared" si="22"/>
        <v>2211.5</v>
      </c>
      <c r="P459" s="12">
        <f t="shared" si="23"/>
        <v>663.44999999999993</v>
      </c>
      <c r="X459" s="14" t="s">
        <v>755</v>
      </c>
      <c r="Y459" s="19">
        <v>1141.1499999999999</v>
      </c>
    </row>
    <row r="460" spans="1:25" x14ac:dyDescent="0.3">
      <c r="A460">
        <v>57134</v>
      </c>
      <c r="B460" s="1">
        <v>45533</v>
      </c>
      <c r="C460">
        <v>101</v>
      </c>
      <c r="D460">
        <v>10</v>
      </c>
      <c r="E460" t="s">
        <v>13</v>
      </c>
      <c r="F460" t="s">
        <v>111</v>
      </c>
      <c r="G460">
        <v>4</v>
      </c>
      <c r="H460">
        <v>49.31</v>
      </c>
      <c r="I460" t="s">
        <v>15</v>
      </c>
      <c r="J460" t="s">
        <v>854</v>
      </c>
      <c r="L460" t="s">
        <v>17</v>
      </c>
      <c r="M460">
        <v>42</v>
      </c>
      <c r="N460" s="18" t="str">
        <f t="shared" si="21"/>
        <v>31-45</v>
      </c>
      <c r="O460" s="12">
        <f t="shared" si="22"/>
        <v>197.24</v>
      </c>
      <c r="P460" s="12">
        <f t="shared" si="23"/>
        <v>59.171999999999997</v>
      </c>
      <c r="X460" s="14" t="s">
        <v>730</v>
      </c>
      <c r="Y460" s="19">
        <v>344.44</v>
      </c>
    </row>
    <row r="461" spans="1:25" x14ac:dyDescent="0.3">
      <c r="A461">
        <v>89312</v>
      </c>
      <c r="B461" s="1">
        <v>45534</v>
      </c>
      <c r="C461">
        <v>276</v>
      </c>
      <c r="D461">
        <v>10</v>
      </c>
      <c r="E461" t="s">
        <v>13</v>
      </c>
      <c r="F461" t="s">
        <v>42</v>
      </c>
      <c r="G461">
        <v>3</v>
      </c>
      <c r="H461">
        <v>188.78</v>
      </c>
      <c r="I461" t="s">
        <v>15</v>
      </c>
      <c r="J461" t="s">
        <v>222</v>
      </c>
      <c r="L461" t="s">
        <v>21</v>
      </c>
      <c r="M461">
        <v>31</v>
      </c>
      <c r="N461" s="18" t="str">
        <f t="shared" si="21"/>
        <v>31-45</v>
      </c>
      <c r="O461" s="12">
        <f t="shared" si="22"/>
        <v>566.34</v>
      </c>
      <c r="P461" s="12">
        <f t="shared" si="23"/>
        <v>169.90200000000002</v>
      </c>
      <c r="X461" s="14" t="s">
        <v>375</v>
      </c>
      <c r="Y461" s="19">
        <v>1767.04</v>
      </c>
    </row>
    <row r="462" spans="1:25" x14ac:dyDescent="0.3">
      <c r="A462">
        <v>99423</v>
      </c>
      <c r="B462" s="1">
        <v>45534</v>
      </c>
      <c r="C462">
        <v>675</v>
      </c>
      <c r="D462">
        <v>30</v>
      </c>
      <c r="E462" t="s">
        <v>37</v>
      </c>
      <c r="F462" t="s">
        <v>95</v>
      </c>
      <c r="G462">
        <v>5</v>
      </c>
      <c r="H462">
        <v>175.5</v>
      </c>
      <c r="I462" t="s">
        <v>35</v>
      </c>
      <c r="J462" t="s">
        <v>523</v>
      </c>
      <c r="L462" t="s">
        <v>17</v>
      </c>
      <c r="M462">
        <v>73</v>
      </c>
      <c r="N462" s="18" t="str">
        <f t="shared" si="21"/>
        <v>60+</v>
      </c>
      <c r="O462" s="12">
        <f t="shared" si="22"/>
        <v>877.5</v>
      </c>
      <c r="P462" s="12">
        <f t="shared" si="23"/>
        <v>263.25</v>
      </c>
      <c r="X462" s="14" t="s">
        <v>735</v>
      </c>
      <c r="Y462" s="19">
        <v>776.25</v>
      </c>
    </row>
    <row r="463" spans="1:25" x14ac:dyDescent="0.3">
      <c r="A463">
        <v>47342</v>
      </c>
      <c r="B463" s="1">
        <v>45534</v>
      </c>
      <c r="C463">
        <v>141</v>
      </c>
      <c r="D463">
        <v>10</v>
      </c>
      <c r="E463" t="s">
        <v>13</v>
      </c>
      <c r="F463" t="s">
        <v>47</v>
      </c>
      <c r="G463">
        <v>4</v>
      </c>
      <c r="H463">
        <v>226.23</v>
      </c>
      <c r="I463" t="s">
        <v>15</v>
      </c>
      <c r="J463" t="s">
        <v>524</v>
      </c>
      <c r="K463">
        <v>5</v>
      </c>
      <c r="L463" t="s">
        <v>21</v>
      </c>
      <c r="M463">
        <v>59</v>
      </c>
      <c r="N463" s="18" t="str">
        <f t="shared" si="21"/>
        <v>46-60</v>
      </c>
      <c r="O463" s="12">
        <f t="shared" si="22"/>
        <v>904.92</v>
      </c>
      <c r="P463" s="12">
        <f t="shared" si="23"/>
        <v>271.476</v>
      </c>
      <c r="X463" s="14" t="s">
        <v>336</v>
      </c>
      <c r="Y463" s="19">
        <v>1535.76</v>
      </c>
    </row>
    <row r="464" spans="1:25" x14ac:dyDescent="0.3">
      <c r="A464">
        <v>26742</v>
      </c>
      <c r="B464" s="1">
        <v>45534</v>
      </c>
      <c r="C464">
        <v>349</v>
      </c>
      <c r="D464">
        <v>40</v>
      </c>
      <c r="E464" t="s">
        <v>24</v>
      </c>
      <c r="F464" t="s">
        <v>25</v>
      </c>
      <c r="G464">
        <v>3</v>
      </c>
      <c r="H464">
        <v>456.63</v>
      </c>
      <c r="I464" t="s">
        <v>35</v>
      </c>
      <c r="J464" t="s">
        <v>722</v>
      </c>
      <c r="K464">
        <v>5</v>
      </c>
      <c r="L464" t="s">
        <v>21</v>
      </c>
      <c r="M464">
        <v>75</v>
      </c>
      <c r="N464" s="18" t="str">
        <f t="shared" si="21"/>
        <v>60+</v>
      </c>
      <c r="O464" s="12">
        <f t="shared" si="22"/>
        <v>1369.8899999999999</v>
      </c>
      <c r="P464" s="12">
        <f t="shared" si="23"/>
        <v>410.96699999999993</v>
      </c>
      <c r="X464" s="14" t="s">
        <v>428</v>
      </c>
      <c r="Y464" s="19">
        <v>500.5</v>
      </c>
    </row>
    <row r="465" spans="1:25" x14ac:dyDescent="0.3">
      <c r="A465">
        <v>79189</v>
      </c>
      <c r="B465" s="1">
        <v>45534</v>
      </c>
      <c r="C465">
        <v>639</v>
      </c>
      <c r="D465">
        <v>40</v>
      </c>
      <c r="E465" t="s">
        <v>24</v>
      </c>
      <c r="F465" t="s">
        <v>44</v>
      </c>
      <c r="G465">
        <v>1</v>
      </c>
      <c r="H465">
        <v>399.18</v>
      </c>
      <c r="I465" t="s">
        <v>15</v>
      </c>
      <c r="J465" t="s">
        <v>158</v>
      </c>
      <c r="K465">
        <v>5</v>
      </c>
      <c r="L465" t="s">
        <v>21</v>
      </c>
      <c r="M465">
        <v>66</v>
      </c>
      <c r="N465" s="18" t="str">
        <f t="shared" si="21"/>
        <v>60+</v>
      </c>
      <c r="O465" s="12">
        <f t="shared" si="22"/>
        <v>399.18</v>
      </c>
      <c r="P465" s="12">
        <f t="shared" si="23"/>
        <v>119.75399999999999</v>
      </c>
      <c r="X465" s="14" t="s">
        <v>381</v>
      </c>
      <c r="Y465" s="19">
        <v>1777</v>
      </c>
    </row>
    <row r="466" spans="1:25" x14ac:dyDescent="0.3">
      <c r="A466">
        <v>61717</v>
      </c>
      <c r="B466" s="1">
        <v>45535</v>
      </c>
      <c r="C466">
        <v>705</v>
      </c>
      <c r="D466">
        <v>10</v>
      </c>
      <c r="E466" t="s">
        <v>13</v>
      </c>
      <c r="F466" t="s">
        <v>42</v>
      </c>
      <c r="G466">
        <v>2</v>
      </c>
      <c r="H466">
        <v>393.49</v>
      </c>
      <c r="I466" t="s">
        <v>26</v>
      </c>
      <c r="J466" t="s">
        <v>151</v>
      </c>
      <c r="K466">
        <v>4</v>
      </c>
      <c r="L466" t="s">
        <v>17</v>
      </c>
      <c r="M466">
        <v>57</v>
      </c>
      <c r="N466" s="18" t="str">
        <f t="shared" si="21"/>
        <v>46-60</v>
      </c>
      <c r="O466" s="12">
        <f t="shared" si="22"/>
        <v>786.98</v>
      </c>
      <c r="P466" s="12">
        <f t="shared" si="23"/>
        <v>236.09399999999999</v>
      </c>
      <c r="X466" s="14" t="s">
        <v>241</v>
      </c>
      <c r="Y466" s="19">
        <v>337.3</v>
      </c>
    </row>
    <row r="467" spans="1:25" x14ac:dyDescent="0.3">
      <c r="A467">
        <v>69487</v>
      </c>
      <c r="B467" s="1">
        <v>45535</v>
      </c>
      <c r="C467">
        <v>729</v>
      </c>
      <c r="D467">
        <v>50</v>
      </c>
      <c r="E467" t="s">
        <v>18</v>
      </c>
      <c r="F467" t="s">
        <v>34</v>
      </c>
      <c r="G467">
        <v>4</v>
      </c>
      <c r="H467">
        <v>464.28</v>
      </c>
      <c r="I467" t="s">
        <v>35</v>
      </c>
      <c r="J467" t="s">
        <v>961</v>
      </c>
      <c r="K467">
        <v>4</v>
      </c>
      <c r="L467" t="s">
        <v>17</v>
      </c>
      <c r="M467">
        <v>62</v>
      </c>
      <c r="N467" s="18" t="str">
        <f t="shared" si="21"/>
        <v>60+</v>
      </c>
      <c r="O467" s="12">
        <f t="shared" si="22"/>
        <v>1857.12</v>
      </c>
      <c r="P467" s="12">
        <f t="shared" si="23"/>
        <v>557.13599999999997</v>
      </c>
      <c r="X467" s="14" t="s">
        <v>639</v>
      </c>
      <c r="Y467" s="19">
        <v>1240.56</v>
      </c>
    </row>
    <row r="468" spans="1:25" x14ac:dyDescent="0.3">
      <c r="A468">
        <v>52189</v>
      </c>
      <c r="B468" s="1">
        <v>45536</v>
      </c>
      <c r="C468">
        <v>653</v>
      </c>
      <c r="D468">
        <v>10</v>
      </c>
      <c r="E468" t="s">
        <v>13</v>
      </c>
      <c r="F468" t="s">
        <v>32</v>
      </c>
      <c r="G468">
        <v>1</v>
      </c>
      <c r="H468">
        <v>183.61</v>
      </c>
      <c r="I468" t="s">
        <v>26</v>
      </c>
      <c r="J468" t="s">
        <v>75</v>
      </c>
      <c r="K468">
        <v>4</v>
      </c>
      <c r="L468" t="s">
        <v>17</v>
      </c>
      <c r="M468">
        <v>49</v>
      </c>
      <c r="N468" s="18" t="str">
        <f t="shared" si="21"/>
        <v>46-60</v>
      </c>
      <c r="O468" s="12">
        <f t="shared" si="22"/>
        <v>183.61</v>
      </c>
      <c r="P468" s="12">
        <f t="shared" si="23"/>
        <v>55.083000000000006</v>
      </c>
      <c r="X468" s="14" t="s">
        <v>682</v>
      </c>
      <c r="Y468" s="19">
        <v>332.32</v>
      </c>
    </row>
    <row r="469" spans="1:25" x14ac:dyDescent="0.3">
      <c r="A469">
        <v>94141</v>
      </c>
      <c r="B469" s="1">
        <v>45536</v>
      </c>
      <c r="C469">
        <v>701</v>
      </c>
      <c r="D469">
        <v>20</v>
      </c>
      <c r="E469" t="s">
        <v>28</v>
      </c>
      <c r="F469" t="s">
        <v>29</v>
      </c>
      <c r="G469">
        <v>4</v>
      </c>
      <c r="H469">
        <v>270.32</v>
      </c>
      <c r="I469" t="s">
        <v>26</v>
      </c>
      <c r="J469" t="s">
        <v>1003</v>
      </c>
      <c r="K469">
        <v>5</v>
      </c>
      <c r="L469" t="s">
        <v>21</v>
      </c>
      <c r="M469">
        <v>48</v>
      </c>
      <c r="N469" s="18" t="str">
        <f t="shared" si="21"/>
        <v>46-60</v>
      </c>
      <c r="O469" s="12">
        <f t="shared" si="22"/>
        <v>1081.28</v>
      </c>
      <c r="P469" s="12">
        <f t="shared" si="23"/>
        <v>324.38399999999996</v>
      </c>
      <c r="X469" s="14" t="s">
        <v>366</v>
      </c>
      <c r="Y469" s="19">
        <v>940.16</v>
      </c>
    </row>
    <row r="470" spans="1:25" x14ac:dyDescent="0.3">
      <c r="A470">
        <v>58363</v>
      </c>
      <c r="B470" s="1">
        <v>45537</v>
      </c>
      <c r="C470">
        <v>536</v>
      </c>
      <c r="D470">
        <v>10</v>
      </c>
      <c r="E470" t="s">
        <v>13</v>
      </c>
      <c r="F470" t="s">
        <v>47</v>
      </c>
      <c r="G470">
        <v>5</v>
      </c>
      <c r="H470">
        <v>87.27</v>
      </c>
      <c r="I470" t="s">
        <v>15</v>
      </c>
      <c r="J470" t="s">
        <v>864</v>
      </c>
      <c r="K470">
        <v>5</v>
      </c>
      <c r="L470" t="s">
        <v>21</v>
      </c>
      <c r="M470">
        <v>63</v>
      </c>
      <c r="N470" s="18" t="str">
        <f t="shared" si="21"/>
        <v>60+</v>
      </c>
      <c r="O470" s="12">
        <f t="shared" si="22"/>
        <v>436.34999999999997</v>
      </c>
      <c r="P470" s="12">
        <f t="shared" si="23"/>
        <v>130.90499999999997</v>
      </c>
      <c r="X470" s="14" t="s">
        <v>895</v>
      </c>
      <c r="Y470" s="19">
        <v>872.4</v>
      </c>
    </row>
    <row r="471" spans="1:25" x14ac:dyDescent="0.3">
      <c r="A471">
        <v>63876</v>
      </c>
      <c r="B471" s="1">
        <v>45539</v>
      </c>
      <c r="C471">
        <v>545</v>
      </c>
      <c r="D471">
        <v>50</v>
      </c>
      <c r="E471" t="s">
        <v>18</v>
      </c>
      <c r="F471" t="s">
        <v>84</v>
      </c>
      <c r="G471">
        <v>2</v>
      </c>
      <c r="H471">
        <v>107.84</v>
      </c>
      <c r="I471" t="s">
        <v>15</v>
      </c>
      <c r="J471" t="s">
        <v>614</v>
      </c>
      <c r="K471">
        <v>1</v>
      </c>
      <c r="L471" t="s">
        <v>17</v>
      </c>
      <c r="M471">
        <v>53</v>
      </c>
      <c r="N471" s="18" t="str">
        <f t="shared" si="21"/>
        <v>46-60</v>
      </c>
      <c r="O471" s="12">
        <f t="shared" si="22"/>
        <v>215.68</v>
      </c>
      <c r="P471" s="12">
        <f t="shared" si="23"/>
        <v>64.703999999999994</v>
      </c>
      <c r="X471" s="14" t="s">
        <v>261</v>
      </c>
      <c r="Y471" s="19">
        <v>1126.77</v>
      </c>
    </row>
    <row r="472" spans="1:25" x14ac:dyDescent="0.3">
      <c r="A472">
        <v>99259</v>
      </c>
      <c r="B472" s="1">
        <v>45539</v>
      </c>
      <c r="C472">
        <v>426</v>
      </c>
      <c r="D472">
        <v>50</v>
      </c>
      <c r="E472" t="s">
        <v>18</v>
      </c>
      <c r="F472" t="s">
        <v>84</v>
      </c>
      <c r="G472">
        <v>3</v>
      </c>
      <c r="H472">
        <v>232.33</v>
      </c>
      <c r="I472" t="s">
        <v>26</v>
      </c>
      <c r="J472" t="s">
        <v>950</v>
      </c>
      <c r="L472" t="s">
        <v>17</v>
      </c>
      <c r="M472">
        <v>62</v>
      </c>
      <c r="N472" s="18" t="str">
        <f t="shared" si="21"/>
        <v>60+</v>
      </c>
      <c r="O472" s="12">
        <f t="shared" si="22"/>
        <v>696.99</v>
      </c>
      <c r="P472" s="12">
        <f t="shared" si="23"/>
        <v>209.09700000000001</v>
      </c>
      <c r="X472" s="14" t="s">
        <v>355</v>
      </c>
      <c r="Y472" s="19">
        <v>975.86</v>
      </c>
    </row>
    <row r="473" spans="1:25" x14ac:dyDescent="0.3">
      <c r="A473">
        <v>90952</v>
      </c>
      <c r="B473" s="1">
        <v>45540</v>
      </c>
      <c r="C473">
        <v>360</v>
      </c>
      <c r="D473">
        <v>50</v>
      </c>
      <c r="E473" t="s">
        <v>18</v>
      </c>
      <c r="F473" t="s">
        <v>22</v>
      </c>
      <c r="G473">
        <v>2</v>
      </c>
      <c r="H473">
        <v>55.78</v>
      </c>
      <c r="I473" t="s">
        <v>35</v>
      </c>
      <c r="J473" t="s">
        <v>348</v>
      </c>
      <c r="M473">
        <v>60</v>
      </c>
      <c r="N473" s="18" t="str">
        <f t="shared" si="21"/>
        <v>46-60</v>
      </c>
      <c r="O473" s="12">
        <f t="shared" si="22"/>
        <v>111.56</v>
      </c>
      <c r="P473" s="12">
        <f t="shared" si="23"/>
        <v>33.467999999999996</v>
      </c>
      <c r="X473" s="14" t="s">
        <v>398</v>
      </c>
      <c r="Y473" s="19">
        <v>191.98</v>
      </c>
    </row>
    <row r="474" spans="1:25" x14ac:dyDescent="0.3">
      <c r="A474">
        <v>71237</v>
      </c>
      <c r="B474" s="1">
        <v>45540</v>
      </c>
      <c r="C474">
        <v>588</v>
      </c>
      <c r="D474">
        <v>10</v>
      </c>
      <c r="E474" t="s">
        <v>13</v>
      </c>
      <c r="F474" t="s">
        <v>47</v>
      </c>
      <c r="G474">
        <v>4</v>
      </c>
      <c r="H474">
        <v>264.14999999999998</v>
      </c>
      <c r="I474" t="s">
        <v>35</v>
      </c>
      <c r="J474" t="s">
        <v>377</v>
      </c>
      <c r="K474">
        <v>3</v>
      </c>
      <c r="L474" t="s">
        <v>17</v>
      </c>
      <c r="M474">
        <v>57</v>
      </c>
      <c r="N474" s="18" t="str">
        <f t="shared" si="21"/>
        <v>46-60</v>
      </c>
      <c r="O474" s="12">
        <f t="shared" si="22"/>
        <v>1056.5999999999999</v>
      </c>
      <c r="P474" s="12">
        <f t="shared" si="23"/>
        <v>316.97999999999996</v>
      </c>
      <c r="X474" s="14" t="s">
        <v>411</v>
      </c>
      <c r="Y474" s="19">
        <v>567.62</v>
      </c>
    </row>
    <row r="475" spans="1:25" x14ac:dyDescent="0.3">
      <c r="A475">
        <v>84978</v>
      </c>
      <c r="B475" s="1">
        <v>45540</v>
      </c>
      <c r="C475">
        <v>292</v>
      </c>
      <c r="D475">
        <v>40</v>
      </c>
      <c r="E475" t="s">
        <v>24</v>
      </c>
      <c r="F475" t="s">
        <v>44</v>
      </c>
      <c r="G475">
        <v>1</v>
      </c>
      <c r="H475">
        <v>458.02</v>
      </c>
      <c r="I475" t="s">
        <v>26</v>
      </c>
      <c r="J475" t="s">
        <v>438</v>
      </c>
      <c r="K475">
        <v>3</v>
      </c>
      <c r="L475" t="s">
        <v>21</v>
      </c>
      <c r="M475">
        <v>64</v>
      </c>
      <c r="N475" s="18" t="str">
        <f t="shared" si="21"/>
        <v>60+</v>
      </c>
      <c r="O475" s="12">
        <f t="shared" si="22"/>
        <v>458.02</v>
      </c>
      <c r="P475" s="12">
        <f t="shared" si="23"/>
        <v>137.40599999999998</v>
      </c>
      <c r="X475" s="14" t="s">
        <v>550</v>
      </c>
      <c r="Y475" s="19">
        <v>148.68</v>
      </c>
    </row>
    <row r="476" spans="1:25" x14ac:dyDescent="0.3">
      <c r="A476">
        <v>59603</v>
      </c>
      <c r="B476" s="1">
        <v>45540</v>
      </c>
      <c r="C476">
        <v>125</v>
      </c>
      <c r="D476">
        <v>20</v>
      </c>
      <c r="E476" t="s">
        <v>28</v>
      </c>
      <c r="F476" t="s">
        <v>51</v>
      </c>
      <c r="G476">
        <v>2</v>
      </c>
      <c r="H476">
        <v>402.42</v>
      </c>
      <c r="I476" t="s">
        <v>15</v>
      </c>
      <c r="J476" t="s">
        <v>645</v>
      </c>
      <c r="K476">
        <v>2</v>
      </c>
      <c r="L476" t="s">
        <v>17</v>
      </c>
      <c r="M476">
        <v>28</v>
      </c>
      <c r="N476" s="18" t="str">
        <f t="shared" si="21"/>
        <v>18-30</v>
      </c>
      <c r="O476" s="12">
        <f t="shared" si="22"/>
        <v>804.84</v>
      </c>
      <c r="P476" s="12">
        <f t="shared" si="23"/>
        <v>241.452</v>
      </c>
      <c r="X476" s="14" t="s">
        <v>152</v>
      </c>
      <c r="Y476" s="19">
        <v>981.90000000000009</v>
      </c>
    </row>
    <row r="477" spans="1:25" x14ac:dyDescent="0.3">
      <c r="A477">
        <v>48878</v>
      </c>
      <c r="B477" s="1">
        <v>45542</v>
      </c>
      <c r="C477">
        <v>814</v>
      </c>
      <c r="D477">
        <v>30</v>
      </c>
      <c r="E477" t="s">
        <v>37</v>
      </c>
      <c r="F477" t="s">
        <v>95</v>
      </c>
      <c r="G477">
        <v>2</v>
      </c>
      <c r="H477">
        <v>83.97</v>
      </c>
      <c r="I477" t="s">
        <v>15</v>
      </c>
      <c r="J477" t="s">
        <v>280</v>
      </c>
      <c r="K477">
        <v>4</v>
      </c>
      <c r="L477" t="s">
        <v>17</v>
      </c>
      <c r="M477">
        <v>75</v>
      </c>
      <c r="N477" s="18" t="str">
        <f t="shared" si="21"/>
        <v>60+</v>
      </c>
      <c r="O477" s="12">
        <f t="shared" si="22"/>
        <v>167.94</v>
      </c>
      <c r="P477" s="12">
        <f t="shared" si="23"/>
        <v>50.381999999999998</v>
      </c>
      <c r="X477" s="14" t="s">
        <v>127</v>
      </c>
      <c r="Y477" s="19">
        <v>782.86</v>
      </c>
    </row>
    <row r="478" spans="1:25" x14ac:dyDescent="0.3">
      <c r="A478">
        <v>69068</v>
      </c>
      <c r="B478" s="1">
        <v>45542</v>
      </c>
      <c r="C478">
        <v>220</v>
      </c>
      <c r="D478">
        <v>10</v>
      </c>
      <c r="E478" t="s">
        <v>13</v>
      </c>
      <c r="F478" t="s">
        <v>111</v>
      </c>
      <c r="G478">
        <v>5</v>
      </c>
      <c r="H478">
        <v>252.5</v>
      </c>
      <c r="I478" t="s">
        <v>35</v>
      </c>
      <c r="J478" t="s">
        <v>361</v>
      </c>
      <c r="K478">
        <v>5</v>
      </c>
      <c r="L478" t="s">
        <v>21</v>
      </c>
      <c r="M478">
        <v>71</v>
      </c>
      <c r="N478" s="18" t="str">
        <f t="shared" si="21"/>
        <v>60+</v>
      </c>
      <c r="O478" s="12">
        <f t="shared" si="22"/>
        <v>1262.5</v>
      </c>
      <c r="P478" s="12">
        <f t="shared" si="23"/>
        <v>378.75</v>
      </c>
      <c r="X478" s="14" t="s">
        <v>674</v>
      </c>
      <c r="Y478" s="19">
        <v>1337.48</v>
      </c>
    </row>
    <row r="479" spans="1:25" x14ac:dyDescent="0.3">
      <c r="A479">
        <v>47566</v>
      </c>
      <c r="B479" s="1">
        <v>45542</v>
      </c>
      <c r="C479">
        <v>574</v>
      </c>
      <c r="D479">
        <v>20</v>
      </c>
      <c r="E479" t="s">
        <v>28</v>
      </c>
      <c r="F479" t="s">
        <v>72</v>
      </c>
      <c r="G479">
        <v>4</v>
      </c>
      <c r="H479">
        <v>216.03</v>
      </c>
      <c r="I479" t="s">
        <v>26</v>
      </c>
      <c r="J479" t="s">
        <v>657</v>
      </c>
      <c r="K479">
        <v>3</v>
      </c>
      <c r="L479" t="s">
        <v>17</v>
      </c>
      <c r="M479">
        <v>32</v>
      </c>
      <c r="N479" s="18" t="str">
        <f t="shared" si="21"/>
        <v>31-45</v>
      </c>
      <c r="O479" s="12">
        <f t="shared" si="22"/>
        <v>864.12</v>
      </c>
      <c r="P479" s="12">
        <f t="shared" si="23"/>
        <v>259.23599999999999</v>
      </c>
      <c r="X479" s="14" t="s">
        <v>679</v>
      </c>
      <c r="Y479" s="19">
        <v>616.82000000000005</v>
      </c>
    </row>
    <row r="480" spans="1:25" x14ac:dyDescent="0.3">
      <c r="A480">
        <v>97111</v>
      </c>
      <c r="B480" s="1">
        <v>45542</v>
      </c>
      <c r="C480">
        <v>897</v>
      </c>
      <c r="D480">
        <v>40</v>
      </c>
      <c r="E480" t="s">
        <v>24</v>
      </c>
      <c r="F480" t="s">
        <v>44</v>
      </c>
      <c r="G480">
        <v>4</v>
      </c>
      <c r="H480">
        <v>14.47</v>
      </c>
      <c r="I480" t="s">
        <v>26</v>
      </c>
      <c r="J480" t="s">
        <v>844</v>
      </c>
      <c r="K480">
        <v>5</v>
      </c>
      <c r="L480" t="s">
        <v>17</v>
      </c>
      <c r="M480">
        <v>33</v>
      </c>
      <c r="N480" s="18" t="str">
        <f t="shared" si="21"/>
        <v>31-45</v>
      </c>
      <c r="O480" s="12">
        <f t="shared" si="22"/>
        <v>57.88</v>
      </c>
      <c r="P480" s="12">
        <f t="shared" si="23"/>
        <v>17.364000000000001</v>
      </c>
      <c r="X480" s="14" t="s">
        <v>726</v>
      </c>
      <c r="Y480" s="19">
        <v>170.62</v>
      </c>
    </row>
    <row r="481" spans="1:25" x14ac:dyDescent="0.3">
      <c r="A481">
        <v>51171</v>
      </c>
      <c r="B481" s="1">
        <v>45543</v>
      </c>
      <c r="C481">
        <v>608</v>
      </c>
      <c r="D481">
        <v>50</v>
      </c>
      <c r="E481" t="s">
        <v>18</v>
      </c>
      <c r="F481" t="s">
        <v>34</v>
      </c>
      <c r="G481">
        <v>1</v>
      </c>
      <c r="H481">
        <v>439.96</v>
      </c>
      <c r="I481" t="s">
        <v>26</v>
      </c>
      <c r="J481" t="s">
        <v>50</v>
      </c>
      <c r="K481">
        <v>5</v>
      </c>
      <c r="L481" t="s">
        <v>17</v>
      </c>
      <c r="M481">
        <v>19</v>
      </c>
      <c r="N481" s="18" t="str">
        <f t="shared" si="21"/>
        <v>18-30</v>
      </c>
      <c r="O481" s="12">
        <f t="shared" si="22"/>
        <v>439.96</v>
      </c>
      <c r="P481" s="12">
        <f t="shared" si="23"/>
        <v>131.988</v>
      </c>
      <c r="X481" s="14" t="s">
        <v>170</v>
      </c>
      <c r="Y481" s="19">
        <v>942.24</v>
      </c>
    </row>
    <row r="482" spans="1:25" x14ac:dyDescent="0.3">
      <c r="A482">
        <v>52751</v>
      </c>
      <c r="B482" s="1">
        <v>45543</v>
      </c>
      <c r="C482">
        <v>399</v>
      </c>
      <c r="D482">
        <v>50</v>
      </c>
      <c r="E482" t="s">
        <v>18</v>
      </c>
      <c r="F482" t="s">
        <v>34</v>
      </c>
      <c r="G482">
        <v>3</v>
      </c>
      <c r="H482">
        <v>250.37</v>
      </c>
      <c r="I482" t="s">
        <v>35</v>
      </c>
      <c r="J482" t="s">
        <v>727</v>
      </c>
      <c r="K482">
        <v>4</v>
      </c>
      <c r="L482" t="s">
        <v>21</v>
      </c>
      <c r="M482">
        <v>43</v>
      </c>
      <c r="N482" s="18" t="str">
        <f t="shared" si="21"/>
        <v>31-45</v>
      </c>
      <c r="O482" s="12">
        <f t="shared" si="22"/>
        <v>751.11</v>
      </c>
      <c r="P482" s="12">
        <f t="shared" si="23"/>
        <v>225.333</v>
      </c>
      <c r="X482" s="14" t="s">
        <v>48</v>
      </c>
      <c r="Y482" s="19">
        <v>1372.32</v>
      </c>
    </row>
    <row r="483" spans="1:25" x14ac:dyDescent="0.3">
      <c r="A483">
        <v>79018</v>
      </c>
      <c r="B483" s="1">
        <v>45543</v>
      </c>
      <c r="C483">
        <v>460</v>
      </c>
      <c r="D483">
        <v>50</v>
      </c>
      <c r="E483" t="s">
        <v>18</v>
      </c>
      <c r="F483" t="s">
        <v>22</v>
      </c>
      <c r="G483">
        <v>2</v>
      </c>
      <c r="H483">
        <v>150.37</v>
      </c>
      <c r="I483" t="s">
        <v>35</v>
      </c>
      <c r="J483" t="s">
        <v>794</v>
      </c>
      <c r="L483" t="s">
        <v>17</v>
      </c>
      <c r="M483">
        <v>54</v>
      </c>
      <c r="N483" s="18" t="str">
        <f t="shared" si="21"/>
        <v>46-60</v>
      </c>
      <c r="O483" s="12">
        <f t="shared" si="22"/>
        <v>300.74</v>
      </c>
      <c r="P483" s="12">
        <f t="shared" si="23"/>
        <v>90.221999999999994</v>
      </c>
      <c r="X483" s="14" t="s">
        <v>359</v>
      </c>
      <c r="Y483" s="19">
        <v>716.22</v>
      </c>
    </row>
    <row r="484" spans="1:25" x14ac:dyDescent="0.3">
      <c r="A484">
        <v>27462</v>
      </c>
      <c r="B484" s="1">
        <v>45543</v>
      </c>
      <c r="C484">
        <v>864</v>
      </c>
      <c r="D484">
        <v>10</v>
      </c>
      <c r="E484" t="s">
        <v>13</v>
      </c>
      <c r="F484" t="s">
        <v>42</v>
      </c>
      <c r="G484">
        <v>5</v>
      </c>
      <c r="H484">
        <v>466.38</v>
      </c>
      <c r="I484" t="s">
        <v>26</v>
      </c>
      <c r="J484" t="s">
        <v>807</v>
      </c>
      <c r="K484">
        <v>3</v>
      </c>
      <c r="L484" t="s">
        <v>21</v>
      </c>
      <c r="M484">
        <v>67</v>
      </c>
      <c r="N484" s="18" t="str">
        <f t="shared" si="21"/>
        <v>60+</v>
      </c>
      <c r="O484" s="12">
        <f t="shared" si="22"/>
        <v>2331.9</v>
      </c>
      <c r="P484" s="12">
        <f t="shared" si="23"/>
        <v>699.57</v>
      </c>
      <c r="X484" s="14" t="s">
        <v>750</v>
      </c>
      <c r="Y484" s="19">
        <v>1462.16</v>
      </c>
    </row>
    <row r="485" spans="1:25" x14ac:dyDescent="0.3">
      <c r="A485">
        <v>99233</v>
      </c>
      <c r="B485" s="1">
        <v>45543</v>
      </c>
      <c r="C485">
        <v>842</v>
      </c>
      <c r="D485">
        <v>20</v>
      </c>
      <c r="E485" t="s">
        <v>28</v>
      </c>
      <c r="F485" t="s">
        <v>51</v>
      </c>
      <c r="G485">
        <v>1</v>
      </c>
      <c r="H485">
        <v>273.56</v>
      </c>
      <c r="I485" t="s">
        <v>35</v>
      </c>
      <c r="J485" t="s">
        <v>937</v>
      </c>
      <c r="L485" t="s">
        <v>21</v>
      </c>
      <c r="M485">
        <v>43</v>
      </c>
      <c r="N485" s="18" t="str">
        <f t="shared" si="21"/>
        <v>31-45</v>
      </c>
      <c r="O485" s="12">
        <f t="shared" si="22"/>
        <v>273.56</v>
      </c>
      <c r="P485" s="12">
        <f t="shared" si="23"/>
        <v>82.067999999999998</v>
      </c>
      <c r="X485" s="14" t="s">
        <v>209</v>
      </c>
      <c r="Y485" s="19">
        <v>375.92</v>
      </c>
    </row>
    <row r="486" spans="1:25" x14ac:dyDescent="0.3">
      <c r="A486">
        <v>10825</v>
      </c>
      <c r="B486" s="1">
        <v>45544</v>
      </c>
      <c r="C486">
        <v>693</v>
      </c>
      <c r="D486">
        <v>30</v>
      </c>
      <c r="E486" t="s">
        <v>37</v>
      </c>
      <c r="F486" t="s">
        <v>40</v>
      </c>
      <c r="G486">
        <v>1</v>
      </c>
      <c r="H486">
        <v>286.33999999999997</v>
      </c>
      <c r="I486" t="s">
        <v>35</v>
      </c>
      <c r="J486" t="s">
        <v>458</v>
      </c>
      <c r="K486">
        <v>5</v>
      </c>
      <c r="L486" t="s">
        <v>21</v>
      </c>
      <c r="M486">
        <v>63</v>
      </c>
      <c r="N486" s="18" t="str">
        <f t="shared" si="21"/>
        <v>60+</v>
      </c>
      <c r="O486" s="12">
        <f t="shared" si="22"/>
        <v>286.33999999999997</v>
      </c>
      <c r="P486" s="12">
        <f t="shared" si="23"/>
        <v>85.901999999999987</v>
      </c>
      <c r="X486" s="14" t="s">
        <v>1007</v>
      </c>
      <c r="Y486" s="19">
        <v>1773.1999999999998</v>
      </c>
    </row>
    <row r="487" spans="1:25" x14ac:dyDescent="0.3">
      <c r="A487">
        <v>43226</v>
      </c>
      <c r="B487" s="1">
        <v>45544</v>
      </c>
      <c r="C487">
        <v>221</v>
      </c>
      <c r="D487">
        <v>10</v>
      </c>
      <c r="E487" t="s">
        <v>13</v>
      </c>
      <c r="F487" t="s">
        <v>111</v>
      </c>
      <c r="G487">
        <v>1</v>
      </c>
      <c r="H487">
        <v>306.52999999999997</v>
      </c>
      <c r="I487" t="s">
        <v>35</v>
      </c>
      <c r="J487" t="s">
        <v>461</v>
      </c>
      <c r="K487">
        <v>5</v>
      </c>
      <c r="L487" t="s">
        <v>21</v>
      </c>
      <c r="M487">
        <v>32</v>
      </c>
      <c r="N487" s="18" t="str">
        <f t="shared" si="21"/>
        <v>31-45</v>
      </c>
      <c r="O487" s="12">
        <f t="shared" si="22"/>
        <v>306.52999999999997</v>
      </c>
      <c r="P487" s="12">
        <f t="shared" si="23"/>
        <v>91.958999999999989</v>
      </c>
      <c r="X487" s="14" t="s">
        <v>541</v>
      </c>
      <c r="Y487" s="19">
        <v>774.23</v>
      </c>
    </row>
    <row r="488" spans="1:25" x14ac:dyDescent="0.3">
      <c r="A488">
        <v>25370</v>
      </c>
      <c r="B488" s="1">
        <v>45544</v>
      </c>
      <c r="C488">
        <v>576</v>
      </c>
      <c r="D488">
        <v>10</v>
      </c>
      <c r="E488" t="s">
        <v>13</v>
      </c>
      <c r="F488" t="s">
        <v>47</v>
      </c>
      <c r="G488">
        <v>1</v>
      </c>
      <c r="H488">
        <v>366.61</v>
      </c>
      <c r="I488" t="s">
        <v>35</v>
      </c>
      <c r="J488" t="s">
        <v>832</v>
      </c>
      <c r="K488">
        <v>2</v>
      </c>
      <c r="L488" t="s">
        <v>17</v>
      </c>
      <c r="M488">
        <v>57</v>
      </c>
      <c r="N488" s="18" t="str">
        <f t="shared" si="21"/>
        <v>46-60</v>
      </c>
      <c r="O488" s="12">
        <f t="shared" si="22"/>
        <v>366.61</v>
      </c>
      <c r="P488" s="12">
        <f t="shared" si="23"/>
        <v>109.983</v>
      </c>
      <c r="X488" s="14" t="s">
        <v>245</v>
      </c>
      <c r="Y488" s="19">
        <v>1730.95</v>
      </c>
    </row>
    <row r="489" spans="1:25" x14ac:dyDescent="0.3">
      <c r="A489">
        <v>10254</v>
      </c>
      <c r="B489" s="1">
        <v>45545</v>
      </c>
      <c r="C489">
        <v>318</v>
      </c>
      <c r="D489">
        <v>30</v>
      </c>
      <c r="E489" t="s">
        <v>37</v>
      </c>
      <c r="F489" t="s">
        <v>68</v>
      </c>
      <c r="G489">
        <v>1</v>
      </c>
      <c r="H489">
        <v>70.930000000000007</v>
      </c>
      <c r="I489" t="s">
        <v>35</v>
      </c>
      <c r="J489" t="s">
        <v>181</v>
      </c>
      <c r="K489">
        <v>3</v>
      </c>
      <c r="L489" t="s">
        <v>21</v>
      </c>
      <c r="M489">
        <v>73</v>
      </c>
      <c r="N489" s="18" t="str">
        <f t="shared" si="21"/>
        <v>60+</v>
      </c>
      <c r="O489" s="12">
        <f t="shared" si="22"/>
        <v>70.930000000000007</v>
      </c>
      <c r="P489" s="12">
        <f t="shared" si="23"/>
        <v>21.279</v>
      </c>
      <c r="X489" s="14" t="s">
        <v>190</v>
      </c>
      <c r="Y489" s="19">
        <v>996.75</v>
      </c>
    </row>
    <row r="490" spans="1:25" x14ac:dyDescent="0.3">
      <c r="A490">
        <v>29786</v>
      </c>
      <c r="B490" s="1">
        <v>45545</v>
      </c>
      <c r="C490">
        <v>749</v>
      </c>
      <c r="D490">
        <v>40</v>
      </c>
      <c r="E490" t="s">
        <v>24</v>
      </c>
      <c r="F490" t="s">
        <v>44</v>
      </c>
      <c r="G490">
        <v>3</v>
      </c>
      <c r="H490">
        <v>334.67</v>
      </c>
      <c r="I490" t="s">
        <v>26</v>
      </c>
      <c r="J490" t="s">
        <v>188</v>
      </c>
      <c r="K490">
        <v>5</v>
      </c>
      <c r="L490" t="s">
        <v>17</v>
      </c>
      <c r="M490">
        <v>23</v>
      </c>
      <c r="N490" s="18" t="str">
        <f t="shared" si="21"/>
        <v>18-30</v>
      </c>
      <c r="O490" s="12">
        <f t="shared" si="22"/>
        <v>1004.01</v>
      </c>
      <c r="P490" s="12">
        <f t="shared" si="23"/>
        <v>301.20299999999997</v>
      </c>
      <c r="X490" s="14" t="s">
        <v>248</v>
      </c>
      <c r="Y490" s="19">
        <v>1226.6400000000001</v>
      </c>
    </row>
    <row r="491" spans="1:25" x14ac:dyDescent="0.3">
      <c r="A491">
        <v>65102</v>
      </c>
      <c r="B491" s="1">
        <v>45545</v>
      </c>
      <c r="C491">
        <v>294</v>
      </c>
      <c r="D491">
        <v>20</v>
      </c>
      <c r="E491" t="s">
        <v>28</v>
      </c>
      <c r="F491" t="s">
        <v>77</v>
      </c>
      <c r="G491">
        <v>1</v>
      </c>
      <c r="H491">
        <v>107.09</v>
      </c>
      <c r="I491" t="s">
        <v>26</v>
      </c>
      <c r="J491" t="s">
        <v>575</v>
      </c>
      <c r="K491">
        <v>3</v>
      </c>
      <c r="L491" t="s">
        <v>17</v>
      </c>
      <c r="M491">
        <v>52</v>
      </c>
      <c r="N491" s="18" t="str">
        <f t="shared" si="21"/>
        <v>46-60</v>
      </c>
      <c r="O491" s="12">
        <f t="shared" si="22"/>
        <v>107.09</v>
      </c>
      <c r="P491" s="12">
        <f t="shared" si="23"/>
        <v>32.127000000000002</v>
      </c>
      <c r="X491" s="14" t="s">
        <v>100</v>
      </c>
      <c r="Y491" s="19">
        <v>1246.9000000000001</v>
      </c>
    </row>
    <row r="492" spans="1:25" x14ac:dyDescent="0.3">
      <c r="A492">
        <v>29007</v>
      </c>
      <c r="B492" s="1">
        <v>45546</v>
      </c>
      <c r="C492">
        <v>951</v>
      </c>
      <c r="D492">
        <v>50</v>
      </c>
      <c r="E492" t="s">
        <v>18</v>
      </c>
      <c r="F492" t="s">
        <v>19</v>
      </c>
      <c r="G492">
        <v>4</v>
      </c>
      <c r="H492">
        <v>334.37</v>
      </c>
      <c r="I492" t="s">
        <v>35</v>
      </c>
      <c r="J492" t="s">
        <v>674</v>
      </c>
      <c r="K492">
        <v>5</v>
      </c>
      <c r="L492" t="s">
        <v>21</v>
      </c>
      <c r="M492">
        <v>24</v>
      </c>
      <c r="N492" s="18" t="str">
        <f t="shared" si="21"/>
        <v>18-30</v>
      </c>
      <c r="O492" s="12">
        <f t="shared" si="22"/>
        <v>1337.48</v>
      </c>
      <c r="P492" s="12">
        <f t="shared" si="23"/>
        <v>401.24399999999997</v>
      </c>
      <c r="X492" s="14" t="s">
        <v>134</v>
      </c>
      <c r="Y492" s="19">
        <v>197.69</v>
      </c>
    </row>
    <row r="493" spans="1:25" x14ac:dyDescent="0.3">
      <c r="A493">
        <v>47725</v>
      </c>
      <c r="B493" s="1">
        <v>45547</v>
      </c>
      <c r="C493">
        <v>320</v>
      </c>
      <c r="D493">
        <v>20</v>
      </c>
      <c r="E493" t="s">
        <v>28</v>
      </c>
      <c r="F493" t="s">
        <v>72</v>
      </c>
      <c r="G493">
        <v>3</v>
      </c>
      <c r="H493">
        <v>106.66</v>
      </c>
      <c r="I493" t="s">
        <v>35</v>
      </c>
      <c r="J493" t="s">
        <v>277</v>
      </c>
      <c r="L493" t="s">
        <v>17</v>
      </c>
      <c r="M493">
        <v>36</v>
      </c>
      <c r="N493" s="18" t="str">
        <f t="shared" si="21"/>
        <v>31-45</v>
      </c>
      <c r="O493" s="12">
        <f t="shared" si="22"/>
        <v>319.98</v>
      </c>
      <c r="P493" s="12">
        <f t="shared" si="23"/>
        <v>95.994</v>
      </c>
      <c r="X493" s="14" t="s">
        <v>166</v>
      </c>
      <c r="Y493" s="19">
        <v>297.33999999999997</v>
      </c>
    </row>
    <row r="494" spans="1:25" x14ac:dyDescent="0.3">
      <c r="A494">
        <v>96162</v>
      </c>
      <c r="B494" s="1">
        <v>45547</v>
      </c>
      <c r="C494">
        <v>887</v>
      </c>
      <c r="D494">
        <v>50</v>
      </c>
      <c r="E494" t="s">
        <v>18</v>
      </c>
      <c r="F494" t="s">
        <v>34</v>
      </c>
      <c r="G494">
        <v>5</v>
      </c>
      <c r="H494">
        <v>292.95999999999998</v>
      </c>
      <c r="I494" t="s">
        <v>35</v>
      </c>
      <c r="J494" t="s">
        <v>424</v>
      </c>
      <c r="K494">
        <v>5</v>
      </c>
      <c r="L494" t="s">
        <v>21</v>
      </c>
      <c r="M494">
        <v>34</v>
      </c>
      <c r="N494" s="18" t="str">
        <f t="shared" si="21"/>
        <v>31-45</v>
      </c>
      <c r="O494" s="12">
        <f t="shared" si="22"/>
        <v>1464.8</v>
      </c>
      <c r="P494" s="12">
        <f t="shared" si="23"/>
        <v>439.44</v>
      </c>
      <c r="X494" s="14" t="s">
        <v>88</v>
      </c>
      <c r="Y494" s="19">
        <v>189.35</v>
      </c>
    </row>
    <row r="495" spans="1:25" x14ac:dyDescent="0.3">
      <c r="A495">
        <v>92859</v>
      </c>
      <c r="B495" s="1">
        <v>45547</v>
      </c>
      <c r="C495">
        <v>727</v>
      </c>
      <c r="D495">
        <v>50</v>
      </c>
      <c r="E495" t="s">
        <v>18</v>
      </c>
      <c r="F495" t="s">
        <v>84</v>
      </c>
      <c r="G495">
        <v>3</v>
      </c>
      <c r="H495">
        <v>498.35</v>
      </c>
      <c r="I495" t="s">
        <v>35</v>
      </c>
      <c r="J495" t="s">
        <v>731</v>
      </c>
      <c r="L495" t="s">
        <v>17</v>
      </c>
      <c r="M495">
        <v>27</v>
      </c>
      <c r="N495" s="18" t="str">
        <f t="shared" si="21"/>
        <v>18-30</v>
      </c>
      <c r="O495" s="12">
        <f t="shared" si="22"/>
        <v>1495.0500000000002</v>
      </c>
      <c r="P495" s="12">
        <f t="shared" si="23"/>
        <v>448.51500000000004</v>
      </c>
      <c r="X495" s="14" t="s">
        <v>818</v>
      </c>
      <c r="Y495" s="19">
        <v>428.62</v>
      </c>
    </row>
    <row r="496" spans="1:25" x14ac:dyDescent="0.3">
      <c r="A496">
        <v>29123</v>
      </c>
      <c r="B496" s="1">
        <v>45547</v>
      </c>
      <c r="C496">
        <v>506</v>
      </c>
      <c r="D496">
        <v>20</v>
      </c>
      <c r="E496" t="s">
        <v>28</v>
      </c>
      <c r="F496" t="s">
        <v>79</v>
      </c>
      <c r="G496">
        <v>3</v>
      </c>
      <c r="H496">
        <v>72.66</v>
      </c>
      <c r="I496" t="s">
        <v>35</v>
      </c>
      <c r="J496" t="s">
        <v>771</v>
      </c>
      <c r="L496" t="s">
        <v>17</v>
      </c>
      <c r="M496">
        <v>39</v>
      </c>
      <c r="N496" s="18" t="str">
        <f t="shared" si="21"/>
        <v>31-45</v>
      </c>
      <c r="O496" s="12">
        <f t="shared" si="22"/>
        <v>217.98</v>
      </c>
      <c r="P496" s="12">
        <f t="shared" si="23"/>
        <v>65.393999999999991</v>
      </c>
      <c r="X496" s="14" t="s">
        <v>789</v>
      </c>
      <c r="Y496" s="19">
        <v>1286.8499999999999</v>
      </c>
    </row>
    <row r="497" spans="1:25" x14ac:dyDescent="0.3">
      <c r="A497">
        <v>99828</v>
      </c>
      <c r="B497" s="1">
        <v>45547</v>
      </c>
      <c r="C497">
        <v>510</v>
      </c>
      <c r="D497">
        <v>40</v>
      </c>
      <c r="E497" t="s">
        <v>24</v>
      </c>
      <c r="F497" t="s">
        <v>25</v>
      </c>
      <c r="G497">
        <v>5</v>
      </c>
      <c r="H497">
        <v>427.73</v>
      </c>
      <c r="I497" t="s">
        <v>15</v>
      </c>
      <c r="J497" t="s">
        <v>1006</v>
      </c>
      <c r="K497">
        <v>3</v>
      </c>
      <c r="L497" t="s">
        <v>17</v>
      </c>
      <c r="M497">
        <v>72</v>
      </c>
      <c r="N497" s="18" t="str">
        <f t="shared" si="21"/>
        <v>60+</v>
      </c>
      <c r="O497" s="12">
        <f t="shared" si="22"/>
        <v>2138.65</v>
      </c>
      <c r="P497" s="12">
        <f t="shared" si="23"/>
        <v>641.59500000000003</v>
      </c>
      <c r="X497" s="14" t="s">
        <v>609</v>
      </c>
      <c r="Y497" s="19">
        <v>903.21</v>
      </c>
    </row>
    <row r="498" spans="1:25" x14ac:dyDescent="0.3">
      <c r="A498">
        <v>10486</v>
      </c>
      <c r="B498" s="1">
        <v>45548</v>
      </c>
      <c r="C498">
        <v>297</v>
      </c>
      <c r="D498">
        <v>20</v>
      </c>
      <c r="E498" t="s">
        <v>28</v>
      </c>
      <c r="F498" t="s">
        <v>51</v>
      </c>
      <c r="G498">
        <v>2</v>
      </c>
      <c r="H498">
        <v>274.10000000000002</v>
      </c>
      <c r="I498" t="s">
        <v>35</v>
      </c>
      <c r="J498" t="s">
        <v>52</v>
      </c>
      <c r="K498">
        <v>4</v>
      </c>
      <c r="L498" t="s">
        <v>17</v>
      </c>
      <c r="M498">
        <v>54</v>
      </c>
      <c r="N498" s="18" t="str">
        <f t="shared" si="21"/>
        <v>46-60</v>
      </c>
      <c r="O498" s="12">
        <f t="shared" si="22"/>
        <v>548.20000000000005</v>
      </c>
      <c r="P498" s="12">
        <f t="shared" si="23"/>
        <v>164.46</v>
      </c>
      <c r="X498" s="14" t="s">
        <v>618</v>
      </c>
      <c r="Y498" s="19">
        <v>691.96</v>
      </c>
    </row>
    <row r="499" spans="1:25" x14ac:dyDescent="0.3">
      <c r="A499">
        <v>55931</v>
      </c>
      <c r="B499" s="1">
        <v>45548</v>
      </c>
      <c r="C499">
        <v>431</v>
      </c>
      <c r="D499">
        <v>40</v>
      </c>
      <c r="E499" t="s">
        <v>24</v>
      </c>
      <c r="F499" t="s">
        <v>49</v>
      </c>
      <c r="G499">
        <v>2</v>
      </c>
      <c r="H499">
        <v>328.1</v>
      </c>
      <c r="I499" t="s">
        <v>15</v>
      </c>
      <c r="J499" t="s">
        <v>597</v>
      </c>
      <c r="K499">
        <v>5</v>
      </c>
      <c r="L499" t="s">
        <v>17</v>
      </c>
      <c r="M499">
        <v>46</v>
      </c>
      <c r="N499" s="18" t="str">
        <f t="shared" si="21"/>
        <v>46-60</v>
      </c>
      <c r="O499" s="12">
        <f t="shared" si="22"/>
        <v>656.2</v>
      </c>
      <c r="P499" s="12">
        <f t="shared" si="23"/>
        <v>196.86</v>
      </c>
      <c r="X499" s="14" t="s">
        <v>538</v>
      </c>
      <c r="Y499" s="19">
        <v>89.6</v>
      </c>
    </row>
    <row r="500" spans="1:25" x14ac:dyDescent="0.3">
      <c r="A500">
        <v>76854</v>
      </c>
      <c r="B500" s="1">
        <v>45549</v>
      </c>
      <c r="C500">
        <v>845</v>
      </c>
      <c r="D500">
        <v>30</v>
      </c>
      <c r="E500" t="s">
        <v>37</v>
      </c>
      <c r="F500" t="s">
        <v>38</v>
      </c>
      <c r="G500">
        <v>2</v>
      </c>
      <c r="H500">
        <v>148.59</v>
      </c>
      <c r="I500" t="s">
        <v>26</v>
      </c>
      <c r="J500" t="s">
        <v>199</v>
      </c>
      <c r="K500">
        <v>5</v>
      </c>
      <c r="L500" t="s">
        <v>17</v>
      </c>
      <c r="M500">
        <v>64</v>
      </c>
      <c r="N500" s="18" t="str">
        <f t="shared" si="21"/>
        <v>60+</v>
      </c>
      <c r="O500" s="12">
        <f t="shared" si="22"/>
        <v>297.18</v>
      </c>
      <c r="P500" s="12">
        <f t="shared" si="23"/>
        <v>89.153999999999996</v>
      </c>
      <c r="X500" s="14" t="s">
        <v>470</v>
      </c>
      <c r="Y500" s="19">
        <v>754.89</v>
      </c>
    </row>
    <row r="501" spans="1:25" x14ac:dyDescent="0.3">
      <c r="A501">
        <v>82077</v>
      </c>
      <c r="B501" s="1">
        <v>45549</v>
      </c>
      <c r="C501">
        <v>889</v>
      </c>
      <c r="D501">
        <v>20</v>
      </c>
      <c r="E501" t="s">
        <v>28</v>
      </c>
      <c r="F501" t="s">
        <v>51</v>
      </c>
      <c r="G501">
        <v>1</v>
      </c>
      <c r="H501">
        <v>239.33</v>
      </c>
      <c r="I501" t="s">
        <v>15</v>
      </c>
      <c r="J501" t="s">
        <v>396</v>
      </c>
      <c r="K501">
        <v>5</v>
      </c>
      <c r="L501" t="s">
        <v>21</v>
      </c>
      <c r="M501">
        <v>37</v>
      </c>
      <c r="N501" s="18" t="str">
        <f t="shared" si="21"/>
        <v>31-45</v>
      </c>
      <c r="O501" s="12">
        <f t="shared" si="22"/>
        <v>239.33</v>
      </c>
      <c r="P501" s="12">
        <f t="shared" si="23"/>
        <v>71.799000000000007</v>
      </c>
      <c r="X501" s="14" t="s">
        <v>421</v>
      </c>
      <c r="Y501" s="19">
        <v>1143.8</v>
      </c>
    </row>
    <row r="502" spans="1:25" x14ac:dyDescent="0.3">
      <c r="A502">
        <v>13425</v>
      </c>
      <c r="B502" s="1">
        <v>45549</v>
      </c>
      <c r="C502">
        <v>852</v>
      </c>
      <c r="D502">
        <v>30</v>
      </c>
      <c r="E502" t="s">
        <v>37</v>
      </c>
      <c r="F502" t="s">
        <v>68</v>
      </c>
      <c r="G502">
        <v>4</v>
      </c>
      <c r="H502">
        <v>409.58</v>
      </c>
      <c r="I502" t="s">
        <v>35</v>
      </c>
      <c r="J502" t="s">
        <v>474</v>
      </c>
      <c r="K502">
        <v>5</v>
      </c>
      <c r="L502" t="s">
        <v>21</v>
      </c>
      <c r="M502">
        <v>46</v>
      </c>
      <c r="N502" s="18" t="str">
        <f t="shared" si="21"/>
        <v>46-60</v>
      </c>
      <c r="O502" s="12">
        <f t="shared" si="22"/>
        <v>1638.32</v>
      </c>
      <c r="P502" s="12">
        <f t="shared" si="23"/>
        <v>491.49599999999998</v>
      </c>
      <c r="X502" s="14" t="s">
        <v>120</v>
      </c>
      <c r="Y502" s="19">
        <v>341.89</v>
      </c>
    </row>
    <row r="503" spans="1:25" x14ac:dyDescent="0.3">
      <c r="A503">
        <v>14276</v>
      </c>
      <c r="B503" s="1">
        <v>45549</v>
      </c>
      <c r="C503">
        <v>513</v>
      </c>
      <c r="D503">
        <v>50</v>
      </c>
      <c r="E503" t="s">
        <v>18</v>
      </c>
      <c r="F503" t="s">
        <v>34</v>
      </c>
      <c r="G503">
        <v>5</v>
      </c>
      <c r="H503">
        <v>212.42</v>
      </c>
      <c r="I503" t="s">
        <v>15</v>
      </c>
      <c r="J503" t="s">
        <v>660</v>
      </c>
      <c r="L503" t="s">
        <v>21</v>
      </c>
      <c r="M503">
        <v>73</v>
      </c>
      <c r="N503" s="18" t="str">
        <f t="shared" si="21"/>
        <v>60+</v>
      </c>
      <c r="O503" s="12">
        <f t="shared" si="22"/>
        <v>1062.0999999999999</v>
      </c>
      <c r="P503" s="12">
        <f t="shared" si="23"/>
        <v>318.62999999999994</v>
      </c>
      <c r="X503" s="14" t="s">
        <v>413</v>
      </c>
      <c r="Y503" s="19">
        <v>1765.95</v>
      </c>
    </row>
    <row r="504" spans="1:25" x14ac:dyDescent="0.3">
      <c r="A504">
        <v>60295</v>
      </c>
      <c r="B504" s="1">
        <v>45549</v>
      </c>
      <c r="C504">
        <v>636</v>
      </c>
      <c r="D504">
        <v>50</v>
      </c>
      <c r="E504" t="s">
        <v>18</v>
      </c>
      <c r="F504" t="s">
        <v>34</v>
      </c>
      <c r="G504">
        <v>2</v>
      </c>
      <c r="H504">
        <v>349.54</v>
      </c>
      <c r="I504" t="s">
        <v>15</v>
      </c>
      <c r="J504" t="s">
        <v>720</v>
      </c>
      <c r="K504">
        <v>5</v>
      </c>
      <c r="L504" t="s">
        <v>21</v>
      </c>
      <c r="M504">
        <v>71</v>
      </c>
      <c r="N504" s="18" t="str">
        <f t="shared" si="21"/>
        <v>60+</v>
      </c>
      <c r="O504" s="12">
        <f t="shared" si="22"/>
        <v>699.08</v>
      </c>
      <c r="P504" s="12">
        <f t="shared" si="23"/>
        <v>209.72400000000002</v>
      </c>
      <c r="X504" s="14" t="s">
        <v>897</v>
      </c>
      <c r="Y504" s="19">
        <v>1024.72</v>
      </c>
    </row>
    <row r="505" spans="1:25" x14ac:dyDescent="0.3">
      <c r="A505">
        <v>68220</v>
      </c>
      <c r="B505" s="1">
        <v>45550</v>
      </c>
      <c r="C505">
        <v>961</v>
      </c>
      <c r="D505">
        <v>30</v>
      </c>
      <c r="E505" t="s">
        <v>37</v>
      </c>
      <c r="F505" t="s">
        <v>58</v>
      </c>
      <c r="G505">
        <v>2</v>
      </c>
      <c r="H505">
        <v>113.21</v>
      </c>
      <c r="I505" t="s">
        <v>26</v>
      </c>
      <c r="J505" t="s">
        <v>99</v>
      </c>
      <c r="K505">
        <v>1</v>
      </c>
      <c r="L505" t="s">
        <v>17</v>
      </c>
      <c r="M505">
        <v>50</v>
      </c>
      <c r="N505" s="18" t="str">
        <f t="shared" si="21"/>
        <v>46-60</v>
      </c>
      <c r="O505" s="12">
        <f t="shared" si="22"/>
        <v>226.42</v>
      </c>
      <c r="P505" s="12">
        <f t="shared" si="23"/>
        <v>67.925999999999988</v>
      </c>
      <c r="X505" s="14" t="s">
        <v>107</v>
      </c>
      <c r="Y505" s="19">
        <v>110.75</v>
      </c>
    </row>
    <row r="506" spans="1:25" x14ac:dyDescent="0.3">
      <c r="A506">
        <v>53270</v>
      </c>
      <c r="B506" s="1">
        <v>45550</v>
      </c>
      <c r="C506">
        <v>848</v>
      </c>
      <c r="D506">
        <v>20</v>
      </c>
      <c r="E506" t="s">
        <v>28</v>
      </c>
      <c r="F506" t="s">
        <v>29</v>
      </c>
      <c r="G506">
        <v>1</v>
      </c>
      <c r="H506">
        <v>431.8</v>
      </c>
      <c r="I506" t="s">
        <v>35</v>
      </c>
      <c r="J506" t="s">
        <v>539</v>
      </c>
      <c r="K506">
        <v>4</v>
      </c>
      <c r="L506" t="s">
        <v>17</v>
      </c>
      <c r="M506">
        <v>65</v>
      </c>
      <c r="N506" s="18" t="str">
        <f t="shared" si="21"/>
        <v>60+</v>
      </c>
      <c r="O506" s="12">
        <f t="shared" si="22"/>
        <v>431.8</v>
      </c>
      <c r="P506" s="12">
        <f t="shared" si="23"/>
        <v>129.54</v>
      </c>
      <c r="X506" s="14" t="s">
        <v>257</v>
      </c>
      <c r="Y506" s="19">
        <v>1216.6200000000001</v>
      </c>
    </row>
    <row r="507" spans="1:25" x14ac:dyDescent="0.3">
      <c r="A507">
        <v>71646</v>
      </c>
      <c r="B507" s="1">
        <v>45550</v>
      </c>
      <c r="C507">
        <v>693</v>
      </c>
      <c r="D507">
        <v>30</v>
      </c>
      <c r="E507" t="s">
        <v>37</v>
      </c>
      <c r="F507" t="s">
        <v>40</v>
      </c>
      <c r="G507">
        <v>2</v>
      </c>
      <c r="H507">
        <v>60.33</v>
      </c>
      <c r="I507" t="s">
        <v>35</v>
      </c>
      <c r="J507" t="s">
        <v>668</v>
      </c>
      <c r="K507">
        <v>4</v>
      </c>
      <c r="L507" t="s">
        <v>21</v>
      </c>
      <c r="M507">
        <v>48</v>
      </c>
      <c r="N507" s="18" t="str">
        <f t="shared" si="21"/>
        <v>46-60</v>
      </c>
      <c r="O507" s="12">
        <f t="shared" si="22"/>
        <v>120.66</v>
      </c>
      <c r="P507" s="12">
        <f t="shared" si="23"/>
        <v>36.198</v>
      </c>
      <c r="X507" s="14" t="s">
        <v>466</v>
      </c>
      <c r="Y507" s="19">
        <v>282.92</v>
      </c>
    </row>
    <row r="508" spans="1:25" x14ac:dyDescent="0.3">
      <c r="A508">
        <v>79047</v>
      </c>
      <c r="B508" s="1">
        <v>45551</v>
      </c>
      <c r="C508">
        <v>517</v>
      </c>
      <c r="D508">
        <v>50</v>
      </c>
      <c r="E508" t="s">
        <v>18</v>
      </c>
      <c r="F508" t="s">
        <v>87</v>
      </c>
      <c r="G508">
        <v>3</v>
      </c>
      <c r="H508">
        <v>310.39</v>
      </c>
      <c r="I508" t="s">
        <v>26</v>
      </c>
      <c r="J508" t="s">
        <v>874</v>
      </c>
      <c r="K508">
        <v>4</v>
      </c>
      <c r="L508" t="s">
        <v>21</v>
      </c>
      <c r="M508">
        <v>62</v>
      </c>
      <c r="N508" s="18" t="str">
        <f t="shared" si="21"/>
        <v>60+</v>
      </c>
      <c r="O508" s="12">
        <f t="shared" si="22"/>
        <v>931.17</v>
      </c>
      <c r="P508" s="12">
        <f t="shared" si="23"/>
        <v>279.351</v>
      </c>
      <c r="X508" s="14" t="s">
        <v>866</v>
      </c>
      <c r="Y508" s="19">
        <v>124.01</v>
      </c>
    </row>
    <row r="509" spans="1:25" x14ac:dyDescent="0.3">
      <c r="A509">
        <v>77178</v>
      </c>
      <c r="B509" s="1">
        <v>45552</v>
      </c>
      <c r="C509">
        <v>167</v>
      </c>
      <c r="D509">
        <v>40</v>
      </c>
      <c r="E509" t="s">
        <v>24</v>
      </c>
      <c r="F509" t="s">
        <v>63</v>
      </c>
      <c r="G509">
        <v>5</v>
      </c>
      <c r="H509">
        <v>126.23</v>
      </c>
      <c r="I509" t="s">
        <v>35</v>
      </c>
      <c r="J509" t="s">
        <v>217</v>
      </c>
      <c r="K509">
        <v>3</v>
      </c>
      <c r="L509" t="s">
        <v>21</v>
      </c>
      <c r="M509">
        <v>61</v>
      </c>
      <c r="N509" s="18" t="str">
        <f t="shared" si="21"/>
        <v>60+</v>
      </c>
      <c r="O509" s="12">
        <f t="shared" si="22"/>
        <v>631.15</v>
      </c>
      <c r="P509" s="12">
        <f t="shared" si="23"/>
        <v>189.345</v>
      </c>
      <c r="X509" s="14" t="s">
        <v>316</v>
      </c>
      <c r="Y509" s="19">
        <v>854.37</v>
      </c>
    </row>
    <row r="510" spans="1:25" x14ac:dyDescent="0.3">
      <c r="A510">
        <v>84001</v>
      </c>
      <c r="B510" s="1">
        <v>45552</v>
      </c>
      <c r="C510">
        <v>970</v>
      </c>
      <c r="D510">
        <v>10</v>
      </c>
      <c r="E510" t="s">
        <v>13</v>
      </c>
      <c r="F510" t="s">
        <v>42</v>
      </c>
      <c r="G510">
        <v>5</v>
      </c>
      <c r="H510">
        <v>332.86</v>
      </c>
      <c r="I510" t="s">
        <v>15</v>
      </c>
      <c r="J510" t="s">
        <v>875</v>
      </c>
      <c r="K510">
        <v>5</v>
      </c>
      <c r="L510" t="s">
        <v>21</v>
      </c>
      <c r="M510">
        <v>67</v>
      </c>
      <c r="N510" s="18" t="str">
        <f t="shared" si="21"/>
        <v>60+</v>
      </c>
      <c r="O510" s="12">
        <f t="shared" si="22"/>
        <v>1664.3000000000002</v>
      </c>
      <c r="P510" s="12">
        <f t="shared" si="23"/>
        <v>499.29</v>
      </c>
      <c r="X510" s="14" t="s">
        <v>340</v>
      </c>
      <c r="Y510" s="19">
        <v>794.56</v>
      </c>
    </row>
    <row r="511" spans="1:25" x14ac:dyDescent="0.3">
      <c r="A511">
        <v>61427</v>
      </c>
      <c r="B511" s="1">
        <v>45552</v>
      </c>
      <c r="C511">
        <v>410</v>
      </c>
      <c r="D511">
        <v>10</v>
      </c>
      <c r="E511" t="s">
        <v>13</v>
      </c>
      <c r="F511" t="s">
        <v>47</v>
      </c>
      <c r="G511">
        <v>4</v>
      </c>
      <c r="H511">
        <v>221.54</v>
      </c>
      <c r="I511" t="s">
        <v>35</v>
      </c>
      <c r="J511" t="s">
        <v>1008</v>
      </c>
      <c r="K511">
        <v>3</v>
      </c>
      <c r="L511" t="s">
        <v>21</v>
      </c>
      <c r="M511">
        <v>71</v>
      </c>
      <c r="N511" s="18" t="str">
        <f t="shared" si="21"/>
        <v>60+</v>
      </c>
      <c r="O511" s="12">
        <f t="shared" si="22"/>
        <v>886.16</v>
      </c>
      <c r="P511" s="12">
        <f t="shared" si="23"/>
        <v>265.84799999999996</v>
      </c>
      <c r="X511" s="14" t="s">
        <v>989</v>
      </c>
      <c r="Y511" s="19">
        <v>2052.75</v>
      </c>
    </row>
    <row r="512" spans="1:25" x14ac:dyDescent="0.3">
      <c r="A512">
        <v>96418</v>
      </c>
      <c r="B512" s="1">
        <v>45553</v>
      </c>
      <c r="C512">
        <v>939</v>
      </c>
      <c r="D512">
        <v>30</v>
      </c>
      <c r="E512" t="s">
        <v>37</v>
      </c>
      <c r="F512" t="s">
        <v>58</v>
      </c>
      <c r="G512">
        <v>2</v>
      </c>
      <c r="H512">
        <v>325.88</v>
      </c>
      <c r="I512" t="s">
        <v>26</v>
      </c>
      <c r="J512" t="s">
        <v>618</v>
      </c>
      <c r="K512">
        <v>5</v>
      </c>
      <c r="L512" t="s">
        <v>17</v>
      </c>
      <c r="M512">
        <v>64</v>
      </c>
      <c r="N512" s="18" t="str">
        <f t="shared" si="21"/>
        <v>60+</v>
      </c>
      <c r="O512" s="12">
        <f t="shared" si="22"/>
        <v>651.76</v>
      </c>
      <c r="P512" s="12">
        <f t="shared" si="23"/>
        <v>195.52799999999999</v>
      </c>
      <c r="X512" s="14" t="s">
        <v>888</v>
      </c>
      <c r="Y512" s="19">
        <v>481.21</v>
      </c>
    </row>
    <row r="513" spans="1:25" x14ac:dyDescent="0.3">
      <c r="A513">
        <v>53004</v>
      </c>
      <c r="B513" s="1">
        <v>45554</v>
      </c>
      <c r="C513">
        <v>309</v>
      </c>
      <c r="D513">
        <v>30</v>
      </c>
      <c r="E513" t="s">
        <v>37</v>
      </c>
      <c r="F513" t="s">
        <v>58</v>
      </c>
      <c r="G513">
        <v>5</v>
      </c>
      <c r="H513">
        <v>249.38</v>
      </c>
      <c r="I513" t="s">
        <v>15</v>
      </c>
      <c r="J513" t="s">
        <v>100</v>
      </c>
      <c r="L513" t="s">
        <v>21</v>
      </c>
      <c r="M513">
        <v>20</v>
      </c>
      <c r="N513" s="18" t="str">
        <f t="shared" si="21"/>
        <v>18-30</v>
      </c>
      <c r="O513" s="12">
        <f t="shared" si="22"/>
        <v>1246.9000000000001</v>
      </c>
      <c r="P513" s="12">
        <f t="shared" si="23"/>
        <v>374.07</v>
      </c>
      <c r="X513" s="14" t="s">
        <v>902</v>
      </c>
      <c r="Y513" s="19">
        <v>623.67999999999995</v>
      </c>
    </row>
    <row r="514" spans="1:25" x14ac:dyDescent="0.3">
      <c r="A514">
        <v>62697</v>
      </c>
      <c r="B514" s="1">
        <v>45554</v>
      </c>
      <c r="C514">
        <v>774</v>
      </c>
      <c r="D514">
        <v>10</v>
      </c>
      <c r="E514" t="s">
        <v>13</v>
      </c>
      <c r="F514" t="s">
        <v>111</v>
      </c>
      <c r="G514">
        <v>2</v>
      </c>
      <c r="H514">
        <v>471.12</v>
      </c>
      <c r="I514" t="s">
        <v>26</v>
      </c>
      <c r="J514" t="s">
        <v>170</v>
      </c>
      <c r="L514" t="s">
        <v>21</v>
      </c>
      <c r="M514">
        <v>25</v>
      </c>
      <c r="N514" s="18" t="str">
        <f t="shared" si="21"/>
        <v>18-30</v>
      </c>
      <c r="O514" s="12">
        <f t="shared" si="22"/>
        <v>942.24</v>
      </c>
      <c r="P514" s="12">
        <f t="shared" si="23"/>
        <v>282.67199999999997</v>
      </c>
      <c r="X514" s="14" t="s">
        <v>629</v>
      </c>
      <c r="Y514" s="19">
        <v>278.86</v>
      </c>
    </row>
    <row r="515" spans="1:25" x14ac:dyDescent="0.3">
      <c r="A515">
        <v>52324</v>
      </c>
      <c r="B515" s="1">
        <v>45555</v>
      </c>
      <c r="C515">
        <v>932</v>
      </c>
      <c r="D515">
        <v>20</v>
      </c>
      <c r="E515" t="s">
        <v>28</v>
      </c>
      <c r="F515" t="s">
        <v>79</v>
      </c>
      <c r="G515">
        <v>2</v>
      </c>
      <c r="H515">
        <v>260.14</v>
      </c>
      <c r="I515" t="s">
        <v>15</v>
      </c>
      <c r="J515" t="s">
        <v>275</v>
      </c>
      <c r="K515">
        <v>4</v>
      </c>
      <c r="L515" t="s">
        <v>21</v>
      </c>
      <c r="M515">
        <v>64</v>
      </c>
      <c r="N515" s="18" t="str">
        <f t="shared" ref="N515:N578" si="24">IF(M515&lt;=30,"18-30",IF(M515&lt;=45,"31-45",IF(M515&lt;=60,"46-60","60+")))</f>
        <v>60+</v>
      </c>
      <c r="O515" s="12">
        <f t="shared" ref="O515:O578" si="25">H515*G515</f>
        <v>520.28</v>
      </c>
      <c r="P515" s="12">
        <f t="shared" ref="P515:P578" si="26">O515*0.3</f>
        <v>156.08399999999997</v>
      </c>
      <c r="X515" s="14" t="s">
        <v>781</v>
      </c>
      <c r="Y515" s="19">
        <v>703.68</v>
      </c>
    </row>
    <row r="516" spans="1:25" x14ac:dyDescent="0.3">
      <c r="A516">
        <v>86646</v>
      </c>
      <c r="B516" s="1">
        <v>45555</v>
      </c>
      <c r="C516">
        <v>279</v>
      </c>
      <c r="D516">
        <v>20</v>
      </c>
      <c r="E516" t="s">
        <v>28</v>
      </c>
      <c r="F516" t="s">
        <v>77</v>
      </c>
      <c r="G516">
        <v>2</v>
      </c>
      <c r="H516">
        <v>397.28</v>
      </c>
      <c r="I516" t="s">
        <v>15</v>
      </c>
      <c r="J516" t="s">
        <v>340</v>
      </c>
      <c r="K516">
        <v>3</v>
      </c>
      <c r="L516" t="s">
        <v>17</v>
      </c>
      <c r="M516">
        <v>55</v>
      </c>
      <c r="N516" s="18" t="str">
        <f t="shared" si="24"/>
        <v>46-60</v>
      </c>
      <c r="O516" s="12">
        <f t="shared" si="25"/>
        <v>794.56</v>
      </c>
      <c r="P516" s="12">
        <f t="shared" si="26"/>
        <v>238.36799999999997</v>
      </c>
      <c r="X516" s="14" t="s">
        <v>864</v>
      </c>
      <c r="Y516" s="19">
        <v>436.34999999999997</v>
      </c>
    </row>
    <row r="517" spans="1:25" x14ac:dyDescent="0.3">
      <c r="A517">
        <v>79476</v>
      </c>
      <c r="B517" s="1">
        <v>45555</v>
      </c>
      <c r="C517">
        <v>880</v>
      </c>
      <c r="D517">
        <v>50</v>
      </c>
      <c r="E517" t="s">
        <v>18</v>
      </c>
      <c r="F517" t="s">
        <v>87</v>
      </c>
      <c r="G517">
        <v>4</v>
      </c>
      <c r="H517">
        <v>322.58999999999997</v>
      </c>
      <c r="I517" t="s">
        <v>15</v>
      </c>
      <c r="J517" t="s">
        <v>387</v>
      </c>
      <c r="L517" t="s">
        <v>21</v>
      </c>
      <c r="M517">
        <v>25</v>
      </c>
      <c r="N517" s="18" t="str">
        <f t="shared" si="24"/>
        <v>18-30</v>
      </c>
      <c r="O517" s="12">
        <f t="shared" si="25"/>
        <v>1290.3599999999999</v>
      </c>
      <c r="P517" s="12">
        <f t="shared" si="26"/>
        <v>387.10799999999995</v>
      </c>
      <c r="X517" s="14" t="s">
        <v>567</v>
      </c>
      <c r="Y517" s="19">
        <v>463.7</v>
      </c>
    </row>
    <row r="518" spans="1:25" x14ac:dyDescent="0.3">
      <c r="A518">
        <v>50437</v>
      </c>
      <c r="B518" s="1">
        <v>45555</v>
      </c>
      <c r="C518">
        <v>220</v>
      </c>
      <c r="D518">
        <v>40</v>
      </c>
      <c r="E518" t="s">
        <v>24</v>
      </c>
      <c r="F518" t="s">
        <v>44</v>
      </c>
      <c r="G518">
        <v>2</v>
      </c>
      <c r="H518">
        <v>266.27</v>
      </c>
      <c r="I518" t="s">
        <v>35</v>
      </c>
      <c r="J518" t="s">
        <v>547</v>
      </c>
      <c r="K518">
        <v>2</v>
      </c>
      <c r="L518" t="s">
        <v>21</v>
      </c>
      <c r="M518">
        <v>34</v>
      </c>
      <c r="N518" s="18" t="str">
        <f t="shared" si="24"/>
        <v>31-45</v>
      </c>
      <c r="O518" s="12">
        <f t="shared" si="25"/>
        <v>532.54</v>
      </c>
      <c r="P518" s="12">
        <f t="shared" si="26"/>
        <v>159.76199999999997</v>
      </c>
      <c r="X518" s="14" t="s">
        <v>610</v>
      </c>
      <c r="Y518" s="19">
        <v>615.17999999999995</v>
      </c>
    </row>
    <row r="519" spans="1:25" x14ac:dyDescent="0.3">
      <c r="A519">
        <v>15858</v>
      </c>
      <c r="B519" s="1">
        <v>45555</v>
      </c>
      <c r="C519">
        <v>626</v>
      </c>
      <c r="D519">
        <v>30</v>
      </c>
      <c r="E519" t="s">
        <v>37</v>
      </c>
      <c r="F519" t="s">
        <v>40</v>
      </c>
      <c r="G519">
        <v>2</v>
      </c>
      <c r="H519">
        <v>213.97</v>
      </c>
      <c r="I519" t="s">
        <v>35</v>
      </c>
      <c r="J519" t="s">
        <v>554</v>
      </c>
      <c r="K519">
        <v>3</v>
      </c>
      <c r="L519" t="s">
        <v>17</v>
      </c>
      <c r="M519">
        <v>51</v>
      </c>
      <c r="N519" s="18" t="str">
        <f t="shared" si="24"/>
        <v>46-60</v>
      </c>
      <c r="O519" s="12">
        <f t="shared" si="25"/>
        <v>427.94</v>
      </c>
      <c r="P519" s="12">
        <f t="shared" si="26"/>
        <v>128.38200000000001</v>
      </c>
      <c r="X519" s="14" t="s">
        <v>645</v>
      </c>
      <c r="Y519" s="19">
        <v>841.40000000000009</v>
      </c>
    </row>
    <row r="520" spans="1:25" x14ac:dyDescent="0.3">
      <c r="A520">
        <v>92429</v>
      </c>
      <c r="B520" s="1">
        <v>45555</v>
      </c>
      <c r="C520">
        <v>710</v>
      </c>
      <c r="D520">
        <v>10</v>
      </c>
      <c r="E520" t="s">
        <v>13</v>
      </c>
      <c r="F520" t="s">
        <v>111</v>
      </c>
      <c r="G520">
        <v>4</v>
      </c>
      <c r="H520">
        <v>303.16000000000003</v>
      </c>
      <c r="I520" t="s">
        <v>35</v>
      </c>
      <c r="J520" t="s">
        <v>784</v>
      </c>
      <c r="K520">
        <v>4</v>
      </c>
      <c r="L520" t="s">
        <v>21</v>
      </c>
      <c r="M520">
        <v>50</v>
      </c>
      <c r="N520" s="18" t="str">
        <f t="shared" si="24"/>
        <v>46-60</v>
      </c>
      <c r="O520" s="12">
        <f t="shared" si="25"/>
        <v>1212.6400000000001</v>
      </c>
      <c r="P520" s="12">
        <f t="shared" si="26"/>
        <v>363.79200000000003</v>
      </c>
      <c r="X520" s="14" t="s">
        <v>164</v>
      </c>
      <c r="Y520" s="19">
        <v>1558.6599999999999</v>
      </c>
    </row>
    <row r="521" spans="1:25" x14ac:dyDescent="0.3">
      <c r="A521">
        <v>53811</v>
      </c>
      <c r="B521" s="1">
        <v>45556</v>
      </c>
      <c r="C521">
        <v>551</v>
      </c>
      <c r="D521">
        <v>40</v>
      </c>
      <c r="E521" t="s">
        <v>24</v>
      </c>
      <c r="F521" t="s">
        <v>65</v>
      </c>
      <c r="G521">
        <v>5</v>
      </c>
      <c r="H521">
        <v>426.37</v>
      </c>
      <c r="I521" t="s">
        <v>15</v>
      </c>
      <c r="J521" t="s">
        <v>125</v>
      </c>
      <c r="K521">
        <v>4</v>
      </c>
      <c r="L521" t="s">
        <v>17</v>
      </c>
      <c r="M521">
        <v>52</v>
      </c>
      <c r="N521" s="18" t="str">
        <f t="shared" si="24"/>
        <v>46-60</v>
      </c>
      <c r="O521" s="12">
        <f t="shared" si="25"/>
        <v>2131.85</v>
      </c>
      <c r="P521" s="12">
        <f t="shared" si="26"/>
        <v>639.55499999999995</v>
      </c>
      <c r="X521" s="14" t="s">
        <v>748</v>
      </c>
      <c r="Y521" s="19">
        <v>98.87</v>
      </c>
    </row>
    <row r="522" spans="1:25" x14ac:dyDescent="0.3">
      <c r="A522">
        <v>78056</v>
      </c>
      <c r="B522" s="1">
        <v>45556</v>
      </c>
      <c r="C522">
        <v>313</v>
      </c>
      <c r="D522">
        <v>40</v>
      </c>
      <c r="E522" t="s">
        <v>24</v>
      </c>
      <c r="F522" t="s">
        <v>49</v>
      </c>
      <c r="G522">
        <v>2</v>
      </c>
      <c r="H522">
        <v>113.24</v>
      </c>
      <c r="I522" t="s">
        <v>15</v>
      </c>
      <c r="J522" t="s">
        <v>770</v>
      </c>
      <c r="K522">
        <v>5</v>
      </c>
      <c r="L522" t="s">
        <v>21</v>
      </c>
      <c r="M522">
        <v>43</v>
      </c>
      <c r="N522" s="18" t="str">
        <f t="shared" si="24"/>
        <v>31-45</v>
      </c>
      <c r="O522" s="12">
        <f t="shared" si="25"/>
        <v>226.48</v>
      </c>
      <c r="P522" s="12">
        <f t="shared" si="26"/>
        <v>67.943999999999988</v>
      </c>
      <c r="X522" s="14" t="s">
        <v>332</v>
      </c>
      <c r="Y522" s="19">
        <v>306.5</v>
      </c>
    </row>
    <row r="523" spans="1:25" x14ac:dyDescent="0.3">
      <c r="A523">
        <v>89576</v>
      </c>
      <c r="B523" s="1">
        <v>45556</v>
      </c>
      <c r="C523">
        <v>774</v>
      </c>
      <c r="D523">
        <v>30</v>
      </c>
      <c r="E523" t="s">
        <v>37</v>
      </c>
      <c r="F523" t="s">
        <v>68</v>
      </c>
      <c r="G523">
        <v>3</v>
      </c>
      <c r="H523">
        <v>82.53</v>
      </c>
      <c r="I523" t="s">
        <v>26</v>
      </c>
      <c r="J523" t="s">
        <v>899</v>
      </c>
      <c r="L523" t="s">
        <v>17</v>
      </c>
      <c r="M523">
        <v>26</v>
      </c>
      <c r="N523" s="18" t="str">
        <f t="shared" si="24"/>
        <v>18-30</v>
      </c>
      <c r="O523" s="12">
        <f t="shared" si="25"/>
        <v>247.59</v>
      </c>
      <c r="P523" s="12">
        <f t="shared" si="26"/>
        <v>74.277000000000001</v>
      </c>
      <c r="X523" s="14" t="s">
        <v>976</v>
      </c>
      <c r="Y523" s="19">
        <v>206.4</v>
      </c>
    </row>
    <row r="524" spans="1:25" x14ac:dyDescent="0.3">
      <c r="A524">
        <v>48519</v>
      </c>
      <c r="B524" s="1">
        <v>45557</v>
      </c>
      <c r="C524">
        <v>954</v>
      </c>
      <c r="D524">
        <v>30</v>
      </c>
      <c r="E524" t="s">
        <v>37</v>
      </c>
      <c r="F524" t="s">
        <v>38</v>
      </c>
      <c r="G524">
        <v>4</v>
      </c>
      <c r="H524">
        <v>206.28</v>
      </c>
      <c r="I524" t="s">
        <v>35</v>
      </c>
      <c r="J524" t="s">
        <v>363</v>
      </c>
      <c r="K524">
        <v>4</v>
      </c>
      <c r="L524" t="s">
        <v>21</v>
      </c>
      <c r="M524">
        <v>67</v>
      </c>
      <c r="N524" s="18" t="str">
        <f t="shared" si="24"/>
        <v>60+</v>
      </c>
      <c r="O524" s="12">
        <f t="shared" si="25"/>
        <v>825.12</v>
      </c>
      <c r="P524" s="12">
        <f t="shared" si="26"/>
        <v>247.536</v>
      </c>
      <c r="X524" s="14" t="s">
        <v>691</v>
      </c>
      <c r="Y524" s="19">
        <v>309.55</v>
      </c>
    </row>
    <row r="525" spans="1:25" x14ac:dyDescent="0.3">
      <c r="A525">
        <v>14108</v>
      </c>
      <c r="B525" s="1">
        <v>45557</v>
      </c>
      <c r="C525">
        <v>820</v>
      </c>
      <c r="D525">
        <v>40</v>
      </c>
      <c r="E525" t="s">
        <v>24</v>
      </c>
      <c r="F525" t="s">
        <v>49</v>
      </c>
      <c r="G525">
        <v>1</v>
      </c>
      <c r="H525">
        <v>357.97</v>
      </c>
      <c r="I525" t="s">
        <v>26</v>
      </c>
      <c r="J525" t="s">
        <v>506</v>
      </c>
      <c r="K525">
        <v>4</v>
      </c>
      <c r="L525" t="s">
        <v>21</v>
      </c>
      <c r="M525">
        <v>55</v>
      </c>
      <c r="N525" s="18" t="str">
        <f t="shared" si="24"/>
        <v>46-60</v>
      </c>
      <c r="O525" s="12">
        <f t="shared" si="25"/>
        <v>357.97</v>
      </c>
      <c r="P525" s="12">
        <f t="shared" si="26"/>
        <v>107.39100000000001</v>
      </c>
      <c r="X525" s="14" t="s">
        <v>848</v>
      </c>
      <c r="Y525" s="19">
        <v>448.47</v>
      </c>
    </row>
    <row r="526" spans="1:25" x14ac:dyDescent="0.3">
      <c r="A526">
        <v>96041</v>
      </c>
      <c r="B526" s="1">
        <v>45557</v>
      </c>
      <c r="C526">
        <v>595</v>
      </c>
      <c r="D526">
        <v>10</v>
      </c>
      <c r="E526" t="s">
        <v>13</v>
      </c>
      <c r="F526" t="s">
        <v>14</v>
      </c>
      <c r="G526">
        <v>2</v>
      </c>
      <c r="H526">
        <v>177.49</v>
      </c>
      <c r="I526" t="s">
        <v>26</v>
      </c>
      <c r="J526" t="s">
        <v>608</v>
      </c>
      <c r="L526" t="s">
        <v>21</v>
      </c>
      <c r="M526">
        <v>56</v>
      </c>
      <c r="N526" s="18" t="str">
        <f t="shared" si="24"/>
        <v>46-60</v>
      </c>
      <c r="O526" s="12">
        <f t="shared" si="25"/>
        <v>354.98</v>
      </c>
      <c r="P526" s="12">
        <f t="shared" si="26"/>
        <v>106.494</v>
      </c>
      <c r="X526" s="14" t="s">
        <v>16</v>
      </c>
      <c r="Y526" s="19">
        <v>746.72</v>
      </c>
    </row>
    <row r="527" spans="1:25" x14ac:dyDescent="0.3">
      <c r="A527">
        <v>88321</v>
      </c>
      <c r="B527" s="1">
        <v>45557</v>
      </c>
      <c r="C527">
        <v>738</v>
      </c>
      <c r="D527">
        <v>10</v>
      </c>
      <c r="E527" t="s">
        <v>13</v>
      </c>
      <c r="F527" t="s">
        <v>42</v>
      </c>
      <c r="G527">
        <v>5</v>
      </c>
      <c r="H527">
        <v>193.09</v>
      </c>
      <c r="I527" t="s">
        <v>26</v>
      </c>
      <c r="J527" t="s">
        <v>845</v>
      </c>
      <c r="K527">
        <v>5</v>
      </c>
      <c r="L527" t="s">
        <v>21</v>
      </c>
      <c r="M527">
        <v>48</v>
      </c>
      <c r="N527" s="18" t="str">
        <f t="shared" si="24"/>
        <v>46-60</v>
      </c>
      <c r="O527" s="12">
        <f t="shared" si="25"/>
        <v>965.45</v>
      </c>
      <c r="P527" s="12">
        <f t="shared" si="26"/>
        <v>289.63499999999999</v>
      </c>
      <c r="X527" s="14" t="s">
        <v>275</v>
      </c>
      <c r="Y527" s="19">
        <v>520.28</v>
      </c>
    </row>
    <row r="528" spans="1:25" x14ac:dyDescent="0.3">
      <c r="A528">
        <v>36855</v>
      </c>
      <c r="B528" s="1">
        <v>45557</v>
      </c>
      <c r="C528">
        <v>132</v>
      </c>
      <c r="D528">
        <v>10</v>
      </c>
      <c r="E528" t="s">
        <v>13</v>
      </c>
      <c r="F528" t="s">
        <v>111</v>
      </c>
      <c r="G528">
        <v>2</v>
      </c>
      <c r="H528">
        <v>301.92</v>
      </c>
      <c r="I528" t="s">
        <v>35</v>
      </c>
      <c r="J528" t="s">
        <v>220</v>
      </c>
      <c r="L528" t="s">
        <v>17</v>
      </c>
      <c r="M528">
        <v>43</v>
      </c>
      <c r="N528" s="18" t="str">
        <f t="shared" si="24"/>
        <v>31-45</v>
      </c>
      <c r="O528" s="12">
        <f t="shared" si="25"/>
        <v>603.84</v>
      </c>
      <c r="P528" s="12">
        <f t="shared" si="26"/>
        <v>181.15200000000002</v>
      </c>
      <c r="X528" s="14" t="s">
        <v>246</v>
      </c>
      <c r="Y528" s="19">
        <v>616.14</v>
      </c>
    </row>
    <row r="529" spans="1:25" x14ac:dyDescent="0.3">
      <c r="A529">
        <v>32232</v>
      </c>
      <c r="B529" s="1">
        <v>45558</v>
      </c>
      <c r="C529">
        <v>476</v>
      </c>
      <c r="D529">
        <v>10</v>
      </c>
      <c r="E529" t="s">
        <v>13</v>
      </c>
      <c r="F529" t="s">
        <v>14</v>
      </c>
      <c r="G529">
        <v>1</v>
      </c>
      <c r="H529">
        <v>234.56</v>
      </c>
      <c r="I529" t="s">
        <v>35</v>
      </c>
      <c r="J529" t="s">
        <v>93</v>
      </c>
      <c r="K529">
        <v>5</v>
      </c>
      <c r="L529" t="s">
        <v>21</v>
      </c>
      <c r="M529">
        <v>55</v>
      </c>
      <c r="N529" s="18" t="str">
        <f t="shared" si="24"/>
        <v>46-60</v>
      </c>
      <c r="O529" s="12">
        <f t="shared" si="25"/>
        <v>234.56</v>
      </c>
      <c r="P529" s="12">
        <f t="shared" si="26"/>
        <v>70.367999999999995</v>
      </c>
      <c r="X529" s="14" t="s">
        <v>839</v>
      </c>
      <c r="Y529" s="19">
        <v>96.75</v>
      </c>
    </row>
    <row r="530" spans="1:25" x14ac:dyDescent="0.3">
      <c r="A530">
        <v>56464</v>
      </c>
      <c r="B530" s="1">
        <v>45558</v>
      </c>
      <c r="C530">
        <v>361</v>
      </c>
      <c r="D530">
        <v>20</v>
      </c>
      <c r="E530" t="s">
        <v>28</v>
      </c>
      <c r="F530" t="s">
        <v>72</v>
      </c>
      <c r="G530">
        <v>1</v>
      </c>
      <c r="H530">
        <v>483.14</v>
      </c>
      <c r="I530" t="s">
        <v>26</v>
      </c>
      <c r="J530" t="s">
        <v>300</v>
      </c>
      <c r="K530">
        <v>5</v>
      </c>
      <c r="L530" t="s">
        <v>21</v>
      </c>
      <c r="M530">
        <v>44</v>
      </c>
      <c r="N530" s="18" t="str">
        <f t="shared" si="24"/>
        <v>31-45</v>
      </c>
      <c r="O530" s="12">
        <f t="shared" si="25"/>
        <v>483.14</v>
      </c>
      <c r="P530" s="12">
        <f t="shared" si="26"/>
        <v>144.94199999999998</v>
      </c>
      <c r="X530" s="14" t="s">
        <v>615</v>
      </c>
      <c r="Y530" s="19">
        <v>1693.8</v>
      </c>
    </row>
    <row r="531" spans="1:25" x14ac:dyDescent="0.3">
      <c r="A531">
        <v>82689</v>
      </c>
      <c r="B531" s="1">
        <v>45558</v>
      </c>
      <c r="C531">
        <v>254</v>
      </c>
      <c r="D531">
        <v>30</v>
      </c>
      <c r="E531" t="s">
        <v>37</v>
      </c>
      <c r="F531" t="s">
        <v>95</v>
      </c>
      <c r="G531">
        <v>1</v>
      </c>
      <c r="H531">
        <v>169.29</v>
      </c>
      <c r="I531" t="s">
        <v>35</v>
      </c>
      <c r="J531" t="s">
        <v>827</v>
      </c>
      <c r="K531">
        <v>4</v>
      </c>
      <c r="L531" t="s">
        <v>17</v>
      </c>
      <c r="M531">
        <v>23</v>
      </c>
      <c r="N531" s="18" t="str">
        <f t="shared" si="24"/>
        <v>18-30</v>
      </c>
      <c r="O531" s="12">
        <f t="shared" si="25"/>
        <v>169.29</v>
      </c>
      <c r="P531" s="12">
        <f t="shared" si="26"/>
        <v>50.786999999999999</v>
      </c>
      <c r="X531" s="14" t="s">
        <v>274</v>
      </c>
      <c r="Y531" s="19">
        <v>1019.6500000000001</v>
      </c>
    </row>
    <row r="532" spans="1:25" x14ac:dyDescent="0.3">
      <c r="A532">
        <v>11871</v>
      </c>
      <c r="B532" s="1">
        <v>45558</v>
      </c>
      <c r="C532">
        <v>479</v>
      </c>
      <c r="D532">
        <v>30</v>
      </c>
      <c r="E532" t="s">
        <v>37</v>
      </c>
      <c r="F532" t="s">
        <v>95</v>
      </c>
      <c r="G532">
        <v>3</v>
      </c>
      <c r="H532">
        <v>258.27999999999997</v>
      </c>
      <c r="I532" t="s">
        <v>26</v>
      </c>
      <c r="J532" t="s">
        <v>965</v>
      </c>
      <c r="K532">
        <v>5</v>
      </c>
      <c r="L532" t="s">
        <v>21</v>
      </c>
      <c r="M532">
        <v>65</v>
      </c>
      <c r="N532" s="18" t="str">
        <f t="shared" si="24"/>
        <v>60+</v>
      </c>
      <c r="O532" s="12">
        <f t="shared" si="25"/>
        <v>774.83999999999992</v>
      </c>
      <c r="P532" s="12">
        <f t="shared" si="26"/>
        <v>232.45199999999997</v>
      </c>
      <c r="X532" s="14" t="s">
        <v>1008</v>
      </c>
      <c r="Y532" s="19">
        <v>886.16</v>
      </c>
    </row>
    <row r="533" spans="1:25" x14ac:dyDescent="0.3">
      <c r="A533">
        <v>26652</v>
      </c>
      <c r="B533" s="1">
        <v>45559</v>
      </c>
      <c r="C533">
        <v>952</v>
      </c>
      <c r="D533">
        <v>10</v>
      </c>
      <c r="E533" t="s">
        <v>13</v>
      </c>
      <c r="F533" t="s">
        <v>32</v>
      </c>
      <c r="G533">
        <v>2</v>
      </c>
      <c r="H533">
        <v>480.79</v>
      </c>
      <c r="I533" t="s">
        <v>35</v>
      </c>
      <c r="J533" t="s">
        <v>153</v>
      </c>
      <c r="K533">
        <v>5</v>
      </c>
      <c r="L533" t="s">
        <v>17</v>
      </c>
      <c r="M533">
        <v>48</v>
      </c>
      <c r="N533" s="18" t="str">
        <f t="shared" si="24"/>
        <v>46-60</v>
      </c>
      <c r="O533" s="12">
        <f t="shared" si="25"/>
        <v>961.58</v>
      </c>
      <c r="P533" s="12">
        <f t="shared" si="26"/>
        <v>288.47399999999999</v>
      </c>
      <c r="X533" s="14" t="s">
        <v>514</v>
      </c>
      <c r="Y533" s="19">
        <v>408.63</v>
      </c>
    </row>
    <row r="534" spans="1:25" x14ac:dyDescent="0.3">
      <c r="A534">
        <v>33496</v>
      </c>
      <c r="B534" s="1">
        <v>45559</v>
      </c>
      <c r="C534">
        <v>863</v>
      </c>
      <c r="D534">
        <v>50</v>
      </c>
      <c r="E534" t="s">
        <v>18</v>
      </c>
      <c r="F534" t="s">
        <v>84</v>
      </c>
      <c r="G534">
        <v>5</v>
      </c>
      <c r="H534">
        <v>174.83</v>
      </c>
      <c r="I534" t="s">
        <v>26</v>
      </c>
      <c r="J534" t="s">
        <v>157</v>
      </c>
      <c r="K534">
        <v>5</v>
      </c>
      <c r="L534" t="s">
        <v>21</v>
      </c>
      <c r="M534">
        <v>71</v>
      </c>
      <c r="N534" s="18" t="str">
        <f t="shared" si="24"/>
        <v>60+</v>
      </c>
      <c r="O534" s="12">
        <f t="shared" si="25"/>
        <v>874.15000000000009</v>
      </c>
      <c r="P534" s="12">
        <f t="shared" si="26"/>
        <v>262.245</v>
      </c>
      <c r="X534" s="14" t="s">
        <v>800</v>
      </c>
      <c r="Y534" s="19">
        <v>614.24</v>
      </c>
    </row>
    <row r="535" spans="1:25" x14ac:dyDescent="0.3">
      <c r="A535">
        <v>76010</v>
      </c>
      <c r="B535" s="1">
        <v>45559</v>
      </c>
      <c r="C535">
        <v>248</v>
      </c>
      <c r="D535">
        <v>30</v>
      </c>
      <c r="E535" t="s">
        <v>37</v>
      </c>
      <c r="F535" t="s">
        <v>38</v>
      </c>
      <c r="G535">
        <v>1</v>
      </c>
      <c r="H535">
        <v>257.23</v>
      </c>
      <c r="I535" t="s">
        <v>15</v>
      </c>
      <c r="J535" t="s">
        <v>286</v>
      </c>
      <c r="L535" t="s">
        <v>17</v>
      </c>
      <c r="M535">
        <v>51</v>
      </c>
      <c r="N535" s="18" t="str">
        <f t="shared" si="24"/>
        <v>46-60</v>
      </c>
      <c r="O535" s="12">
        <f t="shared" si="25"/>
        <v>257.23</v>
      </c>
      <c r="P535" s="12">
        <f t="shared" si="26"/>
        <v>77.168999999999997</v>
      </c>
      <c r="X535" s="14" t="s">
        <v>337</v>
      </c>
      <c r="Y535" s="19">
        <v>94.6</v>
      </c>
    </row>
    <row r="536" spans="1:25" x14ac:dyDescent="0.3">
      <c r="A536">
        <v>25889</v>
      </c>
      <c r="B536" s="1">
        <v>45559</v>
      </c>
      <c r="C536">
        <v>507</v>
      </c>
      <c r="D536">
        <v>20</v>
      </c>
      <c r="E536" t="s">
        <v>28</v>
      </c>
      <c r="F536" t="s">
        <v>29</v>
      </c>
      <c r="G536">
        <v>4</v>
      </c>
      <c r="H536">
        <v>255.89</v>
      </c>
      <c r="I536" t="s">
        <v>35</v>
      </c>
      <c r="J536" t="s">
        <v>376</v>
      </c>
      <c r="K536">
        <v>5</v>
      </c>
      <c r="L536" t="s">
        <v>17</v>
      </c>
      <c r="M536">
        <v>51</v>
      </c>
      <c r="N536" s="18" t="str">
        <f t="shared" si="24"/>
        <v>46-60</v>
      </c>
      <c r="O536" s="12">
        <f t="shared" si="25"/>
        <v>1023.56</v>
      </c>
      <c r="P536" s="12">
        <f t="shared" si="26"/>
        <v>307.06799999999998</v>
      </c>
      <c r="X536" s="14" t="s">
        <v>617</v>
      </c>
      <c r="Y536" s="19">
        <v>1142.1500000000001</v>
      </c>
    </row>
    <row r="537" spans="1:25" x14ac:dyDescent="0.3">
      <c r="A537">
        <v>42185</v>
      </c>
      <c r="B537" s="1">
        <v>45559</v>
      </c>
      <c r="C537">
        <v>615</v>
      </c>
      <c r="D537">
        <v>50</v>
      </c>
      <c r="E537" t="s">
        <v>18</v>
      </c>
      <c r="F537" t="s">
        <v>19</v>
      </c>
      <c r="G537">
        <v>2</v>
      </c>
      <c r="H537">
        <v>86.15</v>
      </c>
      <c r="I537" t="s">
        <v>15</v>
      </c>
      <c r="J537" t="s">
        <v>568</v>
      </c>
      <c r="K537">
        <v>4</v>
      </c>
      <c r="L537" t="s">
        <v>21</v>
      </c>
      <c r="M537">
        <v>35</v>
      </c>
      <c r="N537" s="18" t="str">
        <f t="shared" si="24"/>
        <v>31-45</v>
      </c>
      <c r="O537" s="12">
        <f t="shared" si="25"/>
        <v>172.3</v>
      </c>
      <c r="P537" s="12">
        <f t="shared" si="26"/>
        <v>51.690000000000005</v>
      </c>
      <c r="X537" s="14" t="s">
        <v>90</v>
      </c>
      <c r="Y537" s="19">
        <v>587.34</v>
      </c>
    </row>
    <row r="538" spans="1:25" x14ac:dyDescent="0.3">
      <c r="A538">
        <v>94503</v>
      </c>
      <c r="B538" s="1">
        <v>45559</v>
      </c>
      <c r="C538">
        <v>874</v>
      </c>
      <c r="D538">
        <v>30</v>
      </c>
      <c r="E538" t="s">
        <v>37</v>
      </c>
      <c r="F538" t="s">
        <v>58</v>
      </c>
      <c r="G538">
        <v>2</v>
      </c>
      <c r="H538">
        <v>62.01</v>
      </c>
      <c r="I538" t="s">
        <v>35</v>
      </c>
      <c r="J538" t="s">
        <v>742</v>
      </c>
      <c r="K538">
        <v>3</v>
      </c>
      <c r="L538" t="s">
        <v>21</v>
      </c>
      <c r="M538">
        <v>68</v>
      </c>
      <c r="N538" s="18" t="str">
        <f t="shared" si="24"/>
        <v>60+</v>
      </c>
      <c r="O538" s="12">
        <f t="shared" si="25"/>
        <v>124.02</v>
      </c>
      <c r="P538" s="12">
        <f t="shared" si="26"/>
        <v>37.205999999999996</v>
      </c>
      <c r="X538" s="14" t="s">
        <v>441</v>
      </c>
      <c r="Y538" s="19">
        <v>559.62</v>
      </c>
    </row>
    <row r="539" spans="1:25" x14ac:dyDescent="0.3">
      <c r="A539">
        <v>50575</v>
      </c>
      <c r="B539" s="1">
        <v>45559</v>
      </c>
      <c r="C539">
        <v>107</v>
      </c>
      <c r="D539">
        <v>50</v>
      </c>
      <c r="E539" t="s">
        <v>18</v>
      </c>
      <c r="F539" t="s">
        <v>87</v>
      </c>
      <c r="G539">
        <v>4</v>
      </c>
      <c r="H539">
        <v>225.83</v>
      </c>
      <c r="I539" t="s">
        <v>15</v>
      </c>
      <c r="J539" t="s">
        <v>906</v>
      </c>
      <c r="L539" t="s">
        <v>21</v>
      </c>
      <c r="M539">
        <v>29</v>
      </c>
      <c r="N539" s="18" t="str">
        <f t="shared" si="24"/>
        <v>18-30</v>
      </c>
      <c r="O539" s="12">
        <f t="shared" si="25"/>
        <v>903.32</v>
      </c>
      <c r="P539" s="12">
        <f t="shared" si="26"/>
        <v>270.99599999999998</v>
      </c>
      <c r="X539" s="14" t="s">
        <v>532</v>
      </c>
      <c r="Y539" s="19">
        <v>921.5</v>
      </c>
    </row>
    <row r="540" spans="1:25" x14ac:dyDescent="0.3">
      <c r="A540">
        <v>99887</v>
      </c>
      <c r="B540" s="1">
        <v>45559</v>
      </c>
      <c r="C540">
        <v>237</v>
      </c>
      <c r="D540">
        <v>50</v>
      </c>
      <c r="E540" t="s">
        <v>18</v>
      </c>
      <c r="F540" t="s">
        <v>84</v>
      </c>
      <c r="G540">
        <v>1</v>
      </c>
      <c r="H540">
        <v>101.82</v>
      </c>
      <c r="I540" t="s">
        <v>15</v>
      </c>
      <c r="J540" t="s">
        <v>972</v>
      </c>
      <c r="K540">
        <v>5</v>
      </c>
      <c r="L540" t="s">
        <v>17</v>
      </c>
      <c r="M540">
        <v>50</v>
      </c>
      <c r="N540" s="18" t="str">
        <f t="shared" si="24"/>
        <v>46-60</v>
      </c>
      <c r="O540" s="12">
        <f t="shared" si="25"/>
        <v>101.82</v>
      </c>
      <c r="P540" s="12">
        <f t="shared" si="26"/>
        <v>30.545999999999996</v>
      </c>
      <c r="X540" s="14" t="s">
        <v>254</v>
      </c>
      <c r="Y540" s="19">
        <v>1306.1100000000001</v>
      </c>
    </row>
    <row r="541" spans="1:25" x14ac:dyDescent="0.3">
      <c r="A541">
        <v>96195</v>
      </c>
      <c r="B541" s="1">
        <v>45560</v>
      </c>
      <c r="C541">
        <v>975</v>
      </c>
      <c r="D541">
        <v>30</v>
      </c>
      <c r="E541" t="s">
        <v>37</v>
      </c>
      <c r="F541" t="s">
        <v>58</v>
      </c>
      <c r="G541">
        <v>4</v>
      </c>
      <c r="H541">
        <v>196.7</v>
      </c>
      <c r="I541" t="s">
        <v>35</v>
      </c>
      <c r="J541" t="s">
        <v>20</v>
      </c>
      <c r="K541">
        <v>5</v>
      </c>
      <c r="L541" t="s">
        <v>21</v>
      </c>
      <c r="M541">
        <v>27</v>
      </c>
      <c r="N541" s="18" t="str">
        <f t="shared" si="24"/>
        <v>18-30</v>
      </c>
      <c r="O541" s="12">
        <f t="shared" si="25"/>
        <v>786.8</v>
      </c>
      <c r="P541" s="12">
        <f t="shared" si="26"/>
        <v>236.03999999999996</v>
      </c>
      <c r="X541" s="14" t="s">
        <v>614</v>
      </c>
      <c r="Y541" s="19">
        <v>215.68</v>
      </c>
    </row>
    <row r="542" spans="1:25" x14ac:dyDescent="0.3">
      <c r="A542">
        <v>27766</v>
      </c>
      <c r="B542" s="1">
        <v>45560</v>
      </c>
      <c r="C542">
        <v>257</v>
      </c>
      <c r="D542">
        <v>30</v>
      </c>
      <c r="E542" t="s">
        <v>37</v>
      </c>
      <c r="F542" t="s">
        <v>68</v>
      </c>
      <c r="G542">
        <v>5</v>
      </c>
      <c r="H542">
        <v>154.72</v>
      </c>
      <c r="I542" t="s">
        <v>15</v>
      </c>
      <c r="J542" t="s">
        <v>680</v>
      </c>
      <c r="K542">
        <v>4</v>
      </c>
      <c r="M542">
        <v>39</v>
      </c>
      <c r="N542" s="18" t="str">
        <f t="shared" si="24"/>
        <v>31-45</v>
      </c>
      <c r="O542" s="12">
        <f t="shared" si="25"/>
        <v>773.6</v>
      </c>
      <c r="P542" s="12">
        <f t="shared" si="26"/>
        <v>232.07999999999998</v>
      </c>
      <c r="X542" s="14" t="s">
        <v>284</v>
      </c>
      <c r="Y542" s="19">
        <v>2277.15</v>
      </c>
    </row>
    <row r="543" spans="1:25" x14ac:dyDescent="0.3">
      <c r="A543">
        <v>36373</v>
      </c>
      <c r="B543" s="1">
        <v>45560</v>
      </c>
      <c r="C543">
        <v>901</v>
      </c>
      <c r="D543">
        <v>50</v>
      </c>
      <c r="E543" t="s">
        <v>18</v>
      </c>
      <c r="F543" t="s">
        <v>87</v>
      </c>
      <c r="G543">
        <v>1</v>
      </c>
      <c r="H543">
        <v>101.9</v>
      </c>
      <c r="I543" t="s">
        <v>26</v>
      </c>
      <c r="J543" t="s">
        <v>708</v>
      </c>
      <c r="K543">
        <v>1</v>
      </c>
      <c r="L543" t="s">
        <v>17</v>
      </c>
      <c r="M543">
        <v>50</v>
      </c>
      <c r="N543" s="18" t="str">
        <f t="shared" si="24"/>
        <v>46-60</v>
      </c>
      <c r="O543" s="12">
        <f t="shared" si="25"/>
        <v>101.9</v>
      </c>
      <c r="P543" s="12">
        <f t="shared" si="26"/>
        <v>30.57</v>
      </c>
      <c r="X543" s="14" t="s">
        <v>231</v>
      </c>
      <c r="Y543" s="19">
        <v>200.44</v>
      </c>
    </row>
    <row r="544" spans="1:25" x14ac:dyDescent="0.3">
      <c r="A544">
        <v>71005</v>
      </c>
      <c r="B544" s="1">
        <v>45561</v>
      </c>
      <c r="C544">
        <v>203</v>
      </c>
      <c r="D544">
        <v>10</v>
      </c>
      <c r="E544" t="s">
        <v>13</v>
      </c>
      <c r="F544" t="s">
        <v>111</v>
      </c>
      <c r="G544">
        <v>3</v>
      </c>
      <c r="H544">
        <v>129.35</v>
      </c>
      <c r="I544" t="s">
        <v>15</v>
      </c>
      <c r="J544" t="s">
        <v>237</v>
      </c>
      <c r="K544">
        <v>5</v>
      </c>
      <c r="L544" t="s">
        <v>21</v>
      </c>
      <c r="M544">
        <v>28</v>
      </c>
      <c r="N544" s="18" t="str">
        <f t="shared" si="24"/>
        <v>18-30</v>
      </c>
      <c r="O544" s="12">
        <f t="shared" si="25"/>
        <v>388.04999999999995</v>
      </c>
      <c r="P544" s="12">
        <f t="shared" si="26"/>
        <v>116.41499999999998</v>
      </c>
      <c r="X544" s="14" t="s">
        <v>589</v>
      </c>
      <c r="Y544" s="19">
        <v>503.64</v>
      </c>
    </row>
    <row r="545" spans="1:25" x14ac:dyDescent="0.3">
      <c r="A545">
        <v>53474</v>
      </c>
      <c r="B545" s="1">
        <v>45561</v>
      </c>
      <c r="C545">
        <v>892</v>
      </c>
      <c r="D545">
        <v>40</v>
      </c>
      <c r="E545" t="s">
        <v>24</v>
      </c>
      <c r="F545" t="s">
        <v>65</v>
      </c>
      <c r="G545">
        <v>5</v>
      </c>
      <c r="H545">
        <v>280.14999999999998</v>
      </c>
      <c r="I545" t="s">
        <v>26</v>
      </c>
      <c r="J545" t="s">
        <v>641</v>
      </c>
      <c r="L545" t="s">
        <v>17</v>
      </c>
      <c r="M545">
        <v>44</v>
      </c>
      <c r="N545" s="18" t="str">
        <f t="shared" si="24"/>
        <v>31-45</v>
      </c>
      <c r="O545" s="12">
        <f t="shared" si="25"/>
        <v>1400.75</v>
      </c>
      <c r="P545" s="12">
        <f t="shared" si="26"/>
        <v>420.22499999999997</v>
      </c>
      <c r="X545" s="14" t="s">
        <v>173</v>
      </c>
      <c r="Y545" s="19">
        <v>1589.84</v>
      </c>
    </row>
    <row r="546" spans="1:25" x14ac:dyDescent="0.3">
      <c r="A546">
        <v>54306</v>
      </c>
      <c r="B546" s="1">
        <v>45561</v>
      </c>
      <c r="C546">
        <v>409</v>
      </c>
      <c r="D546">
        <v>50</v>
      </c>
      <c r="E546" t="s">
        <v>18</v>
      </c>
      <c r="F546" t="s">
        <v>84</v>
      </c>
      <c r="G546">
        <v>1</v>
      </c>
      <c r="H546">
        <v>333.66</v>
      </c>
      <c r="I546" t="s">
        <v>35</v>
      </c>
      <c r="J546" t="s">
        <v>651</v>
      </c>
      <c r="L546" t="s">
        <v>21</v>
      </c>
      <c r="M546">
        <v>39</v>
      </c>
      <c r="N546" s="18" t="str">
        <f t="shared" si="24"/>
        <v>31-45</v>
      </c>
      <c r="O546" s="12">
        <f t="shared" si="25"/>
        <v>333.66</v>
      </c>
      <c r="P546" s="12">
        <f t="shared" si="26"/>
        <v>100.098</v>
      </c>
      <c r="X546" s="14" t="s">
        <v>55</v>
      </c>
      <c r="Y546" s="19">
        <v>787.96</v>
      </c>
    </row>
    <row r="547" spans="1:25" x14ac:dyDescent="0.3">
      <c r="A547">
        <v>77823</v>
      </c>
      <c r="B547" s="1">
        <v>45562</v>
      </c>
      <c r="C547">
        <v>994</v>
      </c>
      <c r="D547">
        <v>10</v>
      </c>
      <c r="E547" t="s">
        <v>13</v>
      </c>
      <c r="F547" t="s">
        <v>14</v>
      </c>
      <c r="G547">
        <v>5</v>
      </c>
      <c r="H547">
        <v>475.31</v>
      </c>
      <c r="I547" t="s">
        <v>15</v>
      </c>
      <c r="J547" t="s">
        <v>145</v>
      </c>
      <c r="K547">
        <v>5</v>
      </c>
      <c r="L547" t="s">
        <v>17</v>
      </c>
      <c r="M547">
        <v>34</v>
      </c>
      <c r="N547" s="18" t="str">
        <f t="shared" si="24"/>
        <v>31-45</v>
      </c>
      <c r="O547" s="12">
        <f t="shared" si="25"/>
        <v>2376.5500000000002</v>
      </c>
      <c r="P547" s="12">
        <f t="shared" si="26"/>
        <v>712.96500000000003</v>
      </c>
      <c r="X547" s="14" t="s">
        <v>388</v>
      </c>
      <c r="Y547" s="19">
        <v>1031.3399999999999</v>
      </c>
    </row>
    <row r="548" spans="1:25" x14ac:dyDescent="0.3">
      <c r="A548">
        <v>91463</v>
      </c>
      <c r="B548" s="1">
        <v>45562</v>
      </c>
      <c r="C548">
        <v>110</v>
      </c>
      <c r="D548">
        <v>20</v>
      </c>
      <c r="E548" t="s">
        <v>28</v>
      </c>
      <c r="F548" t="s">
        <v>77</v>
      </c>
      <c r="G548">
        <v>5</v>
      </c>
      <c r="H548">
        <v>418.71</v>
      </c>
      <c r="I548" t="s">
        <v>26</v>
      </c>
      <c r="J548" t="s">
        <v>234</v>
      </c>
      <c r="K548">
        <v>3</v>
      </c>
      <c r="L548" t="s">
        <v>17</v>
      </c>
      <c r="M548">
        <v>66</v>
      </c>
      <c r="N548" s="18" t="str">
        <f t="shared" si="24"/>
        <v>60+</v>
      </c>
      <c r="O548" s="12">
        <f t="shared" si="25"/>
        <v>2093.5499999999997</v>
      </c>
      <c r="P548" s="12">
        <f t="shared" si="26"/>
        <v>628.06499999999994</v>
      </c>
      <c r="X548" s="14" t="s">
        <v>494</v>
      </c>
      <c r="Y548" s="19">
        <v>323.83</v>
      </c>
    </row>
    <row r="549" spans="1:25" x14ac:dyDescent="0.3">
      <c r="A549">
        <v>11101</v>
      </c>
      <c r="B549" s="1">
        <v>45562</v>
      </c>
      <c r="C549">
        <v>750</v>
      </c>
      <c r="D549">
        <v>50</v>
      </c>
      <c r="E549" t="s">
        <v>18</v>
      </c>
      <c r="F549" t="s">
        <v>19</v>
      </c>
      <c r="G549">
        <v>5</v>
      </c>
      <c r="H549">
        <v>96.94</v>
      </c>
      <c r="I549" t="s">
        <v>35</v>
      </c>
      <c r="J549" t="s">
        <v>779</v>
      </c>
      <c r="K549">
        <v>4</v>
      </c>
      <c r="L549" t="s">
        <v>17</v>
      </c>
      <c r="M549">
        <v>22</v>
      </c>
      <c r="N549" s="18" t="str">
        <f t="shared" si="24"/>
        <v>18-30</v>
      </c>
      <c r="O549" s="12">
        <f t="shared" si="25"/>
        <v>484.7</v>
      </c>
      <c r="P549" s="12">
        <f t="shared" si="26"/>
        <v>145.41</v>
      </c>
      <c r="X549" s="14" t="s">
        <v>66</v>
      </c>
      <c r="Y549" s="19">
        <v>272.73</v>
      </c>
    </row>
    <row r="550" spans="1:25" x14ac:dyDescent="0.3">
      <c r="A550">
        <v>48803</v>
      </c>
      <c r="B550" s="1">
        <v>45562</v>
      </c>
      <c r="C550">
        <v>285</v>
      </c>
      <c r="D550">
        <v>30</v>
      </c>
      <c r="E550" t="s">
        <v>37</v>
      </c>
      <c r="F550" t="s">
        <v>95</v>
      </c>
      <c r="G550">
        <v>1</v>
      </c>
      <c r="H550">
        <v>481.21</v>
      </c>
      <c r="I550" t="s">
        <v>26</v>
      </c>
      <c r="J550" t="s">
        <v>888</v>
      </c>
      <c r="K550">
        <v>5</v>
      </c>
      <c r="L550" t="s">
        <v>21</v>
      </c>
      <c r="M550">
        <v>31</v>
      </c>
      <c r="N550" s="18" t="str">
        <f t="shared" si="24"/>
        <v>31-45</v>
      </c>
      <c r="O550" s="12">
        <f t="shared" si="25"/>
        <v>481.21</v>
      </c>
      <c r="P550" s="12">
        <f t="shared" si="26"/>
        <v>144.363</v>
      </c>
      <c r="X550" s="14" t="s">
        <v>163</v>
      </c>
      <c r="Y550" s="19">
        <v>911.94999999999993</v>
      </c>
    </row>
    <row r="551" spans="1:25" x14ac:dyDescent="0.3">
      <c r="A551">
        <v>96862</v>
      </c>
      <c r="B551" s="1">
        <v>45563</v>
      </c>
      <c r="C551">
        <v>146</v>
      </c>
      <c r="D551">
        <v>40</v>
      </c>
      <c r="E551" t="s">
        <v>24</v>
      </c>
      <c r="F551" t="s">
        <v>44</v>
      </c>
      <c r="G551">
        <v>5</v>
      </c>
      <c r="H551">
        <v>457.21</v>
      </c>
      <c r="I551" t="s">
        <v>35</v>
      </c>
      <c r="J551" t="s">
        <v>584</v>
      </c>
      <c r="K551">
        <v>3</v>
      </c>
      <c r="L551" t="s">
        <v>21</v>
      </c>
      <c r="M551">
        <v>29</v>
      </c>
      <c r="N551" s="18" t="str">
        <f t="shared" si="24"/>
        <v>18-30</v>
      </c>
      <c r="O551" s="12">
        <f t="shared" si="25"/>
        <v>2286.0499999999997</v>
      </c>
      <c r="P551" s="12">
        <f t="shared" si="26"/>
        <v>685.81499999999994</v>
      </c>
      <c r="X551" s="14" t="s">
        <v>387</v>
      </c>
      <c r="Y551" s="19">
        <v>1290.3599999999999</v>
      </c>
    </row>
    <row r="552" spans="1:25" x14ac:dyDescent="0.3">
      <c r="A552">
        <v>13992</v>
      </c>
      <c r="B552" s="1">
        <v>45563</v>
      </c>
      <c r="C552">
        <v>375</v>
      </c>
      <c r="D552">
        <v>40</v>
      </c>
      <c r="E552" t="s">
        <v>24</v>
      </c>
      <c r="F552" t="s">
        <v>65</v>
      </c>
      <c r="G552">
        <v>5</v>
      </c>
      <c r="H552">
        <v>25.87</v>
      </c>
      <c r="I552" t="s">
        <v>35</v>
      </c>
      <c r="J552" t="s">
        <v>600</v>
      </c>
      <c r="K552">
        <v>3</v>
      </c>
      <c r="L552" t="s">
        <v>17</v>
      </c>
      <c r="M552">
        <v>40</v>
      </c>
      <c r="N552" s="18" t="str">
        <f t="shared" si="24"/>
        <v>31-45</v>
      </c>
      <c r="O552" s="12">
        <f t="shared" si="25"/>
        <v>129.35</v>
      </c>
      <c r="P552" s="12">
        <f t="shared" si="26"/>
        <v>38.805</v>
      </c>
      <c r="X552" s="14" t="s">
        <v>397</v>
      </c>
      <c r="Y552" s="19">
        <v>1810.5500000000002</v>
      </c>
    </row>
    <row r="553" spans="1:25" x14ac:dyDescent="0.3">
      <c r="A553">
        <v>82756</v>
      </c>
      <c r="B553" s="1">
        <v>45563</v>
      </c>
      <c r="C553">
        <v>597</v>
      </c>
      <c r="D553">
        <v>10</v>
      </c>
      <c r="E553" t="s">
        <v>13</v>
      </c>
      <c r="F553" t="s">
        <v>32</v>
      </c>
      <c r="G553">
        <v>3</v>
      </c>
      <c r="H553">
        <v>445.82</v>
      </c>
      <c r="I553" t="s">
        <v>35</v>
      </c>
      <c r="J553" t="s">
        <v>659</v>
      </c>
      <c r="L553" t="s">
        <v>17</v>
      </c>
      <c r="M553">
        <v>73</v>
      </c>
      <c r="N553" s="18" t="str">
        <f t="shared" si="24"/>
        <v>60+</v>
      </c>
      <c r="O553" s="12">
        <f t="shared" si="25"/>
        <v>1337.46</v>
      </c>
      <c r="P553" s="12">
        <f t="shared" si="26"/>
        <v>401.238</v>
      </c>
      <c r="X553" s="14" t="s">
        <v>168</v>
      </c>
      <c r="Y553" s="19">
        <v>459.45000000000005</v>
      </c>
    </row>
    <row r="554" spans="1:25" x14ac:dyDescent="0.3">
      <c r="A554">
        <v>47637</v>
      </c>
      <c r="B554" s="1">
        <v>45563</v>
      </c>
      <c r="C554">
        <v>197</v>
      </c>
      <c r="D554">
        <v>40</v>
      </c>
      <c r="E554" t="s">
        <v>24</v>
      </c>
      <c r="F554" t="s">
        <v>65</v>
      </c>
      <c r="G554">
        <v>2</v>
      </c>
      <c r="H554">
        <v>484.93</v>
      </c>
      <c r="I554" t="s">
        <v>35</v>
      </c>
      <c r="J554" t="s">
        <v>773</v>
      </c>
      <c r="L554" t="s">
        <v>17</v>
      </c>
      <c r="M554">
        <v>42</v>
      </c>
      <c r="N554" s="18" t="str">
        <f t="shared" si="24"/>
        <v>31-45</v>
      </c>
      <c r="O554" s="12">
        <f t="shared" si="25"/>
        <v>969.86</v>
      </c>
      <c r="P554" s="12">
        <f t="shared" si="26"/>
        <v>290.95799999999997</v>
      </c>
      <c r="X554" s="14" t="s">
        <v>892</v>
      </c>
      <c r="Y554" s="19">
        <v>1093.6500000000001</v>
      </c>
    </row>
    <row r="555" spans="1:25" x14ac:dyDescent="0.3">
      <c r="A555">
        <v>32168</v>
      </c>
      <c r="B555" s="1">
        <v>45564</v>
      </c>
      <c r="C555">
        <v>896</v>
      </c>
      <c r="D555">
        <v>30</v>
      </c>
      <c r="E555" t="s">
        <v>37</v>
      </c>
      <c r="F555" t="s">
        <v>95</v>
      </c>
      <c r="G555">
        <v>4</v>
      </c>
      <c r="H555">
        <v>479.12</v>
      </c>
      <c r="I555" t="s">
        <v>15</v>
      </c>
      <c r="J555" t="s">
        <v>744</v>
      </c>
      <c r="K555">
        <v>4</v>
      </c>
      <c r="L555" t="s">
        <v>17</v>
      </c>
      <c r="M555">
        <v>39</v>
      </c>
      <c r="N555" s="18" t="str">
        <f t="shared" si="24"/>
        <v>31-45</v>
      </c>
      <c r="O555" s="12">
        <f t="shared" si="25"/>
        <v>1916.48</v>
      </c>
      <c r="P555" s="12">
        <f t="shared" si="26"/>
        <v>574.94399999999996</v>
      </c>
      <c r="X555" s="14" t="s">
        <v>461</v>
      </c>
      <c r="Y555" s="19">
        <v>306.52999999999997</v>
      </c>
    </row>
    <row r="556" spans="1:25" x14ac:dyDescent="0.3">
      <c r="A556">
        <v>42739</v>
      </c>
      <c r="B556" s="1">
        <v>45564</v>
      </c>
      <c r="C556">
        <v>149</v>
      </c>
      <c r="D556">
        <v>10</v>
      </c>
      <c r="E556" t="s">
        <v>13</v>
      </c>
      <c r="F556" t="s">
        <v>47</v>
      </c>
      <c r="G556">
        <v>5</v>
      </c>
      <c r="H556">
        <v>486.9</v>
      </c>
      <c r="I556" t="s">
        <v>15</v>
      </c>
      <c r="J556" t="s">
        <v>861</v>
      </c>
      <c r="K556">
        <v>5</v>
      </c>
      <c r="L556" t="s">
        <v>21</v>
      </c>
      <c r="M556">
        <v>43</v>
      </c>
      <c r="N556" s="18" t="str">
        <f t="shared" si="24"/>
        <v>31-45</v>
      </c>
      <c r="O556" s="12">
        <f t="shared" si="25"/>
        <v>2434.5</v>
      </c>
      <c r="P556" s="12">
        <f t="shared" si="26"/>
        <v>730.35</v>
      </c>
      <c r="X556" s="14" t="s">
        <v>160</v>
      </c>
      <c r="Y556" s="19">
        <v>763</v>
      </c>
    </row>
    <row r="557" spans="1:25" x14ac:dyDescent="0.3">
      <c r="A557">
        <v>12945</v>
      </c>
      <c r="B557" s="1">
        <v>45565</v>
      </c>
      <c r="C557">
        <v>798</v>
      </c>
      <c r="D557">
        <v>50</v>
      </c>
      <c r="E557" t="s">
        <v>18</v>
      </c>
      <c r="F557" t="s">
        <v>19</v>
      </c>
      <c r="G557">
        <v>5</v>
      </c>
      <c r="H557">
        <v>194.83</v>
      </c>
      <c r="I557" t="s">
        <v>26</v>
      </c>
      <c r="J557" t="s">
        <v>725</v>
      </c>
      <c r="K557">
        <v>2</v>
      </c>
      <c r="L557" t="s">
        <v>21</v>
      </c>
      <c r="M557">
        <v>42</v>
      </c>
      <c r="N557" s="18" t="str">
        <f t="shared" si="24"/>
        <v>31-45</v>
      </c>
      <c r="O557" s="12">
        <f t="shared" si="25"/>
        <v>974.15000000000009</v>
      </c>
      <c r="P557" s="12">
        <f t="shared" si="26"/>
        <v>292.245</v>
      </c>
      <c r="X557" s="14" t="s">
        <v>555</v>
      </c>
      <c r="Y557" s="19">
        <v>137.02000000000001</v>
      </c>
    </row>
    <row r="558" spans="1:25" x14ac:dyDescent="0.3">
      <c r="A558">
        <v>93329</v>
      </c>
      <c r="B558" s="1">
        <v>45566</v>
      </c>
      <c r="C558">
        <v>775</v>
      </c>
      <c r="D558">
        <v>10</v>
      </c>
      <c r="E558" t="s">
        <v>13</v>
      </c>
      <c r="F558" t="s">
        <v>42</v>
      </c>
      <c r="G558">
        <v>4</v>
      </c>
      <c r="H558">
        <v>460.38</v>
      </c>
      <c r="I558" t="s">
        <v>15</v>
      </c>
      <c r="J558" t="s">
        <v>454</v>
      </c>
      <c r="K558">
        <v>1</v>
      </c>
      <c r="L558" t="s">
        <v>17</v>
      </c>
      <c r="M558">
        <v>44</v>
      </c>
      <c r="N558" s="18" t="str">
        <f t="shared" si="24"/>
        <v>31-45</v>
      </c>
      <c r="O558" s="12">
        <f t="shared" si="25"/>
        <v>1841.52</v>
      </c>
      <c r="P558" s="12">
        <f t="shared" si="26"/>
        <v>552.45600000000002</v>
      </c>
      <c r="X558" s="14" t="s">
        <v>561</v>
      </c>
      <c r="Y558" s="19">
        <v>21.44</v>
      </c>
    </row>
    <row r="559" spans="1:25" x14ac:dyDescent="0.3">
      <c r="A559">
        <v>39413</v>
      </c>
      <c r="B559" s="1">
        <v>45566</v>
      </c>
      <c r="C559">
        <v>362</v>
      </c>
      <c r="D559">
        <v>20</v>
      </c>
      <c r="E559" t="s">
        <v>28</v>
      </c>
      <c r="F559" t="s">
        <v>77</v>
      </c>
      <c r="G559">
        <v>2</v>
      </c>
      <c r="H559">
        <v>327.22000000000003</v>
      </c>
      <c r="I559" t="s">
        <v>35</v>
      </c>
      <c r="J559" t="s">
        <v>643</v>
      </c>
      <c r="K559">
        <v>1</v>
      </c>
      <c r="L559" t="s">
        <v>17</v>
      </c>
      <c r="M559">
        <v>23</v>
      </c>
      <c r="N559" s="18" t="str">
        <f t="shared" si="24"/>
        <v>18-30</v>
      </c>
      <c r="O559" s="12">
        <f t="shared" si="25"/>
        <v>654.44000000000005</v>
      </c>
      <c r="P559" s="12">
        <f t="shared" si="26"/>
        <v>196.33200000000002</v>
      </c>
      <c r="X559" s="14" t="s">
        <v>447</v>
      </c>
      <c r="Y559" s="19">
        <v>666.1</v>
      </c>
    </row>
    <row r="560" spans="1:25" x14ac:dyDescent="0.3">
      <c r="A560">
        <v>39267</v>
      </c>
      <c r="B560" s="1">
        <v>45567</v>
      </c>
      <c r="C560">
        <v>399</v>
      </c>
      <c r="D560">
        <v>10</v>
      </c>
      <c r="E560" t="s">
        <v>13</v>
      </c>
      <c r="F560" t="s">
        <v>42</v>
      </c>
      <c r="G560">
        <v>3</v>
      </c>
      <c r="H560">
        <v>153.15</v>
      </c>
      <c r="I560" t="s">
        <v>15</v>
      </c>
      <c r="J560" t="s">
        <v>168</v>
      </c>
      <c r="K560">
        <v>5</v>
      </c>
      <c r="L560" t="s">
        <v>17</v>
      </c>
      <c r="M560">
        <v>74</v>
      </c>
      <c r="N560" s="18" t="str">
        <f t="shared" si="24"/>
        <v>60+</v>
      </c>
      <c r="O560" s="12">
        <f t="shared" si="25"/>
        <v>459.45000000000005</v>
      </c>
      <c r="P560" s="12">
        <f t="shared" si="26"/>
        <v>137.83500000000001</v>
      </c>
      <c r="X560" s="14" t="s">
        <v>273</v>
      </c>
      <c r="Y560" s="19">
        <v>53.18</v>
      </c>
    </row>
    <row r="561" spans="1:25" x14ac:dyDescent="0.3">
      <c r="A561">
        <v>50538</v>
      </c>
      <c r="B561" s="1">
        <v>45567</v>
      </c>
      <c r="C561">
        <v>868</v>
      </c>
      <c r="D561">
        <v>40</v>
      </c>
      <c r="E561" t="s">
        <v>24</v>
      </c>
      <c r="F561" t="s">
        <v>65</v>
      </c>
      <c r="G561">
        <v>2</v>
      </c>
      <c r="H561">
        <v>246.64</v>
      </c>
      <c r="I561" t="s">
        <v>35</v>
      </c>
      <c r="J561" t="s">
        <v>710</v>
      </c>
      <c r="K561">
        <v>5</v>
      </c>
      <c r="M561">
        <v>33</v>
      </c>
      <c r="N561" s="18" t="str">
        <f t="shared" si="24"/>
        <v>31-45</v>
      </c>
      <c r="O561" s="12">
        <f t="shared" si="25"/>
        <v>493.28</v>
      </c>
      <c r="P561" s="12">
        <f t="shared" si="26"/>
        <v>147.98399999999998</v>
      </c>
      <c r="X561" s="14" t="s">
        <v>403</v>
      </c>
      <c r="Y561" s="19">
        <v>1044.72</v>
      </c>
    </row>
    <row r="562" spans="1:25" x14ac:dyDescent="0.3">
      <c r="A562">
        <v>11363</v>
      </c>
      <c r="B562" s="1">
        <v>45567</v>
      </c>
      <c r="C562">
        <v>816</v>
      </c>
      <c r="D562">
        <v>10</v>
      </c>
      <c r="E562" t="s">
        <v>13</v>
      </c>
      <c r="F562" t="s">
        <v>42</v>
      </c>
      <c r="G562">
        <v>3</v>
      </c>
      <c r="H562">
        <v>81.96</v>
      </c>
      <c r="I562" t="s">
        <v>15</v>
      </c>
      <c r="J562" t="s">
        <v>772</v>
      </c>
      <c r="K562">
        <v>2</v>
      </c>
      <c r="L562" t="s">
        <v>21</v>
      </c>
      <c r="M562">
        <v>63</v>
      </c>
      <c r="N562" s="18" t="str">
        <f t="shared" si="24"/>
        <v>60+</v>
      </c>
      <c r="O562" s="12">
        <f t="shared" si="25"/>
        <v>245.88</v>
      </c>
      <c r="P562" s="12">
        <f t="shared" si="26"/>
        <v>73.763999999999996</v>
      </c>
      <c r="X562" s="14" t="s">
        <v>324</v>
      </c>
      <c r="Y562" s="19">
        <v>352.26</v>
      </c>
    </row>
    <row r="563" spans="1:25" x14ac:dyDescent="0.3">
      <c r="A563">
        <v>71713</v>
      </c>
      <c r="B563" s="1">
        <v>45568</v>
      </c>
      <c r="C563">
        <v>819</v>
      </c>
      <c r="D563">
        <v>30</v>
      </c>
      <c r="E563" t="s">
        <v>37</v>
      </c>
      <c r="F563" t="s">
        <v>58</v>
      </c>
      <c r="G563">
        <v>3</v>
      </c>
      <c r="H563">
        <v>467.51</v>
      </c>
      <c r="I563" t="s">
        <v>35</v>
      </c>
      <c r="J563" t="s">
        <v>382</v>
      </c>
      <c r="K563">
        <v>2</v>
      </c>
      <c r="L563" t="s">
        <v>21</v>
      </c>
      <c r="M563">
        <v>50</v>
      </c>
      <c r="N563" s="18" t="str">
        <f t="shared" si="24"/>
        <v>46-60</v>
      </c>
      <c r="O563" s="12">
        <f t="shared" si="25"/>
        <v>1402.53</v>
      </c>
      <c r="P563" s="12">
        <f t="shared" si="26"/>
        <v>420.75899999999996</v>
      </c>
      <c r="X563" s="14" t="s">
        <v>619</v>
      </c>
      <c r="Y563" s="19">
        <v>1064.25</v>
      </c>
    </row>
    <row r="564" spans="1:25" x14ac:dyDescent="0.3">
      <c r="A564">
        <v>99315</v>
      </c>
      <c r="B564" s="1">
        <v>45568</v>
      </c>
      <c r="C564">
        <v>618</v>
      </c>
      <c r="D564">
        <v>30</v>
      </c>
      <c r="E564" t="s">
        <v>37</v>
      </c>
      <c r="F564" t="s">
        <v>95</v>
      </c>
      <c r="G564">
        <v>3</v>
      </c>
      <c r="H564">
        <v>413.52</v>
      </c>
      <c r="I564" t="s">
        <v>35</v>
      </c>
      <c r="J564" t="s">
        <v>639</v>
      </c>
      <c r="K564">
        <v>3</v>
      </c>
      <c r="M564">
        <v>39</v>
      </c>
      <c r="N564" s="18" t="str">
        <f t="shared" si="24"/>
        <v>31-45</v>
      </c>
      <c r="O564" s="12">
        <f t="shared" si="25"/>
        <v>1240.56</v>
      </c>
      <c r="P564" s="12">
        <f t="shared" si="26"/>
        <v>372.16799999999995</v>
      </c>
      <c r="X564" s="14" t="s">
        <v>510</v>
      </c>
      <c r="Y564" s="19">
        <v>234.18</v>
      </c>
    </row>
    <row r="565" spans="1:25" x14ac:dyDescent="0.3">
      <c r="A565">
        <v>87467</v>
      </c>
      <c r="B565" s="1">
        <v>45570</v>
      </c>
      <c r="C565">
        <v>199</v>
      </c>
      <c r="D565">
        <v>20</v>
      </c>
      <c r="E565" t="s">
        <v>28</v>
      </c>
      <c r="F565" t="s">
        <v>29</v>
      </c>
      <c r="G565">
        <v>4</v>
      </c>
      <c r="H565">
        <v>53.77</v>
      </c>
      <c r="I565" t="s">
        <v>15</v>
      </c>
      <c r="J565" t="s">
        <v>529</v>
      </c>
      <c r="L565" t="s">
        <v>21</v>
      </c>
      <c r="M565">
        <v>38</v>
      </c>
      <c r="N565" s="18" t="str">
        <f t="shared" si="24"/>
        <v>31-45</v>
      </c>
      <c r="O565" s="12">
        <f t="shared" si="25"/>
        <v>215.08</v>
      </c>
      <c r="P565" s="12">
        <f t="shared" si="26"/>
        <v>64.524000000000001</v>
      </c>
      <c r="X565" s="14" t="s">
        <v>962</v>
      </c>
      <c r="Y565" s="19">
        <v>339.6</v>
      </c>
    </row>
    <row r="566" spans="1:25" x14ac:dyDescent="0.3">
      <c r="A566">
        <v>42912</v>
      </c>
      <c r="B566" s="1">
        <v>45570</v>
      </c>
      <c r="C566">
        <v>811</v>
      </c>
      <c r="D566">
        <v>40</v>
      </c>
      <c r="E566" t="s">
        <v>24</v>
      </c>
      <c r="F566" t="s">
        <v>63</v>
      </c>
      <c r="G566">
        <v>5</v>
      </c>
      <c r="H566">
        <v>60.3</v>
      </c>
      <c r="I566" t="s">
        <v>26</v>
      </c>
      <c r="J566" t="s">
        <v>701</v>
      </c>
      <c r="L566" t="s">
        <v>17</v>
      </c>
      <c r="M566">
        <v>21</v>
      </c>
      <c r="N566" s="18" t="str">
        <f t="shared" si="24"/>
        <v>18-30</v>
      </c>
      <c r="O566" s="12">
        <f t="shared" si="25"/>
        <v>301.5</v>
      </c>
      <c r="P566" s="12">
        <f t="shared" si="26"/>
        <v>90.45</v>
      </c>
      <c r="X566" s="14" t="s">
        <v>64</v>
      </c>
      <c r="Y566" s="19">
        <v>489.21</v>
      </c>
    </row>
    <row r="567" spans="1:25" x14ac:dyDescent="0.3">
      <c r="A567">
        <v>55540</v>
      </c>
      <c r="B567" s="1">
        <v>45571</v>
      </c>
      <c r="C567">
        <v>424</v>
      </c>
      <c r="D567">
        <v>10</v>
      </c>
      <c r="E567" t="s">
        <v>13</v>
      </c>
      <c r="F567" t="s">
        <v>32</v>
      </c>
      <c r="G567">
        <v>4</v>
      </c>
      <c r="H567">
        <v>225.09</v>
      </c>
      <c r="I567" t="s">
        <v>35</v>
      </c>
      <c r="J567" t="s">
        <v>422</v>
      </c>
      <c r="K567">
        <v>1</v>
      </c>
      <c r="L567" t="s">
        <v>17</v>
      </c>
      <c r="M567">
        <v>23</v>
      </c>
      <c r="N567" s="18" t="str">
        <f t="shared" si="24"/>
        <v>18-30</v>
      </c>
      <c r="O567" s="12">
        <f t="shared" si="25"/>
        <v>900.36</v>
      </c>
      <c r="P567" s="12">
        <f t="shared" si="26"/>
        <v>270.108</v>
      </c>
      <c r="X567" s="14" t="s">
        <v>896</v>
      </c>
      <c r="Y567" s="19">
        <v>36.520000000000003</v>
      </c>
    </row>
    <row r="568" spans="1:25" x14ac:dyDescent="0.3">
      <c r="A568">
        <v>57116</v>
      </c>
      <c r="B568" s="1">
        <v>45571</v>
      </c>
      <c r="C568">
        <v>319</v>
      </c>
      <c r="D568">
        <v>20</v>
      </c>
      <c r="E568" t="s">
        <v>28</v>
      </c>
      <c r="F568" t="s">
        <v>77</v>
      </c>
      <c r="G568">
        <v>5</v>
      </c>
      <c r="H568">
        <v>11.73</v>
      </c>
      <c r="I568" t="s">
        <v>26</v>
      </c>
      <c r="J568" t="s">
        <v>948</v>
      </c>
      <c r="L568" t="s">
        <v>17</v>
      </c>
      <c r="M568">
        <v>60</v>
      </c>
      <c r="N568" s="18" t="str">
        <f t="shared" si="24"/>
        <v>46-60</v>
      </c>
      <c r="O568" s="12">
        <f t="shared" si="25"/>
        <v>58.650000000000006</v>
      </c>
      <c r="P568" s="12">
        <f t="shared" si="26"/>
        <v>17.595000000000002</v>
      </c>
      <c r="X568" s="14" t="s">
        <v>783</v>
      </c>
      <c r="Y568" s="19">
        <v>655.47</v>
      </c>
    </row>
    <row r="569" spans="1:25" x14ac:dyDescent="0.3">
      <c r="A569">
        <v>37972</v>
      </c>
      <c r="B569" s="1">
        <v>45572</v>
      </c>
      <c r="C569">
        <v>603</v>
      </c>
      <c r="D569">
        <v>50</v>
      </c>
      <c r="E569" t="s">
        <v>18</v>
      </c>
      <c r="F569" t="s">
        <v>87</v>
      </c>
      <c r="G569">
        <v>4</v>
      </c>
      <c r="H569">
        <v>316.74</v>
      </c>
      <c r="I569" t="s">
        <v>26</v>
      </c>
      <c r="J569" t="s">
        <v>426</v>
      </c>
      <c r="K569">
        <v>4</v>
      </c>
      <c r="L569" t="s">
        <v>21</v>
      </c>
      <c r="M569">
        <v>53</v>
      </c>
      <c r="N569" s="18" t="str">
        <f t="shared" si="24"/>
        <v>46-60</v>
      </c>
      <c r="O569" s="12">
        <f t="shared" si="25"/>
        <v>1266.96</v>
      </c>
      <c r="P569" s="12">
        <f t="shared" si="26"/>
        <v>380.08800000000002</v>
      </c>
      <c r="X569" s="14" t="s">
        <v>1003</v>
      </c>
      <c r="Y569" s="19">
        <v>1081.28</v>
      </c>
    </row>
    <row r="570" spans="1:25" x14ac:dyDescent="0.3">
      <c r="A570">
        <v>74049</v>
      </c>
      <c r="B570" s="1">
        <v>45572</v>
      </c>
      <c r="C570">
        <v>354</v>
      </c>
      <c r="D570">
        <v>10</v>
      </c>
      <c r="E570" t="s">
        <v>13</v>
      </c>
      <c r="F570" t="s">
        <v>47</v>
      </c>
      <c r="G570">
        <v>5</v>
      </c>
      <c r="H570">
        <v>292.08999999999997</v>
      </c>
      <c r="I570" t="s">
        <v>26</v>
      </c>
      <c r="J570" t="s">
        <v>588</v>
      </c>
      <c r="K570">
        <v>3</v>
      </c>
      <c r="L570" t="s">
        <v>17</v>
      </c>
      <c r="M570">
        <v>46</v>
      </c>
      <c r="N570" s="18" t="str">
        <f t="shared" si="24"/>
        <v>46-60</v>
      </c>
      <c r="O570" s="12">
        <f t="shared" si="25"/>
        <v>1460.4499999999998</v>
      </c>
      <c r="P570" s="12">
        <f t="shared" si="26"/>
        <v>438.13499999999993</v>
      </c>
      <c r="X570" s="14" t="s">
        <v>599</v>
      </c>
      <c r="Y570" s="19">
        <v>194.16</v>
      </c>
    </row>
    <row r="571" spans="1:25" x14ac:dyDescent="0.3">
      <c r="A571">
        <v>65579</v>
      </c>
      <c r="B571" s="1">
        <v>45572</v>
      </c>
      <c r="C571">
        <v>533</v>
      </c>
      <c r="D571">
        <v>10</v>
      </c>
      <c r="E571" t="s">
        <v>13</v>
      </c>
      <c r="F571" t="s">
        <v>42</v>
      </c>
      <c r="G571">
        <v>1</v>
      </c>
      <c r="H571">
        <v>142.29</v>
      </c>
      <c r="I571" t="s">
        <v>35</v>
      </c>
      <c r="J571" t="s">
        <v>677</v>
      </c>
      <c r="K571">
        <v>5</v>
      </c>
      <c r="L571" t="s">
        <v>21</v>
      </c>
      <c r="M571">
        <v>63</v>
      </c>
      <c r="N571" s="18" t="str">
        <f t="shared" si="24"/>
        <v>60+</v>
      </c>
      <c r="O571" s="12">
        <f t="shared" si="25"/>
        <v>142.29</v>
      </c>
      <c r="P571" s="12">
        <f t="shared" si="26"/>
        <v>42.686999999999998</v>
      </c>
      <c r="X571" s="14" t="s">
        <v>452</v>
      </c>
      <c r="Y571" s="19">
        <v>1042.95</v>
      </c>
    </row>
    <row r="572" spans="1:25" x14ac:dyDescent="0.3">
      <c r="A572">
        <v>26457</v>
      </c>
      <c r="B572" s="1">
        <v>45572</v>
      </c>
      <c r="C572">
        <v>279</v>
      </c>
      <c r="D572">
        <v>30</v>
      </c>
      <c r="E572" t="s">
        <v>37</v>
      </c>
      <c r="F572" t="s">
        <v>38</v>
      </c>
      <c r="G572">
        <v>5</v>
      </c>
      <c r="H572">
        <v>456.55</v>
      </c>
      <c r="I572" t="s">
        <v>26</v>
      </c>
      <c r="J572" t="s">
        <v>734</v>
      </c>
      <c r="K572">
        <v>4</v>
      </c>
      <c r="L572" t="s">
        <v>17</v>
      </c>
      <c r="M572">
        <v>60</v>
      </c>
      <c r="N572" s="18" t="str">
        <f t="shared" si="24"/>
        <v>46-60</v>
      </c>
      <c r="O572" s="12">
        <f t="shared" si="25"/>
        <v>2282.75</v>
      </c>
      <c r="P572" s="12">
        <f t="shared" si="26"/>
        <v>684.82499999999993</v>
      </c>
      <c r="X572" s="14" t="s">
        <v>33</v>
      </c>
      <c r="Y572" s="19">
        <v>1363.75</v>
      </c>
    </row>
    <row r="573" spans="1:25" x14ac:dyDescent="0.3">
      <c r="A573">
        <v>75854</v>
      </c>
      <c r="B573" s="1">
        <v>45573</v>
      </c>
      <c r="C573">
        <v>783</v>
      </c>
      <c r="D573">
        <v>50</v>
      </c>
      <c r="E573" t="s">
        <v>18</v>
      </c>
      <c r="F573" t="s">
        <v>84</v>
      </c>
      <c r="G573">
        <v>3</v>
      </c>
      <c r="H573">
        <v>454.2</v>
      </c>
      <c r="I573" t="s">
        <v>35</v>
      </c>
      <c r="J573" t="s">
        <v>654</v>
      </c>
      <c r="K573">
        <v>3</v>
      </c>
      <c r="L573" t="s">
        <v>21</v>
      </c>
      <c r="M573">
        <v>19</v>
      </c>
      <c r="N573" s="18" t="str">
        <f t="shared" si="24"/>
        <v>18-30</v>
      </c>
      <c r="O573" s="12">
        <f t="shared" si="25"/>
        <v>1362.6</v>
      </c>
      <c r="P573" s="12">
        <f t="shared" si="26"/>
        <v>408.78</v>
      </c>
      <c r="X573" s="14" t="s">
        <v>889</v>
      </c>
      <c r="Y573" s="19">
        <v>1477.0500000000002</v>
      </c>
    </row>
    <row r="574" spans="1:25" x14ac:dyDescent="0.3">
      <c r="A574">
        <v>25229</v>
      </c>
      <c r="B574" s="1">
        <v>45574</v>
      </c>
      <c r="C574">
        <v>644</v>
      </c>
      <c r="D574">
        <v>30</v>
      </c>
      <c r="E574" t="s">
        <v>37</v>
      </c>
      <c r="F574" t="s">
        <v>40</v>
      </c>
      <c r="G574">
        <v>2</v>
      </c>
      <c r="H574">
        <v>157.56</v>
      </c>
      <c r="I574" t="s">
        <v>15</v>
      </c>
      <c r="J574" t="s">
        <v>311</v>
      </c>
      <c r="K574">
        <v>1</v>
      </c>
      <c r="L574" t="s">
        <v>17</v>
      </c>
      <c r="M574">
        <v>27</v>
      </c>
      <c r="N574" s="18" t="str">
        <f t="shared" si="24"/>
        <v>18-30</v>
      </c>
      <c r="O574" s="12">
        <f t="shared" si="25"/>
        <v>315.12</v>
      </c>
      <c r="P574" s="12">
        <f t="shared" si="26"/>
        <v>94.536000000000001</v>
      </c>
      <c r="X574" s="14" t="s">
        <v>180</v>
      </c>
      <c r="Y574" s="19">
        <v>156.88</v>
      </c>
    </row>
    <row r="575" spans="1:25" x14ac:dyDescent="0.3">
      <c r="A575">
        <v>97829</v>
      </c>
      <c r="B575" s="1">
        <v>45574</v>
      </c>
      <c r="C575">
        <v>640</v>
      </c>
      <c r="D575">
        <v>30</v>
      </c>
      <c r="E575" t="s">
        <v>37</v>
      </c>
      <c r="F575" t="s">
        <v>38</v>
      </c>
      <c r="G575">
        <v>5</v>
      </c>
      <c r="H575">
        <v>143.03</v>
      </c>
      <c r="I575" t="s">
        <v>15</v>
      </c>
      <c r="J575" t="s">
        <v>973</v>
      </c>
      <c r="K575">
        <v>4</v>
      </c>
      <c r="L575" t="s">
        <v>21</v>
      </c>
      <c r="M575">
        <v>38</v>
      </c>
      <c r="N575" s="18" t="str">
        <f t="shared" si="24"/>
        <v>31-45</v>
      </c>
      <c r="O575" s="12">
        <f t="shared" si="25"/>
        <v>715.15</v>
      </c>
      <c r="P575" s="12">
        <f t="shared" si="26"/>
        <v>214.54499999999999</v>
      </c>
      <c r="X575" s="14" t="s">
        <v>498</v>
      </c>
      <c r="Y575" s="19">
        <v>1547.7</v>
      </c>
    </row>
    <row r="576" spans="1:25" x14ac:dyDescent="0.3">
      <c r="A576">
        <v>77150</v>
      </c>
      <c r="B576" s="1">
        <v>45575</v>
      </c>
      <c r="C576">
        <v>371</v>
      </c>
      <c r="D576">
        <v>30</v>
      </c>
      <c r="E576" t="s">
        <v>37</v>
      </c>
      <c r="F576" t="s">
        <v>40</v>
      </c>
      <c r="G576">
        <v>4</v>
      </c>
      <c r="H576">
        <v>476.07</v>
      </c>
      <c r="I576" t="s">
        <v>26</v>
      </c>
      <c r="J576" t="s">
        <v>294</v>
      </c>
      <c r="K576">
        <v>5</v>
      </c>
      <c r="L576" t="s">
        <v>17</v>
      </c>
      <c r="M576">
        <v>69</v>
      </c>
      <c r="N576" s="18" t="str">
        <f t="shared" si="24"/>
        <v>60+</v>
      </c>
      <c r="O576" s="12">
        <f t="shared" si="25"/>
        <v>1904.28</v>
      </c>
      <c r="P576" s="12">
        <f t="shared" si="26"/>
        <v>571.28399999999999</v>
      </c>
      <c r="X576" s="14" t="s">
        <v>907</v>
      </c>
      <c r="Y576" s="19">
        <v>1861.9499999999998</v>
      </c>
    </row>
    <row r="577" spans="1:25" x14ac:dyDescent="0.3">
      <c r="A577">
        <v>38807</v>
      </c>
      <c r="B577" s="1">
        <v>45576</v>
      </c>
      <c r="C577">
        <v>756</v>
      </c>
      <c r="D577">
        <v>30</v>
      </c>
      <c r="E577" t="s">
        <v>37</v>
      </c>
      <c r="F577" t="s">
        <v>40</v>
      </c>
      <c r="G577">
        <v>4</v>
      </c>
      <c r="H577">
        <v>90.79</v>
      </c>
      <c r="I577" t="s">
        <v>26</v>
      </c>
      <c r="J577" t="s">
        <v>671</v>
      </c>
      <c r="L577" t="s">
        <v>21</v>
      </c>
      <c r="M577">
        <v>63</v>
      </c>
      <c r="N577" s="18" t="str">
        <f t="shared" si="24"/>
        <v>60+</v>
      </c>
      <c r="O577" s="12">
        <f t="shared" si="25"/>
        <v>363.16</v>
      </c>
      <c r="P577" s="12">
        <f t="shared" si="26"/>
        <v>108.94800000000001</v>
      </c>
      <c r="X577" s="14" t="s">
        <v>312</v>
      </c>
      <c r="Y577" s="19">
        <v>163.12</v>
      </c>
    </row>
    <row r="578" spans="1:25" x14ac:dyDescent="0.3">
      <c r="A578">
        <v>35246</v>
      </c>
      <c r="B578" s="1">
        <v>45576</v>
      </c>
      <c r="C578">
        <v>209</v>
      </c>
      <c r="D578">
        <v>10</v>
      </c>
      <c r="E578" t="s">
        <v>13</v>
      </c>
      <c r="F578" t="s">
        <v>47</v>
      </c>
      <c r="G578">
        <v>3</v>
      </c>
      <c r="H578">
        <v>152.68</v>
      </c>
      <c r="I578" t="s">
        <v>26</v>
      </c>
      <c r="J578" t="s">
        <v>938</v>
      </c>
      <c r="K578">
        <v>5</v>
      </c>
      <c r="L578" t="s">
        <v>17</v>
      </c>
      <c r="M578">
        <v>46</v>
      </c>
      <c r="N578" s="18" t="str">
        <f t="shared" si="24"/>
        <v>46-60</v>
      </c>
      <c r="O578" s="12">
        <f t="shared" si="25"/>
        <v>458.04</v>
      </c>
      <c r="P578" s="12">
        <f t="shared" si="26"/>
        <v>137.41200000000001</v>
      </c>
      <c r="X578" s="14" t="s">
        <v>574</v>
      </c>
      <c r="Y578" s="19">
        <v>239.72</v>
      </c>
    </row>
    <row r="579" spans="1:25" x14ac:dyDescent="0.3">
      <c r="A579">
        <v>48366</v>
      </c>
      <c r="B579" s="1">
        <v>45577</v>
      </c>
      <c r="C579">
        <v>292</v>
      </c>
      <c r="D579">
        <v>10</v>
      </c>
      <c r="E579" t="s">
        <v>13</v>
      </c>
      <c r="F579" t="s">
        <v>42</v>
      </c>
      <c r="G579">
        <v>3</v>
      </c>
      <c r="H579">
        <v>327.3</v>
      </c>
      <c r="I579" t="s">
        <v>15</v>
      </c>
      <c r="J579" t="s">
        <v>152</v>
      </c>
      <c r="K579">
        <v>5</v>
      </c>
      <c r="L579" t="s">
        <v>17</v>
      </c>
      <c r="M579">
        <v>48</v>
      </c>
      <c r="N579" s="18" t="str">
        <f t="shared" ref="N579:N642" si="27">IF(M579&lt;=30,"18-30",IF(M579&lt;=45,"31-45",IF(M579&lt;=60,"46-60","60+")))</f>
        <v>46-60</v>
      </c>
      <c r="O579" s="12">
        <f t="shared" ref="O579:O642" si="28">H579*G579</f>
        <v>981.90000000000009</v>
      </c>
      <c r="P579" s="12">
        <f t="shared" ref="P579:P642" si="29">O579*0.3</f>
        <v>294.57</v>
      </c>
      <c r="X579" s="14" t="s">
        <v>481</v>
      </c>
      <c r="Y579" s="19">
        <v>138.72</v>
      </c>
    </row>
    <row r="580" spans="1:25" x14ac:dyDescent="0.3">
      <c r="A580">
        <v>89076</v>
      </c>
      <c r="B580" s="1">
        <v>45577</v>
      </c>
      <c r="C580">
        <v>967</v>
      </c>
      <c r="D580">
        <v>40</v>
      </c>
      <c r="E580" t="s">
        <v>24</v>
      </c>
      <c r="F580" t="s">
        <v>65</v>
      </c>
      <c r="G580">
        <v>3</v>
      </c>
      <c r="H580">
        <v>94.54</v>
      </c>
      <c r="I580" t="s">
        <v>35</v>
      </c>
      <c r="J580" t="s">
        <v>499</v>
      </c>
      <c r="K580">
        <v>5</v>
      </c>
      <c r="L580" t="s">
        <v>21</v>
      </c>
      <c r="M580">
        <v>69</v>
      </c>
      <c r="N580" s="18" t="str">
        <f t="shared" si="27"/>
        <v>60+</v>
      </c>
      <c r="O580" s="12">
        <f t="shared" si="28"/>
        <v>283.62</v>
      </c>
      <c r="P580" s="12">
        <f t="shared" si="29"/>
        <v>85.085999999999999</v>
      </c>
      <c r="X580" s="14" t="s">
        <v>1009</v>
      </c>
      <c r="Y580" s="19">
        <v>590.91</v>
      </c>
    </row>
    <row r="581" spans="1:25" x14ac:dyDescent="0.3">
      <c r="A581">
        <v>95344</v>
      </c>
      <c r="B581" s="1">
        <v>45577</v>
      </c>
      <c r="C581">
        <v>551</v>
      </c>
      <c r="D581">
        <v>20</v>
      </c>
      <c r="E581" t="s">
        <v>28</v>
      </c>
      <c r="F581" t="s">
        <v>77</v>
      </c>
      <c r="G581">
        <v>3</v>
      </c>
      <c r="H581">
        <v>360.32</v>
      </c>
      <c r="I581" t="s">
        <v>35</v>
      </c>
      <c r="J581" t="s">
        <v>846</v>
      </c>
      <c r="K581">
        <v>3</v>
      </c>
      <c r="L581" t="s">
        <v>21</v>
      </c>
      <c r="M581">
        <v>61</v>
      </c>
      <c r="N581" s="18" t="str">
        <f t="shared" si="27"/>
        <v>60+</v>
      </c>
      <c r="O581" s="12">
        <f t="shared" si="28"/>
        <v>1080.96</v>
      </c>
      <c r="P581" s="12">
        <f t="shared" si="29"/>
        <v>324.28800000000001</v>
      </c>
      <c r="X581" s="14" t="s">
        <v>880</v>
      </c>
      <c r="Y581" s="19">
        <v>1675.52</v>
      </c>
    </row>
    <row r="582" spans="1:25" x14ac:dyDescent="0.3">
      <c r="A582">
        <v>70476</v>
      </c>
      <c r="B582" s="1">
        <v>45578</v>
      </c>
      <c r="C582">
        <v>883</v>
      </c>
      <c r="D582">
        <v>30</v>
      </c>
      <c r="E582" t="s">
        <v>37</v>
      </c>
      <c r="F582" t="s">
        <v>38</v>
      </c>
      <c r="G582">
        <v>1</v>
      </c>
      <c r="H582">
        <v>489.19</v>
      </c>
      <c r="I582" t="s">
        <v>35</v>
      </c>
      <c r="J582" t="s">
        <v>218</v>
      </c>
      <c r="K582">
        <v>3</v>
      </c>
      <c r="L582" t="s">
        <v>21</v>
      </c>
      <c r="M582">
        <v>32</v>
      </c>
      <c r="N582" s="18" t="str">
        <f t="shared" si="27"/>
        <v>31-45</v>
      </c>
      <c r="O582" s="12">
        <f t="shared" si="28"/>
        <v>489.19</v>
      </c>
      <c r="P582" s="12">
        <f t="shared" si="29"/>
        <v>146.75700000000001</v>
      </c>
      <c r="X582" s="14" t="s">
        <v>723</v>
      </c>
      <c r="Y582" s="19">
        <v>1859.1999999999998</v>
      </c>
    </row>
    <row r="583" spans="1:25" x14ac:dyDescent="0.3">
      <c r="A583">
        <v>32206</v>
      </c>
      <c r="B583" s="1">
        <v>45578</v>
      </c>
      <c r="C583">
        <v>400</v>
      </c>
      <c r="D583">
        <v>50</v>
      </c>
      <c r="E583" t="s">
        <v>18</v>
      </c>
      <c r="F583" t="s">
        <v>84</v>
      </c>
      <c r="G583">
        <v>4</v>
      </c>
      <c r="H583">
        <v>40.78</v>
      </c>
      <c r="I583" t="s">
        <v>26</v>
      </c>
      <c r="J583" t="s">
        <v>312</v>
      </c>
      <c r="K583">
        <v>4</v>
      </c>
      <c r="L583" t="s">
        <v>21</v>
      </c>
      <c r="M583">
        <v>28</v>
      </c>
      <c r="N583" s="18" t="str">
        <f t="shared" si="27"/>
        <v>18-30</v>
      </c>
      <c r="O583" s="12">
        <f t="shared" si="28"/>
        <v>163.12</v>
      </c>
      <c r="P583" s="12">
        <f t="shared" si="29"/>
        <v>48.936</v>
      </c>
      <c r="X583" s="14" t="s">
        <v>76</v>
      </c>
      <c r="Y583" s="19">
        <v>1036.4000000000001</v>
      </c>
    </row>
    <row r="584" spans="1:25" x14ac:dyDescent="0.3">
      <c r="A584">
        <v>74278</v>
      </c>
      <c r="B584" s="1">
        <v>45578</v>
      </c>
      <c r="C584">
        <v>225</v>
      </c>
      <c r="D584">
        <v>50</v>
      </c>
      <c r="E584" t="s">
        <v>18</v>
      </c>
      <c r="F584" t="s">
        <v>22</v>
      </c>
      <c r="G584">
        <v>1</v>
      </c>
      <c r="H584">
        <v>304</v>
      </c>
      <c r="I584" t="s">
        <v>35</v>
      </c>
      <c r="J584" t="s">
        <v>535</v>
      </c>
      <c r="K584">
        <v>2</v>
      </c>
      <c r="M584">
        <v>24</v>
      </c>
      <c r="N584" s="18" t="str">
        <f t="shared" si="27"/>
        <v>18-30</v>
      </c>
      <c r="O584" s="12">
        <f t="shared" si="28"/>
        <v>304</v>
      </c>
      <c r="P584" s="12">
        <f t="shared" si="29"/>
        <v>91.2</v>
      </c>
      <c r="X584" s="14" t="s">
        <v>172</v>
      </c>
      <c r="Y584" s="19">
        <v>258.7</v>
      </c>
    </row>
    <row r="585" spans="1:25" x14ac:dyDescent="0.3">
      <c r="A585">
        <v>92929</v>
      </c>
      <c r="B585" s="1">
        <v>45578</v>
      </c>
      <c r="C585">
        <v>716</v>
      </c>
      <c r="D585">
        <v>40</v>
      </c>
      <c r="E585" t="s">
        <v>24</v>
      </c>
      <c r="F585" t="s">
        <v>25</v>
      </c>
      <c r="G585">
        <v>2</v>
      </c>
      <c r="H585">
        <v>55.07</v>
      </c>
      <c r="I585" t="s">
        <v>26</v>
      </c>
      <c r="J585" t="s">
        <v>577</v>
      </c>
      <c r="M585">
        <v>44</v>
      </c>
      <c r="N585" s="18" t="str">
        <f t="shared" si="27"/>
        <v>31-45</v>
      </c>
      <c r="O585" s="12">
        <f t="shared" si="28"/>
        <v>110.14</v>
      </c>
      <c r="P585" s="12">
        <f t="shared" si="29"/>
        <v>33.042000000000002</v>
      </c>
      <c r="X585" s="14" t="s">
        <v>736</v>
      </c>
      <c r="Y585" s="19">
        <v>972.2</v>
      </c>
    </row>
    <row r="586" spans="1:25" x14ac:dyDescent="0.3">
      <c r="A586">
        <v>74233</v>
      </c>
      <c r="B586" s="1">
        <v>45578</v>
      </c>
      <c r="C586">
        <v>750</v>
      </c>
      <c r="D586">
        <v>50</v>
      </c>
      <c r="E586" t="s">
        <v>18</v>
      </c>
      <c r="F586" t="s">
        <v>87</v>
      </c>
      <c r="G586">
        <v>2</v>
      </c>
      <c r="H586">
        <v>103.2</v>
      </c>
      <c r="I586" t="s">
        <v>26</v>
      </c>
      <c r="J586" t="s">
        <v>976</v>
      </c>
      <c r="K586">
        <v>5</v>
      </c>
      <c r="L586" t="s">
        <v>17</v>
      </c>
      <c r="M586">
        <v>60</v>
      </c>
      <c r="N586" s="18" t="str">
        <f t="shared" si="27"/>
        <v>46-60</v>
      </c>
      <c r="O586" s="12">
        <f t="shared" si="28"/>
        <v>206.4</v>
      </c>
      <c r="P586" s="12">
        <f t="shared" si="29"/>
        <v>61.92</v>
      </c>
      <c r="X586" s="14" t="s">
        <v>809</v>
      </c>
      <c r="Y586" s="19">
        <v>625.4</v>
      </c>
    </row>
    <row r="587" spans="1:25" x14ac:dyDescent="0.3">
      <c r="A587">
        <v>46001</v>
      </c>
      <c r="B587" s="1">
        <v>45579</v>
      </c>
      <c r="C587">
        <v>661</v>
      </c>
      <c r="D587">
        <v>50</v>
      </c>
      <c r="E587" t="s">
        <v>18</v>
      </c>
      <c r="F587" t="s">
        <v>84</v>
      </c>
      <c r="G587">
        <v>1</v>
      </c>
      <c r="H587">
        <v>297.8</v>
      </c>
      <c r="I587" t="s">
        <v>35</v>
      </c>
      <c r="J587" t="s">
        <v>232</v>
      </c>
      <c r="L587" t="s">
        <v>21</v>
      </c>
      <c r="M587">
        <v>40</v>
      </c>
      <c r="N587" s="18" t="str">
        <f t="shared" si="27"/>
        <v>31-45</v>
      </c>
      <c r="O587" s="12">
        <f t="shared" si="28"/>
        <v>297.8</v>
      </c>
      <c r="P587" s="12">
        <f t="shared" si="29"/>
        <v>89.34</v>
      </c>
      <c r="X587" s="14" t="s">
        <v>852</v>
      </c>
      <c r="Y587" s="19">
        <v>124.08</v>
      </c>
    </row>
    <row r="588" spans="1:25" x14ac:dyDescent="0.3">
      <c r="A588">
        <v>10201</v>
      </c>
      <c r="B588" s="1">
        <v>45579</v>
      </c>
      <c r="C588">
        <v>455</v>
      </c>
      <c r="D588">
        <v>10</v>
      </c>
      <c r="E588" t="s">
        <v>13</v>
      </c>
      <c r="F588" t="s">
        <v>14</v>
      </c>
      <c r="G588">
        <v>4</v>
      </c>
      <c r="H588">
        <v>156.21</v>
      </c>
      <c r="I588" t="s">
        <v>35</v>
      </c>
      <c r="J588" t="s">
        <v>394</v>
      </c>
      <c r="M588">
        <v>23</v>
      </c>
      <c r="N588" s="18" t="str">
        <f t="shared" si="27"/>
        <v>18-30</v>
      </c>
      <c r="O588" s="12">
        <f t="shared" si="28"/>
        <v>624.84</v>
      </c>
      <c r="P588" s="12">
        <f t="shared" si="29"/>
        <v>187.452</v>
      </c>
      <c r="X588" s="14" t="s">
        <v>496</v>
      </c>
      <c r="Y588" s="19">
        <v>585.79999999999995</v>
      </c>
    </row>
    <row r="589" spans="1:25" x14ac:dyDescent="0.3">
      <c r="A589">
        <v>62444</v>
      </c>
      <c r="B589" s="1">
        <v>45579</v>
      </c>
      <c r="C589">
        <v>222</v>
      </c>
      <c r="D589">
        <v>10</v>
      </c>
      <c r="E589" t="s">
        <v>13</v>
      </c>
      <c r="F589" t="s">
        <v>111</v>
      </c>
      <c r="G589">
        <v>3</v>
      </c>
      <c r="H589">
        <v>352.35</v>
      </c>
      <c r="I589" t="s">
        <v>35</v>
      </c>
      <c r="J589" t="s">
        <v>544</v>
      </c>
      <c r="K589">
        <v>5</v>
      </c>
      <c r="L589" t="s">
        <v>21</v>
      </c>
      <c r="M589">
        <v>70</v>
      </c>
      <c r="N589" s="18" t="str">
        <f t="shared" si="27"/>
        <v>60+</v>
      </c>
      <c r="O589" s="12">
        <f t="shared" si="28"/>
        <v>1057.0500000000002</v>
      </c>
      <c r="P589" s="12">
        <f t="shared" si="29"/>
        <v>317.11500000000007</v>
      </c>
      <c r="X589" s="14" t="s">
        <v>710</v>
      </c>
      <c r="Y589" s="19">
        <v>493.28</v>
      </c>
    </row>
    <row r="590" spans="1:25" x14ac:dyDescent="0.3">
      <c r="A590">
        <v>45241</v>
      </c>
      <c r="B590" s="1">
        <v>45579</v>
      </c>
      <c r="C590">
        <v>448</v>
      </c>
      <c r="D590">
        <v>40</v>
      </c>
      <c r="E590" t="s">
        <v>24</v>
      </c>
      <c r="F590" t="s">
        <v>65</v>
      </c>
      <c r="G590">
        <v>5</v>
      </c>
      <c r="H590">
        <v>141.47</v>
      </c>
      <c r="I590" t="s">
        <v>35</v>
      </c>
      <c r="J590" t="s">
        <v>687</v>
      </c>
      <c r="L590" t="s">
        <v>17</v>
      </c>
      <c r="M590">
        <v>29</v>
      </c>
      <c r="N590" s="18" t="str">
        <f t="shared" si="27"/>
        <v>18-30</v>
      </c>
      <c r="O590" s="12">
        <f t="shared" si="28"/>
        <v>707.35</v>
      </c>
      <c r="P590" s="12">
        <f t="shared" si="29"/>
        <v>212.20500000000001</v>
      </c>
      <c r="X590" s="14" t="s">
        <v>868</v>
      </c>
      <c r="Y590" s="19">
        <v>1425</v>
      </c>
    </row>
    <row r="591" spans="1:25" x14ac:dyDescent="0.3">
      <c r="A591">
        <v>59266</v>
      </c>
      <c r="B591" s="1">
        <v>45579</v>
      </c>
      <c r="C591">
        <v>405</v>
      </c>
      <c r="D591">
        <v>10</v>
      </c>
      <c r="E591" t="s">
        <v>13</v>
      </c>
      <c r="F591" t="s">
        <v>47</v>
      </c>
      <c r="G591">
        <v>2</v>
      </c>
      <c r="H591">
        <v>486.1</v>
      </c>
      <c r="I591" t="s">
        <v>35</v>
      </c>
      <c r="J591" t="s">
        <v>736</v>
      </c>
      <c r="K591">
        <v>4</v>
      </c>
      <c r="L591" t="s">
        <v>17</v>
      </c>
      <c r="M591">
        <v>63</v>
      </c>
      <c r="N591" s="18" t="str">
        <f t="shared" si="27"/>
        <v>60+</v>
      </c>
      <c r="O591" s="12">
        <f t="shared" si="28"/>
        <v>972.2</v>
      </c>
      <c r="P591" s="12">
        <f t="shared" si="29"/>
        <v>291.66000000000003</v>
      </c>
      <c r="X591" s="14" t="s">
        <v>882</v>
      </c>
      <c r="Y591" s="19">
        <v>316.41000000000003</v>
      </c>
    </row>
    <row r="592" spans="1:25" x14ac:dyDescent="0.3">
      <c r="A592">
        <v>50842</v>
      </c>
      <c r="B592" s="1">
        <v>45579</v>
      </c>
      <c r="C592">
        <v>300</v>
      </c>
      <c r="D592">
        <v>50</v>
      </c>
      <c r="E592" t="s">
        <v>18</v>
      </c>
      <c r="F592" t="s">
        <v>84</v>
      </c>
      <c r="G592">
        <v>3</v>
      </c>
      <c r="H592">
        <v>266.5</v>
      </c>
      <c r="I592" t="s">
        <v>35</v>
      </c>
      <c r="J592" t="s">
        <v>840</v>
      </c>
      <c r="K592">
        <v>4</v>
      </c>
      <c r="M592">
        <v>58</v>
      </c>
      <c r="N592" s="18" t="str">
        <f t="shared" si="27"/>
        <v>46-60</v>
      </c>
      <c r="O592" s="12">
        <f t="shared" si="28"/>
        <v>799.5</v>
      </c>
      <c r="P592" s="12">
        <f t="shared" si="29"/>
        <v>239.85</v>
      </c>
      <c r="X592" s="14" t="s">
        <v>82</v>
      </c>
      <c r="Y592" s="19">
        <v>904.4</v>
      </c>
    </row>
    <row r="593" spans="1:25" x14ac:dyDescent="0.3">
      <c r="A593">
        <v>92632</v>
      </c>
      <c r="B593" s="1">
        <v>45580</v>
      </c>
      <c r="C593">
        <v>712</v>
      </c>
      <c r="D593">
        <v>50</v>
      </c>
      <c r="E593" t="s">
        <v>18</v>
      </c>
      <c r="F593" t="s">
        <v>19</v>
      </c>
      <c r="G593">
        <v>3</v>
      </c>
      <c r="H593">
        <v>218.49</v>
      </c>
      <c r="I593" t="s">
        <v>26</v>
      </c>
      <c r="J593" t="s">
        <v>783</v>
      </c>
      <c r="K593">
        <v>4</v>
      </c>
      <c r="L593" t="s">
        <v>21</v>
      </c>
      <c r="M593">
        <v>26</v>
      </c>
      <c r="N593" s="18" t="str">
        <f t="shared" si="27"/>
        <v>18-30</v>
      </c>
      <c r="O593" s="12">
        <f t="shared" si="28"/>
        <v>655.47</v>
      </c>
      <c r="P593" s="12">
        <f t="shared" si="29"/>
        <v>196.64099999999999</v>
      </c>
      <c r="X593" s="14" t="s">
        <v>702</v>
      </c>
      <c r="Y593" s="19">
        <v>1445.85</v>
      </c>
    </row>
    <row r="594" spans="1:25" x14ac:dyDescent="0.3">
      <c r="A594">
        <v>45508</v>
      </c>
      <c r="B594" s="1">
        <v>45580</v>
      </c>
      <c r="C594">
        <v>300</v>
      </c>
      <c r="D594">
        <v>50</v>
      </c>
      <c r="E594" t="s">
        <v>18</v>
      </c>
      <c r="F594" t="s">
        <v>19</v>
      </c>
      <c r="G594">
        <v>3</v>
      </c>
      <c r="H594">
        <v>452.9</v>
      </c>
      <c r="I594" t="s">
        <v>26</v>
      </c>
      <c r="J594" t="s">
        <v>915</v>
      </c>
      <c r="K594">
        <v>5</v>
      </c>
      <c r="L594" t="s">
        <v>17</v>
      </c>
      <c r="M594">
        <v>53</v>
      </c>
      <c r="N594" s="18" t="str">
        <f t="shared" si="27"/>
        <v>46-60</v>
      </c>
      <c r="O594" s="12">
        <f t="shared" si="28"/>
        <v>1358.6999999999998</v>
      </c>
      <c r="P594" s="12">
        <f t="shared" si="29"/>
        <v>407.60999999999996</v>
      </c>
      <c r="X594" s="14" t="s">
        <v>972</v>
      </c>
      <c r="Y594" s="19">
        <v>101.82</v>
      </c>
    </row>
    <row r="595" spans="1:25" x14ac:dyDescent="0.3">
      <c r="A595">
        <v>24025</v>
      </c>
      <c r="B595" s="1">
        <v>45581</v>
      </c>
      <c r="C595">
        <v>761</v>
      </c>
      <c r="D595">
        <v>10</v>
      </c>
      <c r="E595" t="s">
        <v>13</v>
      </c>
      <c r="F595" t="s">
        <v>47</v>
      </c>
      <c r="G595">
        <v>5</v>
      </c>
      <c r="H595">
        <v>62.46</v>
      </c>
      <c r="I595" t="s">
        <v>15</v>
      </c>
      <c r="J595" t="s">
        <v>876</v>
      </c>
      <c r="L595" t="s">
        <v>17</v>
      </c>
      <c r="M595">
        <v>54</v>
      </c>
      <c r="N595" s="18" t="str">
        <f t="shared" si="27"/>
        <v>46-60</v>
      </c>
      <c r="O595" s="12">
        <f t="shared" si="28"/>
        <v>312.3</v>
      </c>
      <c r="P595" s="12">
        <f t="shared" si="29"/>
        <v>93.69</v>
      </c>
      <c r="X595" s="14" t="s">
        <v>56</v>
      </c>
      <c r="Y595" s="19">
        <v>688.08</v>
      </c>
    </row>
    <row r="596" spans="1:25" x14ac:dyDescent="0.3">
      <c r="A596">
        <v>36922</v>
      </c>
      <c r="B596" s="1">
        <v>45582</v>
      </c>
      <c r="C596">
        <v>226</v>
      </c>
      <c r="D596">
        <v>20</v>
      </c>
      <c r="E596" t="s">
        <v>28</v>
      </c>
      <c r="F596" t="s">
        <v>72</v>
      </c>
      <c r="G596">
        <v>1</v>
      </c>
      <c r="H596">
        <v>254.46</v>
      </c>
      <c r="I596" t="s">
        <v>35</v>
      </c>
      <c r="J596" t="s">
        <v>581</v>
      </c>
      <c r="K596">
        <v>4</v>
      </c>
      <c r="L596" t="s">
        <v>21</v>
      </c>
      <c r="M596">
        <v>75</v>
      </c>
      <c r="N596" s="18" t="str">
        <f t="shared" si="27"/>
        <v>60+</v>
      </c>
      <c r="O596" s="12">
        <f t="shared" si="28"/>
        <v>254.46</v>
      </c>
      <c r="P596" s="12">
        <f t="shared" si="29"/>
        <v>76.337999999999994</v>
      </c>
      <c r="X596" s="14" t="s">
        <v>215</v>
      </c>
      <c r="Y596" s="19">
        <v>905.8</v>
      </c>
    </row>
    <row r="597" spans="1:25" x14ac:dyDescent="0.3">
      <c r="A597">
        <v>79537</v>
      </c>
      <c r="B597" s="1">
        <v>45583</v>
      </c>
      <c r="C597">
        <v>858</v>
      </c>
      <c r="D597">
        <v>40</v>
      </c>
      <c r="E597" t="s">
        <v>24</v>
      </c>
      <c r="F597" t="s">
        <v>25</v>
      </c>
      <c r="G597">
        <v>5</v>
      </c>
      <c r="H597">
        <v>374.39</v>
      </c>
      <c r="I597" t="s">
        <v>26</v>
      </c>
      <c r="J597" t="s">
        <v>131</v>
      </c>
      <c r="K597">
        <v>4</v>
      </c>
      <c r="L597" t="s">
        <v>17</v>
      </c>
      <c r="M597">
        <v>30</v>
      </c>
      <c r="N597" s="18" t="str">
        <f t="shared" si="27"/>
        <v>18-30</v>
      </c>
      <c r="O597" s="12">
        <f t="shared" si="28"/>
        <v>1871.9499999999998</v>
      </c>
      <c r="P597" s="12">
        <f t="shared" si="29"/>
        <v>561.58499999999992</v>
      </c>
      <c r="X597" s="14" t="s">
        <v>167</v>
      </c>
      <c r="Y597" s="19">
        <v>158.11000000000001</v>
      </c>
    </row>
    <row r="598" spans="1:25" x14ac:dyDescent="0.3">
      <c r="A598">
        <v>79379</v>
      </c>
      <c r="B598" s="1">
        <v>45583</v>
      </c>
      <c r="C598">
        <v>411</v>
      </c>
      <c r="D598">
        <v>30</v>
      </c>
      <c r="E598" t="s">
        <v>37</v>
      </c>
      <c r="F598" t="s">
        <v>58</v>
      </c>
      <c r="G598">
        <v>5</v>
      </c>
      <c r="H598">
        <v>245.38</v>
      </c>
      <c r="I598" t="s">
        <v>35</v>
      </c>
      <c r="J598" t="s">
        <v>292</v>
      </c>
      <c r="K598">
        <v>5</v>
      </c>
      <c r="L598" t="s">
        <v>17</v>
      </c>
      <c r="M598">
        <v>54</v>
      </c>
      <c r="N598" s="18" t="str">
        <f t="shared" si="27"/>
        <v>46-60</v>
      </c>
      <c r="O598" s="12">
        <f t="shared" si="28"/>
        <v>1226.9000000000001</v>
      </c>
      <c r="P598" s="12">
        <f t="shared" si="29"/>
        <v>368.07</v>
      </c>
      <c r="X598" s="14" t="s">
        <v>446</v>
      </c>
      <c r="Y598" s="19">
        <v>515.62</v>
      </c>
    </row>
    <row r="599" spans="1:25" x14ac:dyDescent="0.3">
      <c r="A599">
        <v>50142</v>
      </c>
      <c r="B599" s="1">
        <v>45583</v>
      </c>
      <c r="C599">
        <v>347</v>
      </c>
      <c r="D599">
        <v>20</v>
      </c>
      <c r="E599" t="s">
        <v>28</v>
      </c>
      <c r="F599" t="s">
        <v>72</v>
      </c>
      <c r="G599">
        <v>2</v>
      </c>
      <c r="H599">
        <v>150.51</v>
      </c>
      <c r="I599" t="s">
        <v>35</v>
      </c>
      <c r="J599" t="s">
        <v>843</v>
      </c>
      <c r="M599">
        <v>18</v>
      </c>
      <c r="N599" s="18" t="str">
        <f t="shared" si="27"/>
        <v>18-30</v>
      </c>
      <c r="O599" s="12">
        <f t="shared" si="28"/>
        <v>301.02</v>
      </c>
      <c r="P599" s="12">
        <f t="shared" si="29"/>
        <v>90.305999999999997</v>
      </c>
      <c r="X599" s="14" t="s">
        <v>500</v>
      </c>
      <c r="Y599" s="19">
        <v>154.59</v>
      </c>
    </row>
    <row r="600" spans="1:25" x14ac:dyDescent="0.3">
      <c r="A600">
        <v>21473</v>
      </c>
      <c r="B600" s="1">
        <v>45584</v>
      </c>
      <c r="C600">
        <v>369</v>
      </c>
      <c r="D600">
        <v>20</v>
      </c>
      <c r="E600" t="s">
        <v>28</v>
      </c>
      <c r="F600" t="s">
        <v>77</v>
      </c>
      <c r="G600">
        <v>2</v>
      </c>
      <c r="H600">
        <v>343.37</v>
      </c>
      <c r="I600" t="s">
        <v>35</v>
      </c>
      <c r="J600" t="s">
        <v>406</v>
      </c>
      <c r="K600">
        <v>5</v>
      </c>
      <c r="L600" t="s">
        <v>21</v>
      </c>
      <c r="M600">
        <v>56</v>
      </c>
      <c r="N600" s="18" t="str">
        <f t="shared" si="27"/>
        <v>46-60</v>
      </c>
      <c r="O600" s="12">
        <f t="shared" si="28"/>
        <v>686.74</v>
      </c>
      <c r="P600" s="12">
        <f t="shared" si="29"/>
        <v>206.02199999999999</v>
      </c>
      <c r="X600" s="14" t="s">
        <v>741</v>
      </c>
      <c r="Y600" s="19">
        <v>1521.68</v>
      </c>
    </row>
    <row r="601" spans="1:25" x14ac:dyDescent="0.3">
      <c r="A601">
        <v>57449</v>
      </c>
      <c r="B601" s="1">
        <v>45585</v>
      </c>
      <c r="C601">
        <v>247</v>
      </c>
      <c r="D601">
        <v>10</v>
      </c>
      <c r="E601" t="s">
        <v>13</v>
      </c>
      <c r="F601" t="s">
        <v>14</v>
      </c>
      <c r="G601">
        <v>5</v>
      </c>
      <c r="H601">
        <v>37.520000000000003</v>
      </c>
      <c r="I601" t="s">
        <v>35</v>
      </c>
      <c r="J601" t="s">
        <v>592</v>
      </c>
      <c r="K601">
        <v>1</v>
      </c>
      <c r="L601" t="s">
        <v>17</v>
      </c>
      <c r="M601">
        <v>32</v>
      </c>
      <c r="N601" s="18" t="str">
        <f t="shared" si="27"/>
        <v>31-45</v>
      </c>
      <c r="O601" s="12">
        <f t="shared" si="28"/>
        <v>187.60000000000002</v>
      </c>
      <c r="P601" s="12">
        <f t="shared" si="29"/>
        <v>56.280000000000008</v>
      </c>
      <c r="X601" s="14" t="s">
        <v>731</v>
      </c>
      <c r="Y601" s="19">
        <v>3324.1000000000004</v>
      </c>
    </row>
    <row r="602" spans="1:25" x14ac:dyDescent="0.3">
      <c r="A602">
        <v>50447</v>
      </c>
      <c r="B602" s="1">
        <v>45586</v>
      </c>
      <c r="C602">
        <v>910</v>
      </c>
      <c r="D602">
        <v>40</v>
      </c>
      <c r="E602" t="s">
        <v>24</v>
      </c>
      <c r="F602" t="s">
        <v>44</v>
      </c>
      <c r="G602">
        <v>3</v>
      </c>
      <c r="H602">
        <v>167.32</v>
      </c>
      <c r="I602" t="s">
        <v>15</v>
      </c>
      <c r="J602" t="s">
        <v>187</v>
      </c>
      <c r="K602">
        <v>5</v>
      </c>
      <c r="L602" t="s">
        <v>21</v>
      </c>
      <c r="M602">
        <v>22</v>
      </c>
      <c r="N602" s="18" t="str">
        <f t="shared" si="27"/>
        <v>18-30</v>
      </c>
      <c r="O602" s="12">
        <f t="shared" si="28"/>
        <v>501.96</v>
      </c>
      <c r="P602" s="12">
        <f t="shared" si="29"/>
        <v>150.58799999999999</v>
      </c>
      <c r="X602" s="14" t="s">
        <v>772</v>
      </c>
      <c r="Y602" s="19">
        <v>245.88</v>
      </c>
    </row>
    <row r="603" spans="1:25" x14ac:dyDescent="0.3">
      <c r="A603">
        <v>17277</v>
      </c>
      <c r="B603" s="1">
        <v>45586</v>
      </c>
      <c r="C603">
        <v>157</v>
      </c>
      <c r="D603">
        <v>20</v>
      </c>
      <c r="E603" t="s">
        <v>28</v>
      </c>
      <c r="F603" t="s">
        <v>29</v>
      </c>
      <c r="G603">
        <v>4</v>
      </c>
      <c r="H603">
        <v>22.26</v>
      </c>
      <c r="I603" t="s">
        <v>35</v>
      </c>
      <c r="J603" t="s">
        <v>228</v>
      </c>
      <c r="K603">
        <v>3</v>
      </c>
      <c r="L603" t="s">
        <v>17</v>
      </c>
      <c r="M603">
        <v>70</v>
      </c>
      <c r="N603" s="18" t="str">
        <f t="shared" si="27"/>
        <v>60+</v>
      </c>
      <c r="O603" s="12">
        <f t="shared" si="28"/>
        <v>89.04</v>
      </c>
      <c r="P603" s="12">
        <f t="shared" si="29"/>
        <v>26.712</v>
      </c>
      <c r="X603" s="14" t="s">
        <v>613</v>
      </c>
      <c r="Y603" s="19">
        <v>146.84</v>
      </c>
    </row>
    <row r="604" spans="1:25" x14ac:dyDescent="0.3">
      <c r="A604">
        <v>80473</v>
      </c>
      <c r="B604" s="1">
        <v>45586</v>
      </c>
      <c r="C604">
        <v>317</v>
      </c>
      <c r="D604">
        <v>30</v>
      </c>
      <c r="E604" t="s">
        <v>37</v>
      </c>
      <c r="F604" t="s">
        <v>38</v>
      </c>
      <c r="G604">
        <v>2</v>
      </c>
      <c r="H604">
        <v>97.45</v>
      </c>
      <c r="I604" t="s">
        <v>35</v>
      </c>
      <c r="J604" t="s">
        <v>417</v>
      </c>
      <c r="K604">
        <v>3</v>
      </c>
      <c r="L604" t="s">
        <v>21</v>
      </c>
      <c r="M604">
        <v>44</v>
      </c>
      <c r="N604" s="18" t="str">
        <f t="shared" si="27"/>
        <v>31-45</v>
      </c>
      <c r="O604" s="12">
        <f t="shared" si="28"/>
        <v>194.9</v>
      </c>
      <c r="P604" s="12">
        <f t="shared" si="29"/>
        <v>58.47</v>
      </c>
      <c r="X604" s="14" t="s">
        <v>623</v>
      </c>
      <c r="Y604" s="19">
        <v>137.88</v>
      </c>
    </row>
    <row r="605" spans="1:25" x14ac:dyDescent="0.3">
      <c r="A605">
        <v>96551</v>
      </c>
      <c r="B605" s="1">
        <v>45586</v>
      </c>
      <c r="C605">
        <v>526</v>
      </c>
      <c r="D605">
        <v>30</v>
      </c>
      <c r="E605" t="s">
        <v>37</v>
      </c>
      <c r="F605" t="s">
        <v>95</v>
      </c>
      <c r="G605">
        <v>2</v>
      </c>
      <c r="H605">
        <v>19.72</v>
      </c>
      <c r="I605" t="s">
        <v>15</v>
      </c>
      <c r="J605" t="s">
        <v>825</v>
      </c>
      <c r="K605">
        <v>3</v>
      </c>
      <c r="L605" t="s">
        <v>17</v>
      </c>
      <c r="M605">
        <v>25</v>
      </c>
      <c r="N605" s="18" t="str">
        <f t="shared" si="27"/>
        <v>18-30</v>
      </c>
      <c r="O605" s="12">
        <f t="shared" si="28"/>
        <v>39.44</v>
      </c>
      <c r="P605" s="12">
        <f t="shared" si="29"/>
        <v>11.831999999999999</v>
      </c>
      <c r="X605" s="14" t="s">
        <v>371</v>
      </c>
      <c r="Y605" s="19">
        <v>381</v>
      </c>
    </row>
    <row r="606" spans="1:25" x14ac:dyDescent="0.3">
      <c r="A606">
        <v>19510</v>
      </c>
      <c r="B606" s="1">
        <v>45586</v>
      </c>
      <c r="C606">
        <v>648</v>
      </c>
      <c r="D606">
        <v>20</v>
      </c>
      <c r="E606" t="s">
        <v>28</v>
      </c>
      <c r="F606" t="s">
        <v>72</v>
      </c>
      <c r="G606">
        <v>4</v>
      </c>
      <c r="H606">
        <v>296.5</v>
      </c>
      <c r="I606" t="s">
        <v>26</v>
      </c>
      <c r="J606" t="s">
        <v>862</v>
      </c>
      <c r="K606">
        <v>5</v>
      </c>
      <c r="L606" t="s">
        <v>21</v>
      </c>
      <c r="M606">
        <v>25</v>
      </c>
      <c r="N606" s="18" t="str">
        <f t="shared" si="27"/>
        <v>18-30</v>
      </c>
      <c r="O606" s="12">
        <f t="shared" si="28"/>
        <v>1186</v>
      </c>
      <c r="P606" s="12">
        <f t="shared" si="29"/>
        <v>355.8</v>
      </c>
      <c r="X606" s="14" t="s">
        <v>521</v>
      </c>
      <c r="Y606" s="19">
        <v>963.21</v>
      </c>
    </row>
    <row r="607" spans="1:25" x14ac:dyDescent="0.3">
      <c r="A607">
        <v>20938</v>
      </c>
      <c r="B607" s="1">
        <v>45587</v>
      </c>
      <c r="C607">
        <v>478</v>
      </c>
      <c r="D607">
        <v>40</v>
      </c>
      <c r="E607" t="s">
        <v>24</v>
      </c>
      <c r="F607" t="s">
        <v>44</v>
      </c>
      <c r="G607">
        <v>1</v>
      </c>
      <c r="H607">
        <v>84.68</v>
      </c>
      <c r="I607" t="s">
        <v>26</v>
      </c>
      <c r="J607" t="s">
        <v>440</v>
      </c>
      <c r="K607">
        <v>1</v>
      </c>
      <c r="L607" t="s">
        <v>17</v>
      </c>
      <c r="M607">
        <v>40</v>
      </c>
      <c r="N607" s="18" t="str">
        <f t="shared" si="27"/>
        <v>31-45</v>
      </c>
      <c r="O607" s="12">
        <f t="shared" si="28"/>
        <v>84.68</v>
      </c>
      <c r="P607" s="12">
        <f t="shared" si="29"/>
        <v>25.404</v>
      </c>
      <c r="X607" s="14" t="s">
        <v>438</v>
      </c>
      <c r="Y607" s="19">
        <v>458.02</v>
      </c>
    </row>
    <row r="608" spans="1:25" x14ac:dyDescent="0.3">
      <c r="A608">
        <v>45637</v>
      </c>
      <c r="B608" s="1">
        <v>45587</v>
      </c>
      <c r="C608">
        <v>961</v>
      </c>
      <c r="D608">
        <v>30</v>
      </c>
      <c r="E608" t="s">
        <v>37</v>
      </c>
      <c r="F608" t="s">
        <v>95</v>
      </c>
      <c r="G608">
        <v>3</v>
      </c>
      <c r="H608">
        <v>228.55</v>
      </c>
      <c r="I608" t="s">
        <v>15</v>
      </c>
      <c r="J608" t="s">
        <v>580</v>
      </c>
      <c r="L608" t="s">
        <v>17</v>
      </c>
      <c r="M608">
        <v>62</v>
      </c>
      <c r="N608" s="18" t="str">
        <f t="shared" si="27"/>
        <v>60+</v>
      </c>
      <c r="O608" s="12">
        <f t="shared" si="28"/>
        <v>685.65000000000009</v>
      </c>
      <c r="P608" s="12">
        <f t="shared" si="29"/>
        <v>205.69500000000002</v>
      </c>
      <c r="X608" s="14" t="s">
        <v>662</v>
      </c>
      <c r="Y608" s="19">
        <v>746.73</v>
      </c>
    </row>
    <row r="609" spans="1:25" x14ac:dyDescent="0.3">
      <c r="A609">
        <v>98997</v>
      </c>
      <c r="B609" s="1">
        <v>45587</v>
      </c>
      <c r="C609">
        <v>703</v>
      </c>
      <c r="D609">
        <v>50</v>
      </c>
      <c r="E609" t="s">
        <v>18</v>
      </c>
      <c r="F609" t="s">
        <v>34</v>
      </c>
      <c r="G609">
        <v>3</v>
      </c>
      <c r="H609">
        <v>407.83</v>
      </c>
      <c r="I609" t="s">
        <v>35</v>
      </c>
      <c r="J609" t="s">
        <v>601</v>
      </c>
      <c r="K609">
        <v>2</v>
      </c>
      <c r="L609" t="s">
        <v>21</v>
      </c>
      <c r="M609">
        <v>59</v>
      </c>
      <c r="N609" s="18" t="str">
        <f t="shared" si="27"/>
        <v>46-60</v>
      </c>
      <c r="O609" s="12">
        <f t="shared" si="28"/>
        <v>1223.49</v>
      </c>
      <c r="P609" s="12">
        <f t="shared" si="29"/>
        <v>367.04699999999997</v>
      </c>
      <c r="X609" s="14" t="s">
        <v>401</v>
      </c>
      <c r="Y609" s="19">
        <v>631.79999999999995</v>
      </c>
    </row>
    <row r="610" spans="1:25" x14ac:dyDescent="0.3">
      <c r="A610">
        <v>16430</v>
      </c>
      <c r="B610" s="1">
        <v>45588</v>
      </c>
      <c r="C610">
        <v>522</v>
      </c>
      <c r="D610">
        <v>20</v>
      </c>
      <c r="E610" t="s">
        <v>28</v>
      </c>
      <c r="F610" t="s">
        <v>72</v>
      </c>
      <c r="G610">
        <v>2</v>
      </c>
      <c r="H610">
        <v>204.96</v>
      </c>
      <c r="I610" t="s">
        <v>26</v>
      </c>
      <c r="J610" t="s">
        <v>712</v>
      </c>
      <c r="K610">
        <v>5</v>
      </c>
      <c r="L610" t="s">
        <v>17</v>
      </c>
      <c r="M610">
        <v>57</v>
      </c>
      <c r="N610" s="18" t="str">
        <f t="shared" si="27"/>
        <v>46-60</v>
      </c>
      <c r="O610" s="12">
        <f t="shared" si="28"/>
        <v>409.92</v>
      </c>
      <c r="P610" s="12">
        <f t="shared" si="29"/>
        <v>122.976</v>
      </c>
      <c r="X610" s="14" t="s">
        <v>354</v>
      </c>
      <c r="Y610" s="19">
        <v>219.94</v>
      </c>
    </row>
    <row r="611" spans="1:25" x14ac:dyDescent="0.3">
      <c r="A611">
        <v>78972</v>
      </c>
      <c r="B611" s="1">
        <v>45589</v>
      </c>
      <c r="C611">
        <v>112</v>
      </c>
      <c r="D611">
        <v>10</v>
      </c>
      <c r="E611" t="s">
        <v>13</v>
      </c>
      <c r="F611" t="s">
        <v>32</v>
      </c>
      <c r="G611">
        <v>4</v>
      </c>
      <c r="H611">
        <v>288.22000000000003</v>
      </c>
      <c r="I611" t="s">
        <v>15</v>
      </c>
      <c r="J611" t="s">
        <v>990</v>
      </c>
      <c r="K611">
        <v>5</v>
      </c>
      <c r="M611">
        <v>60</v>
      </c>
      <c r="N611" s="18" t="str">
        <f t="shared" si="27"/>
        <v>46-60</v>
      </c>
      <c r="O611" s="12">
        <f t="shared" si="28"/>
        <v>1152.8800000000001</v>
      </c>
      <c r="P611" s="12">
        <f t="shared" si="29"/>
        <v>345.86400000000003</v>
      </c>
      <c r="X611" s="14" t="s">
        <v>945</v>
      </c>
      <c r="Y611" s="19">
        <v>1830.8500000000001</v>
      </c>
    </row>
    <row r="612" spans="1:25" x14ac:dyDescent="0.3">
      <c r="A612">
        <v>15505</v>
      </c>
      <c r="B612" s="1">
        <v>45590</v>
      </c>
      <c r="C612">
        <v>465</v>
      </c>
      <c r="D612">
        <v>50</v>
      </c>
      <c r="E612" t="s">
        <v>18</v>
      </c>
      <c r="F612" t="s">
        <v>34</v>
      </c>
      <c r="G612">
        <v>2</v>
      </c>
      <c r="H612">
        <v>350.15</v>
      </c>
      <c r="I612" t="s">
        <v>26</v>
      </c>
      <c r="J612" t="s">
        <v>803</v>
      </c>
      <c r="K612">
        <v>4</v>
      </c>
      <c r="L612" t="s">
        <v>17</v>
      </c>
      <c r="M612">
        <v>19</v>
      </c>
      <c r="N612" s="18" t="str">
        <f t="shared" si="27"/>
        <v>18-30</v>
      </c>
      <c r="O612" s="12">
        <f t="shared" si="28"/>
        <v>700.3</v>
      </c>
      <c r="P612" s="12">
        <f t="shared" si="29"/>
        <v>210.08999999999997</v>
      </c>
      <c r="X612" s="14" t="s">
        <v>432</v>
      </c>
      <c r="Y612" s="19">
        <v>194.81</v>
      </c>
    </row>
    <row r="613" spans="1:25" x14ac:dyDescent="0.3">
      <c r="A613">
        <v>40540</v>
      </c>
      <c r="B613" s="1">
        <v>45590</v>
      </c>
      <c r="C613">
        <v>509</v>
      </c>
      <c r="D613">
        <v>10</v>
      </c>
      <c r="E613" t="s">
        <v>13</v>
      </c>
      <c r="F613" t="s">
        <v>111</v>
      </c>
      <c r="G613">
        <v>3</v>
      </c>
      <c r="H613">
        <v>492.35</v>
      </c>
      <c r="I613" t="s">
        <v>15</v>
      </c>
      <c r="J613" t="s">
        <v>889</v>
      </c>
      <c r="K613">
        <v>5</v>
      </c>
      <c r="L613" t="s">
        <v>21</v>
      </c>
      <c r="M613">
        <v>72</v>
      </c>
      <c r="N613" s="18" t="str">
        <f t="shared" si="27"/>
        <v>60+</v>
      </c>
      <c r="O613" s="12">
        <f t="shared" si="28"/>
        <v>1477.0500000000002</v>
      </c>
      <c r="P613" s="12">
        <f t="shared" si="29"/>
        <v>443.11500000000007</v>
      </c>
      <c r="X613" s="14" t="s">
        <v>362</v>
      </c>
      <c r="Y613" s="19">
        <v>1105.75</v>
      </c>
    </row>
    <row r="614" spans="1:25" x14ac:dyDescent="0.3">
      <c r="A614">
        <v>44293</v>
      </c>
      <c r="B614" s="1">
        <v>45591</v>
      </c>
      <c r="C614">
        <v>212</v>
      </c>
      <c r="D614">
        <v>20</v>
      </c>
      <c r="E614" t="s">
        <v>28</v>
      </c>
      <c r="F614" t="s">
        <v>29</v>
      </c>
      <c r="G614">
        <v>4</v>
      </c>
      <c r="H614">
        <v>337.11</v>
      </c>
      <c r="I614" t="s">
        <v>35</v>
      </c>
      <c r="J614" t="s">
        <v>129</v>
      </c>
      <c r="K614">
        <v>4</v>
      </c>
      <c r="M614">
        <v>72</v>
      </c>
      <c r="N614" s="18" t="str">
        <f t="shared" si="27"/>
        <v>60+</v>
      </c>
      <c r="O614" s="12">
        <f t="shared" si="28"/>
        <v>1348.44</v>
      </c>
      <c r="P614" s="12">
        <f t="shared" si="29"/>
        <v>404.53199999999998</v>
      </c>
      <c r="X614" s="14" t="s">
        <v>637</v>
      </c>
      <c r="Y614" s="19">
        <v>812.25</v>
      </c>
    </row>
    <row r="615" spans="1:25" x14ac:dyDescent="0.3">
      <c r="A615">
        <v>99015</v>
      </c>
      <c r="B615" s="1">
        <v>45591</v>
      </c>
      <c r="C615">
        <v>420</v>
      </c>
      <c r="D615">
        <v>10</v>
      </c>
      <c r="E615" t="s">
        <v>13</v>
      </c>
      <c r="F615" t="s">
        <v>14</v>
      </c>
      <c r="G615">
        <v>5</v>
      </c>
      <c r="H615">
        <v>269.41000000000003</v>
      </c>
      <c r="I615" t="s">
        <v>26</v>
      </c>
      <c r="J615" t="s">
        <v>448</v>
      </c>
      <c r="K615">
        <v>4</v>
      </c>
      <c r="L615" t="s">
        <v>21</v>
      </c>
      <c r="M615">
        <v>66</v>
      </c>
      <c r="N615" s="18" t="str">
        <f t="shared" si="27"/>
        <v>60+</v>
      </c>
      <c r="O615" s="12">
        <f t="shared" si="28"/>
        <v>1347.0500000000002</v>
      </c>
      <c r="P615" s="12">
        <f t="shared" si="29"/>
        <v>404.11500000000007</v>
      </c>
      <c r="X615" s="14" t="s">
        <v>306</v>
      </c>
      <c r="Y615" s="19">
        <v>144.4</v>
      </c>
    </row>
    <row r="616" spans="1:25" x14ac:dyDescent="0.3">
      <c r="A616">
        <v>50145</v>
      </c>
      <c r="B616" s="1">
        <v>45591</v>
      </c>
      <c r="C616">
        <v>554</v>
      </c>
      <c r="D616">
        <v>10</v>
      </c>
      <c r="E616" t="s">
        <v>13</v>
      </c>
      <c r="F616" t="s">
        <v>32</v>
      </c>
      <c r="G616">
        <v>3</v>
      </c>
      <c r="H616">
        <v>321.07</v>
      </c>
      <c r="I616" t="s">
        <v>35</v>
      </c>
      <c r="J616" t="s">
        <v>521</v>
      </c>
      <c r="K616">
        <v>3</v>
      </c>
      <c r="L616" t="s">
        <v>21</v>
      </c>
      <c r="M616">
        <v>34</v>
      </c>
      <c r="N616" s="18" t="str">
        <f t="shared" si="27"/>
        <v>31-45</v>
      </c>
      <c r="O616" s="12">
        <f t="shared" si="28"/>
        <v>963.21</v>
      </c>
      <c r="P616" s="12">
        <f t="shared" si="29"/>
        <v>288.96300000000002</v>
      </c>
      <c r="X616" s="14" t="s">
        <v>959</v>
      </c>
      <c r="Y616" s="19">
        <v>579.94000000000005</v>
      </c>
    </row>
    <row r="617" spans="1:25" x14ac:dyDescent="0.3">
      <c r="A617">
        <v>88797</v>
      </c>
      <c r="B617" s="1">
        <v>45591</v>
      </c>
      <c r="C617">
        <v>244</v>
      </c>
      <c r="D617">
        <v>30</v>
      </c>
      <c r="E617" t="s">
        <v>37</v>
      </c>
      <c r="F617" t="s">
        <v>38</v>
      </c>
      <c r="G617">
        <v>3</v>
      </c>
      <c r="H617">
        <v>216.9</v>
      </c>
      <c r="I617" t="s">
        <v>15</v>
      </c>
      <c r="J617" t="s">
        <v>847</v>
      </c>
      <c r="K617">
        <v>4</v>
      </c>
      <c r="L617" t="s">
        <v>17</v>
      </c>
      <c r="M617">
        <v>43</v>
      </c>
      <c r="N617" s="18" t="str">
        <f t="shared" si="27"/>
        <v>31-45</v>
      </c>
      <c r="O617" s="12">
        <f t="shared" si="28"/>
        <v>650.70000000000005</v>
      </c>
      <c r="P617" s="12">
        <f t="shared" si="29"/>
        <v>195.21</v>
      </c>
      <c r="X617" s="14" t="s">
        <v>863</v>
      </c>
      <c r="Y617" s="19">
        <v>393.9</v>
      </c>
    </row>
    <row r="618" spans="1:25" x14ac:dyDescent="0.3">
      <c r="A618">
        <v>19845</v>
      </c>
      <c r="B618" s="1">
        <v>45591</v>
      </c>
      <c r="C618">
        <v>798</v>
      </c>
      <c r="D618">
        <v>30</v>
      </c>
      <c r="E618" t="s">
        <v>37</v>
      </c>
      <c r="F618" t="s">
        <v>95</v>
      </c>
      <c r="G618">
        <v>2</v>
      </c>
      <c r="H618">
        <v>367.78</v>
      </c>
      <c r="I618" t="s">
        <v>26</v>
      </c>
      <c r="J618" t="s">
        <v>164</v>
      </c>
      <c r="K618">
        <v>2</v>
      </c>
      <c r="L618" t="s">
        <v>21</v>
      </c>
      <c r="M618">
        <v>45</v>
      </c>
      <c r="N618" s="18" t="str">
        <f t="shared" si="27"/>
        <v>31-45</v>
      </c>
      <c r="O618" s="12">
        <f t="shared" si="28"/>
        <v>735.56</v>
      </c>
      <c r="P618" s="12">
        <f t="shared" si="29"/>
        <v>220.66799999999998</v>
      </c>
      <c r="X618" s="14" t="s">
        <v>478</v>
      </c>
      <c r="Y618" s="19">
        <v>1994.64</v>
      </c>
    </row>
    <row r="619" spans="1:25" x14ac:dyDescent="0.3">
      <c r="A619">
        <v>52052</v>
      </c>
      <c r="B619" s="1">
        <v>45592</v>
      </c>
      <c r="C619">
        <v>247</v>
      </c>
      <c r="D619">
        <v>40</v>
      </c>
      <c r="E619" t="s">
        <v>24</v>
      </c>
      <c r="F619" t="s">
        <v>63</v>
      </c>
      <c r="G619">
        <v>3</v>
      </c>
      <c r="H619">
        <v>343.78</v>
      </c>
      <c r="I619" t="s">
        <v>15</v>
      </c>
      <c r="J619" t="s">
        <v>388</v>
      </c>
      <c r="L619" t="s">
        <v>17</v>
      </c>
      <c r="M619">
        <v>20</v>
      </c>
      <c r="N619" s="18" t="str">
        <f t="shared" si="27"/>
        <v>18-30</v>
      </c>
      <c r="O619" s="12">
        <f t="shared" si="28"/>
        <v>1031.3399999999999</v>
      </c>
      <c r="P619" s="12">
        <f t="shared" si="29"/>
        <v>309.40199999999999</v>
      </c>
      <c r="X619" s="14" t="s">
        <v>505</v>
      </c>
      <c r="Y619" s="19">
        <v>1446.84</v>
      </c>
    </row>
    <row r="620" spans="1:25" x14ac:dyDescent="0.3">
      <c r="A620">
        <v>49782</v>
      </c>
      <c r="B620" s="1">
        <v>45592</v>
      </c>
      <c r="C620">
        <v>911</v>
      </c>
      <c r="D620">
        <v>10</v>
      </c>
      <c r="E620" t="s">
        <v>13</v>
      </c>
      <c r="F620" t="s">
        <v>14</v>
      </c>
      <c r="G620">
        <v>3</v>
      </c>
      <c r="H620">
        <v>427.48</v>
      </c>
      <c r="I620" t="s">
        <v>35</v>
      </c>
      <c r="J620" t="s">
        <v>686</v>
      </c>
      <c r="K620">
        <v>5</v>
      </c>
      <c r="L620" t="s">
        <v>21</v>
      </c>
      <c r="M620">
        <v>63</v>
      </c>
      <c r="N620" s="18" t="str">
        <f t="shared" si="27"/>
        <v>60+</v>
      </c>
      <c r="O620" s="12">
        <f t="shared" si="28"/>
        <v>1282.44</v>
      </c>
      <c r="P620" s="12">
        <f t="shared" si="29"/>
        <v>384.73200000000003</v>
      </c>
      <c r="X620" s="14" t="s">
        <v>52</v>
      </c>
      <c r="Y620" s="19">
        <v>548.20000000000005</v>
      </c>
    </row>
    <row r="621" spans="1:25" x14ac:dyDescent="0.3">
      <c r="A621">
        <v>65208</v>
      </c>
      <c r="B621" s="1">
        <v>45593</v>
      </c>
      <c r="C621">
        <v>204</v>
      </c>
      <c r="D621">
        <v>40</v>
      </c>
      <c r="E621" t="s">
        <v>24</v>
      </c>
      <c r="F621" t="s">
        <v>25</v>
      </c>
      <c r="G621">
        <v>2</v>
      </c>
      <c r="H621">
        <v>230.11</v>
      </c>
      <c r="I621" t="s">
        <v>26</v>
      </c>
      <c r="J621" t="s">
        <v>27</v>
      </c>
      <c r="K621">
        <v>5</v>
      </c>
      <c r="L621" t="s">
        <v>21</v>
      </c>
      <c r="M621">
        <v>34</v>
      </c>
      <c r="N621" s="18" t="str">
        <f t="shared" si="27"/>
        <v>31-45</v>
      </c>
      <c r="O621" s="12">
        <f t="shared" si="28"/>
        <v>460.22</v>
      </c>
      <c r="P621" s="12">
        <f t="shared" si="29"/>
        <v>138.066</v>
      </c>
      <c r="X621" s="14" t="s">
        <v>632</v>
      </c>
      <c r="Y621" s="19">
        <v>1798.2</v>
      </c>
    </row>
    <row r="622" spans="1:25" x14ac:dyDescent="0.3">
      <c r="A622">
        <v>41736</v>
      </c>
      <c r="B622" s="1">
        <v>45593</v>
      </c>
      <c r="C622">
        <v>457</v>
      </c>
      <c r="D622">
        <v>10</v>
      </c>
      <c r="E622" t="s">
        <v>13</v>
      </c>
      <c r="F622" t="s">
        <v>32</v>
      </c>
      <c r="G622">
        <v>4</v>
      </c>
      <c r="H622">
        <v>196.99</v>
      </c>
      <c r="I622" t="s">
        <v>26</v>
      </c>
      <c r="J622" t="s">
        <v>55</v>
      </c>
      <c r="K622">
        <v>4</v>
      </c>
      <c r="M622">
        <v>72</v>
      </c>
      <c r="N622" s="18" t="str">
        <f t="shared" si="27"/>
        <v>60+</v>
      </c>
      <c r="O622" s="12">
        <f t="shared" si="28"/>
        <v>787.96</v>
      </c>
      <c r="P622" s="12">
        <f t="shared" si="29"/>
        <v>236.38800000000001</v>
      </c>
      <c r="X622" s="14" t="s">
        <v>635</v>
      </c>
      <c r="Y622" s="19">
        <v>1532.2</v>
      </c>
    </row>
    <row r="623" spans="1:25" x14ac:dyDescent="0.3">
      <c r="A623">
        <v>59644</v>
      </c>
      <c r="B623" s="1">
        <v>45593</v>
      </c>
      <c r="C623">
        <v>139</v>
      </c>
      <c r="D623">
        <v>40</v>
      </c>
      <c r="E623" t="s">
        <v>24</v>
      </c>
      <c r="F623" t="s">
        <v>25</v>
      </c>
      <c r="G623">
        <v>5</v>
      </c>
      <c r="H623">
        <v>108.39</v>
      </c>
      <c r="I623" t="s">
        <v>35</v>
      </c>
      <c r="J623" t="s">
        <v>223</v>
      </c>
      <c r="K623">
        <v>5</v>
      </c>
      <c r="L623" t="s">
        <v>21</v>
      </c>
      <c r="M623">
        <v>61</v>
      </c>
      <c r="N623" s="18" t="str">
        <f t="shared" si="27"/>
        <v>60+</v>
      </c>
      <c r="O623" s="12">
        <f t="shared" si="28"/>
        <v>541.95000000000005</v>
      </c>
      <c r="P623" s="12">
        <f t="shared" si="29"/>
        <v>162.58500000000001</v>
      </c>
      <c r="X623" s="14" t="s">
        <v>317</v>
      </c>
      <c r="Y623" s="19">
        <v>1128.57</v>
      </c>
    </row>
    <row r="624" spans="1:25" x14ac:dyDescent="0.3">
      <c r="A624">
        <v>38565</v>
      </c>
      <c r="B624" s="1">
        <v>45593</v>
      </c>
      <c r="C624">
        <v>884</v>
      </c>
      <c r="D624">
        <v>10</v>
      </c>
      <c r="E624" t="s">
        <v>13</v>
      </c>
      <c r="F624" t="s">
        <v>32</v>
      </c>
      <c r="G624">
        <v>5</v>
      </c>
      <c r="H624">
        <v>455.43</v>
      </c>
      <c r="I624" t="s">
        <v>35</v>
      </c>
      <c r="J624" t="s">
        <v>284</v>
      </c>
      <c r="K624">
        <v>5</v>
      </c>
      <c r="L624" t="s">
        <v>21</v>
      </c>
      <c r="M624">
        <v>50</v>
      </c>
      <c r="N624" s="18" t="str">
        <f t="shared" si="27"/>
        <v>46-60</v>
      </c>
      <c r="O624" s="12">
        <f t="shared" si="28"/>
        <v>2277.15</v>
      </c>
      <c r="P624" s="12">
        <f t="shared" si="29"/>
        <v>683.14499999999998</v>
      </c>
      <c r="X624" s="14" t="s">
        <v>266</v>
      </c>
      <c r="Y624" s="19">
        <v>673.78</v>
      </c>
    </row>
    <row r="625" spans="1:25" x14ac:dyDescent="0.3">
      <c r="A625">
        <v>34709</v>
      </c>
      <c r="B625" s="1">
        <v>45593</v>
      </c>
      <c r="C625">
        <v>636</v>
      </c>
      <c r="D625">
        <v>20</v>
      </c>
      <c r="E625" t="s">
        <v>28</v>
      </c>
      <c r="F625" t="s">
        <v>79</v>
      </c>
      <c r="G625">
        <v>2</v>
      </c>
      <c r="H625">
        <v>115.08</v>
      </c>
      <c r="I625" t="s">
        <v>26</v>
      </c>
      <c r="J625" t="s">
        <v>790</v>
      </c>
      <c r="K625">
        <v>5</v>
      </c>
      <c r="L625" t="s">
        <v>17</v>
      </c>
      <c r="M625">
        <v>19</v>
      </c>
      <c r="N625" s="18" t="str">
        <f t="shared" si="27"/>
        <v>18-30</v>
      </c>
      <c r="O625" s="12">
        <f t="shared" si="28"/>
        <v>230.16</v>
      </c>
      <c r="P625" s="12">
        <f t="shared" si="29"/>
        <v>69.048000000000002</v>
      </c>
      <c r="X625" s="14" t="s">
        <v>181</v>
      </c>
      <c r="Y625" s="19">
        <v>70.930000000000007</v>
      </c>
    </row>
    <row r="626" spans="1:25" x14ac:dyDescent="0.3">
      <c r="A626">
        <v>64016</v>
      </c>
      <c r="B626" s="1">
        <v>45594</v>
      </c>
      <c r="C626">
        <v>970</v>
      </c>
      <c r="D626">
        <v>30</v>
      </c>
      <c r="E626" t="s">
        <v>37</v>
      </c>
      <c r="F626" t="s">
        <v>58</v>
      </c>
      <c r="G626">
        <v>1</v>
      </c>
      <c r="H626">
        <v>189.89</v>
      </c>
      <c r="I626" t="s">
        <v>15</v>
      </c>
      <c r="J626" t="s">
        <v>871</v>
      </c>
      <c r="K626">
        <v>5</v>
      </c>
      <c r="L626" t="s">
        <v>17</v>
      </c>
      <c r="M626">
        <v>61</v>
      </c>
      <c r="N626" s="18" t="str">
        <f t="shared" si="27"/>
        <v>60+</v>
      </c>
      <c r="O626" s="12">
        <f t="shared" si="28"/>
        <v>189.89</v>
      </c>
      <c r="P626" s="12">
        <f t="shared" si="29"/>
        <v>56.966999999999992</v>
      </c>
      <c r="X626" s="14" t="s">
        <v>676</v>
      </c>
      <c r="Y626" s="19">
        <v>2187.9300000000003</v>
      </c>
    </row>
    <row r="627" spans="1:25" x14ac:dyDescent="0.3">
      <c r="A627">
        <v>16285</v>
      </c>
      <c r="B627" s="1">
        <v>45595</v>
      </c>
      <c r="C627">
        <v>579</v>
      </c>
      <c r="D627">
        <v>50</v>
      </c>
      <c r="E627" t="s">
        <v>18</v>
      </c>
      <c r="F627" t="s">
        <v>19</v>
      </c>
      <c r="G627">
        <v>4</v>
      </c>
      <c r="H627">
        <v>145.86000000000001</v>
      </c>
      <c r="I627" t="s">
        <v>15</v>
      </c>
      <c r="J627" t="s">
        <v>239</v>
      </c>
      <c r="K627">
        <v>5</v>
      </c>
      <c r="L627" t="s">
        <v>17</v>
      </c>
      <c r="M627">
        <v>59</v>
      </c>
      <c r="N627" s="18" t="str">
        <f t="shared" si="27"/>
        <v>46-60</v>
      </c>
      <c r="O627" s="12">
        <f t="shared" si="28"/>
        <v>583.44000000000005</v>
      </c>
      <c r="P627" s="12">
        <f t="shared" si="29"/>
        <v>175.03200000000001</v>
      </c>
      <c r="X627" s="14" t="s">
        <v>430</v>
      </c>
      <c r="Y627" s="19">
        <v>75.709999999999994</v>
      </c>
    </row>
    <row r="628" spans="1:25" x14ac:dyDescent="0.3">
      <c r="A628">
        <v>23672</v>
      </c>
      <c r="B628" s="1">
        <v>45595</v>
      </c>
      <c r="C628">
        <v>158</v>
      </c>
      <c r="D628">
        <v>20</v>
      </c>
      <c r="E628" t="s">
        <v>28</v>
      </c>
      <c r="F628" t="s">
        <v>51</v>
      </c>
      <c r="G628">
        <v>2</v>
      </c>
      <c r="H628">
        <v>91.76</v>
      </c>
      <c r="I628" t="s">
        <v>26</v>
      </c>
      <c r="J628" t="s">
        <v>503</v>
      </c>
      <c r="L628" t="s">
        <v>21</v>
      </c>
      <c r="M628">
        <v>49</v>
      </c>
      <c r="N628" s="18" t="str">
        <f t="shared" si="27"/>
        <v>46-60</v>
      </c>
      <c r="O628" s="12">
        <f t="shared" si="28"/>
        <v>183.52</v>
      </c>
      <c r="P628" s="12">
        <f t="shared" si="29"/>
        <v>55.056000000000004</v>
      </c>
      <c r="X628" s="14" t="s">
        <v>841</v>
      </c>
      <c r="Y628" s="19">
        <v>485.16</v>
      </c>
    </row>
    <row r="629" spans="1:25" x14ac:dyDescent="0.3">
      <c r="A629">
        <v>64799</v>
      </c>
      <c r="B629" s="1">
        <v>45595</v>
      </c>
      <c r="C629">
        <v>950</v>
      </c>
      <c r="D629">
        <v>50</v>
      </c>
      <c r="E629" t="s">
        <v>18</v>
      </c>
      <c r="F629" t="s">
        <v>34</v>
      </c>
      <c r="G629">
        <v>4</v>
      </c>
      <c r="H629">
        <v>346.44</v>
      </c>
      <c r="I629" t="s">
        <v>35</v>
      </c>
      <c r="J629" t="s">
        <v>59</v>
      </c>
      <c r="L629" t="s">
        <v>17</v>
      </c>
      <c r="M629">
        <v>71</v>
      </c>
      <c r="N629" s="18" t="str">
        <f t="shared" si="27"/>
        <v>60+</v>
      </c>
      <c r="O629" s="12">
        <f t="shared" si="28"/>
        <v>1385.76</v>
      </c>
      <c r="P629" s="12">
        <f t="shared" si="29"/>
        <v>415.72800000000001</v>
      </c>
      <c r="X629" s="14" t="s">
        <v>125</v>
      </c>
      <c r="Y629" s="19">
        <v>2131.85</v>
      </c>
    </row>
    <row r="630" spans="1:25" x14ac:dyDescent="0.3">
      <c r="A630">
        <v>76563</v>
      </c>
      <c r="B630" s="1">
        <v>45596</v>
      </c>
      <c r="C630">
        <v>108</v>
      </c>
      <c r="D630">
        <v>50</v>
      </c>
      <c r="E630" t="s">
        <v>18</v>
      </c>
      <c r="F630" t="s">
        <v>19</v>
      </c>
      <c r="G630">
        <v>2</v>
      </c>
      <c r="H630">
        <v>283.81</v>
      </c>
      <c r="I630" t="s">
        <v>35</v>
      </c>
      <c r="J630" t="s">
        <v>411</v>
      </c>
      <c r="K630">
        <v>5</v>
      </c>
      <c r="L630" t="s">
        <v>17</v>
      </c>
      <c r="M630">
        <v>59</v>
      </c>
      <c r="N630" s="18" t="str">
        <f t="shared" si="27"/>
        <v>46-60</v>
      </c>
      <c r="O630" s="12">
        <f t="shared" si="28"/>
        <v>567.62</v>
      </c>
      <c r="P630" s="12">
        <f t="shared" si="29"/>
        <v>170.286</v>
      </c>
      <c r="X630" s="14" t="s">
        <v>936</v>
      </c>
      <c r="Y630" s="19">
        <v>63.56</v>
      </c>
    </row>
    <row r="631" spans="1:25" x14ac:dyDescent="0.3">
      <c r="A631">
        <v>20770</v>
      </c>
      <c r="B631" s="1">
        <v>45597</v>
      </c>
      <c r="C631">
        <v>941</v>
      </c>
      <c r="D631">
        <v>10</v>
      </c>
      <c r="E631" t="s">
        <v>13</v>
      </c>
      <c r="F631" t="s">
        <v>14</v>
      </c>
      <c r="G631">
        <v>2</v>
      </c>
      <c r="H631">
        <v>391.43</v>
      </c>
      <c r="I631" t="s">
        <v>15</v>
      </c>
      <c r="J631" t="s">
        <v>127</v>
      </c>
      <c r="M631">
        <v>44</v>
      </c>
      <c r="N631" s="18" t="str">
        <f t="shared" si="27"/>
        <v>31-45</v>
      </c>
      <c r="O631" s="12">
        <f t="shared" si="28"/>
        <v>782.86</v>
      </c>
      <c r="P631" s="12">
        <f t="shared" si="29"/>
        <v>234.858</v>
      </c>
      <c r="X631" s="14" t="s">
        <v>60</v>
      </c>
      <c r="Y631" s="19">
        <v>616.79999999999995</v>
      </c>
    </row>
    <row r="632" spans="1:25" x14ac:dyDescent="0.3">
      <c r="A632">
        <v>23008</v>
      </c>
      <c r="B632" s="1">
        <v>45597</v>
      </c>
      <c r="C632">
        <v>248</v>
      </c>
      <c r="D632">
        <v>20</v>
      </c>
      <c r="E632" t="s">
        <v>28</v>
      </c>
      <c r="F632" t="s">
        <v>72</v>
      </c>
      <c r="G632">
        <v>5</v>
      </c>
      <c r="H632">
        <v>194.27</v>
      </c>
      <c r="I632" t="s">
        <v>26</v>
      </c>
      <c r="J632" t="s">
        <v>477</v>
      </c>
      <c r="K632">
        <v>3</v>
      </c>
      <c r="M632">
        <v>53</v>
      </c>
      <c r="N632" s="18" t="str">
        <f t="shared" si="27"/>
        <v>46-60</v>
      </c>
      <c r="O632" s="12">
        <f t="shared" si="28"/>
        <v>971.35</v>
      </c>
      <c r="P632" s="12">
        <f t="shared" si="29"/>
        <v>291.40499999999997</v>
      </c>
      <c r="X632" s="14" t="s">
        <v>993</v>
      </c>
      <c r="Y632" s="19">
        <v>99.84</v>
      </c>
    </row>
    <row r="633" spans="1:25" x14ac:dyDescent="0.3">
      <c r="A633">
        <v>14487</v>
      </c>
      <c r="B633" s="1">
        <v>45597</v>
      </c>
      <c r="C633">
        <v>923</v>
      </c>
      <c r="D633">
        <v>10</v>
      </c>
      <c r="E633" t="s">
        <v>13</v>
      </c>
      <c r="F633" t="s">
        <v>47</v>
      </c>
      <c r="G633">
        <v>5</v>
      </c>
      <c r="H633">
        <v>60.82</v>
      </c>
      <c r="I633" t="s">
        <v>35</v>
      </c>
      <c r="J633" t="s">
        <v>690</v>
      </c>
      <c r="K633">
        <v>4</v>
      </c>
      <c r="L633" t="s">
        <v>17</v>
      </c>
      <c r="M633">
        <v>56</v>
      </c>
      <c r="N633" s="18" t="str">
        <f t="shared" si="27"/>
        <v>46-60</v>
      </c>
      <c r="O633" s="12">
        <f t="shared" si="28"/>
        <v>304.10000000000002</v>
      </c>
      <c r="P633" s="12">
        <f t="shared" si="29"/>
        <v>91.23</v>
      </c>
      <c r="X633" s="14" t="s">
        <v>988</v>
      </c>
      <c r="Y633" s="19">
        <v>955.31999999999994</v>
      </c>
    </row>
    <row r="634" spans="1:25" x14ac:dyDescent="0.3">
      <c r="A634">
        <v>61595</v>
      </c>
      <c r="B634" s="1">
        <v>45597</v>
      </c>
      <c r="C634">
        <v>586</v>
      </c>
      <c r="D634">
        <v>40</v>
      </c>
      <c r="E634" t="s">
        <v>24</v>
      </c>
      <c r="F634" t="s">
        <v>44</v>
      </c>
      <c r="G634">
        <v>2</v>
      </c>
      <c r="H634">
        <v>395.01</v>
      </c>
      <c r="I634" t="s">
        <v>26</v>
      </c>
      <c r="J634" t="s">
        <v>853</v>
      </c>
      <c r="K634">
        <v>5</v>
      </c>
      <c r="L634" t="s">
        <v>17</v>
      </c>
      <c r="M634">
        <v>32</v>
      </c>
      <c r="N634" s="18" t="str">
        <f t="shared" si="27"/>
        <v>31-45</v>
      </c>
      <c r="O634" s="12">
        <f t="shared" si="28"/>
        <v>790.02</v>
      </c>
      <c r="P634" s="12">
        <f t="shared" si="29"/>
        <v>237.00599999999997</v>
      </c>
      <c r="X634" s="14" t="s">
        <v>511</v>
      </c>
      <c r="Y634" s="19">
        <v>1754.64</v>
      </c>
    </row>
    <row r="635" spans="1:25" x14ac:dyDescent="0.3">
      <c r="A635">
        <v>84575</v>
      </c>
      <c r="B635" s="1">
        <v>45598</v>
      </c>
      <c r="C635">
        <v>922</v>
      </c>
      <c r="D635">
        <v>30</v>
      </c>
      <c r="E635" t="s">
        <v>37</v>
      </c>
      <c r="F635" t="s">
        <v>95</v>
      </c>
      <c r="G635">
        <v>4</v>
      </c>
      <c r="H635">
        <v>157.94999999999999</v>
      </c>
      <c r="I635" t="s">
        <v>35</v>
      </c>
      <c r="J635" t="s">
        <v>401</v>
      </c>
      <c r="K635">
        <v>4</v>
      </c>
      <c r="L635" t="s">
        <v>21</v>
      </c>
      <c r="M635">
        <v>68</v>
      </c>
      <c r="N635" s="18" t="str">
        <f t="shared" si="27"/>
        <v>60+</v>
      </c>
      <c r="O635" s="12">
        <f t="shared" si="28"/>
        <v>631.79999999999995</v>
      </c>
      <c r="P635" s="12">
        <f t="shared" si="29"/>
        <v>189.54</v>
      </c>
      <c r="X635" s="14" t="s">
        <v>850</v>
      </c>
      <c r="Y635" s="19">
        <v>706.46</v>
      </c>
    </row>
    <row r="636" spans="1:25" x14ac:dyDescent="0.3">
      <c r="A636">
        <v>62764</v>
      </c>
      <c r="B636" s="1">
        <v>45599</v>
      </c>
      <c r="C636">
        <v>901</v>
      </c>
      <c r="D636">
        <v>40</v>
      </c>
      <c r="E636" t="s">
        <v>24</v>
      </c>
      <c r="F636" t="s">
        <v>25</v>
      </c>
      <c r="G636">
        <v>4</v>
      </c>
      <c r="H636">
        <v>36.71</v>
      </c>
      <c r="I636" t="s">
        <v>15</v>
      </c>
      <c r="J636" t="s">
        <v>613</v>
      </c>
      <c r="K636">
        <v>4</v>
      </c>
      <c r="L636" t="s">
        <v>21</v>
      </c>
      <c r="M636">
        <v>23</v>
      </c>
      <c r="N636" s="18" t="str">
        <f t="shared" si="27"/>
        <v>18-30</v>
      </c>
      <c r="O636" s="12">
        <f t="shared" si="28"/>
        <v>146.84</v>
      </c>
      <c r="P636" s="12">
        <f t="shared" si="29"/>
        <v>44.052</v>
      </c>
      <c r="X636" s="14" t="s">
        <v>178</v>
      </c>
      <c r="Y636" s="19">
        <v>1040.46</v>
      </c>
    </row>
    <row r="637" spans="1:25" x14ac:dyDescent="0.3">
      <c r="A637">
        <v>62323</v>
      </c>
      <c r="B637" s="1">
        <v>45600</v>
      </c>
      <c r="C637">
        <v>308</v>
      </c>
      <c r="D637">
        <v>30</v>
      </c>
      <c r="E637" t="s">
        <v>37</v>
      </c>
      <c r="F637" t="s">
        <v>40</v>
      </c>
      <c r="G637">
        <v>5</v>
      </c>
      <c r="H637">
        <v>228.43</v>
      </c>
      <c r="I637" t="s">
        <v>26</v>
      </c>
      <c r="J637" t="s">
        <v>617</v>
      </c>
      <c r="K637">
        <v>4</v>
      </c>
      <c r="L637" t="s">
        <v>21</v>
      </c>
      <c r="M637">
        <v>26</v>
      </c>
      <c r="N637" s="18" t="str">
        <f t="shared" si="27"/>
        <v>18-30</v>
      </c>
      <c r="O637" s="12">
        <f t="shared" si="28"/>
        <v>1142.1500000000001</v>
      </c>
      <c r="P637" s="12">
        <f t="shared" si="29"/>
        <v>342.64500000000004</v>
      </c>
      <c r="X637" s="14" t="s">
        <v>910</v>
      </c>
      <c r="Y637" s="19">
        <v>1233.4000000000001</v>
      </c>
    </row>
    <row r="638" spans="1:25" x14ac:dyDescent="0.3">
      <c r="A638">
        <v>96190</v>
      </c>
      <c r="B638" s="1">
        <v>45600</v>
      </c>
      <c r="C638">
        <v>415</v>
      </c>
      <c r="D638">
        <v>50</v>
      </c>
      <c r="E638" t="s">
        <v>18</v>
      </c>
      <c r="F638" t="s">
        <v>34</v>
      </c>
      <c r="G638">
        <v>5</v>
      </c>
      <c r="H638">
        <v>365.81</v>
      </c>
      <c r="I638" t="s">
        <v>35</v>
      </c>
      <c r="J638" t="s">
        <v>731</v>
      </c>
      <c r="K638">
        <v>5</v>
      </c>
      <c r="L638" t="s">
        <v>21</v>
      </c>
      <c r="M638">
        <v>18</v>
      </c>
      <c r="N638" s="18" t="str">
        <f t="shared" si="27"/>
        <v>18-30</v>
      </c>
      <c r="O638" s="12">
        <f t="shared" si="28"/>
        <v>1829.05</v>
      </c>
      <c r="P638" s="12">
        <f t="shared" si="29"/>
        <v>548.71499999999992</v>
      </c>
      <c r="X638" s="14" t="s">
        <v>747</v>
      </c>
      <c r="Y638" s="19">
        <v>79.8</v>
      </c>
    </row>
    <row r="639" spans="1:25" x14ac:dyDescent="0.3">
      <c r="A639">
        <v>50937</v>
      </c>
      <c r="B639" s="1">
        <v>45601</v>
      </c>
      <c r="C639">
        <v>101</v>
      </c>
      <c r="D639">
        <v>30</v>
      </c>
      <c r="E639" t="s">
        <v>37</v>
      </c>
      <c r="F639" t="s">
        <v>95</v>
      </c>
      <c r="G639">
        <v>1</v>
      </c>
      <c r="H639">
        <v>92.22</v>
      </c>
      <c r="I639" t="s">
        <v>35</v>
      </c>
      <c r="J639" t="s">
        <v>147</v>
      </c>
      <c r="K639">
        <v>5</v>
      </c>
      <c r="L639" t="s">
        <v>17</v>
      </c>
      <c r="M639">
        <v>46</v>
      </c>
      <c r="N639" s="18" t="str">
        <f t="shared" si="27"/>
        <v>46-60</v>
      </c>
      <c r="O639" s="12">
        <f t="shared" si="28"/>
        <v>92.22</v>
      </c>
      <c r="P639" s="12">
        <f t="shared" si="29"/>
        <v>27.666</v>
      </c>
      <c r="X639" s="14" t="s">
        <v>298</v>
      </c>
      <c r="Y639" s="19">
        <v>157.05000000000001</v>
      </c>
    </row>
    <row r="640" spans="1:25" x14ac:dyDescent="0.3">
      <c r="A640">
        <v>24054</v>
      </c>
      <c r="B640" s="1">
        <v>45601</v>
      </c>
      <c r="C640">
        <v>953</v>
      </c>
      <c r="D640">
        <v>50</v>
      </c>
      <c r="E640" t="s">
        <v>18</v>
      </c>
      <c r="F640" t="s">
        <v>87</v>
      </c>
      <c r="G640">
        <v>3</v>
      </c>
      <c r="H640">
        <v>220.73</v>
      </c>
      <c r="I640" t="s">
        <v>15</v>
      </c>
      <c r="J640" t="s">
        <v>249</v>
      </c>
      <c r="K640">
        <v>4</v>
      </c>
      <c r="L640" t="s">
        <v>17</v>
      </c>
      <c r="M640">
        <v>26</v>
      </c>
      <c r="N640" s="18" t="str">
        <f t="shared" si="27"/>
        <v>18-30</v>
      </c>
      <c r="O640" s="12">
        <f t="shared" si="28"/>
        <v>662.18999999999994</v>
      </c>
      <c r="P640" s="12">
        <f t="shared" si="29"/>
        <v>198.65699999999998</v>
      </c>
      <c r="X640" s="14" t="s">
        <v>313</v>
      </c>
      <c r="Y640" s="19">
        <v>257.10000000000002</v>
      </c>
    </row>
    <row r="641" spans="1:25" x14ac:dyDescent="0.3">
      <c r="A641">
        <v>48855</v>
      </c>
      <c r="B641" s="1">
        <v>45601</v>
      </c>
      <c r="C641">
        <v>809</v>
      </c>
      <c r="D641">
        <v>40</v>
      </c>
      <c r="E641" t="s">
        <v>24</v>
      </c>
      <c r="F641" t="s">
        <v>65</v>
      </c>
      <c r="G641">
        <v>1</v>
      </c>
      <c r="H641">
        <v>447.49</v>
      </c>
      <c r="I641" t="s">
        <v>26</v>
      </c>
      <c r="J641" t="s">
        <v>661</v>
      </c>
      <c r="L641" t="s">
        <v>17</v>
      </c>
      <c r="M641">
        <v>47</v>
      </c>
      <c r="N641" s="18" t="str">
        <f t="shared" si="27"/>
        <v>46-60</v>
      </c>
      <c r="O641" s="12">
        <f t="shared" si="28"/>
        <v>447.49</v>
      </c>
      <c r="P641" s="12">
        <f t="shared" si="29"/>
        <v>134.24699999999999</v>
      </c>
      <c r="X641" s="14" t="s">
        <v>746</v>
      </c>
      <c r="Y641" s="19">
        <v>112.93</v>
      </c>
    </row>
    <row r="642" spans="1:25" x14ac:dyDescent="0.3">
      <c r="A642">
        <v>94532</v>
      </c>
      <c r="B642" s="1">
        <v>45602</v>
      </c>
      <c r="C642">
        <v>335</v>
      </c>
      <c r="D642">
        <v>50</v>
      </c>
      <c r="E642" t="s">
        <v>18</v>
      </c>
      <c r="F642" t="s">
        <v>84</v>
      </c>
      <c r="G642">
        <v>4</v>
      </c>
      <c r="H642">
        <v>85.58</v>
      </c>
      <c r="I642" t="s">
        <v>15</v>
      </c>
      <c r="J642" t="s">
        <v>297</v>
      </c>
      <c r="K642">
        <v>5</v>
      </c>
      <c r="L642" t="s">
        <v>17</v>
      </c>
      <c r="M642">
        <v>41</v>
      </c>
      <c r="N642" s="18" t="str">
        <f t="shared" si="27"/>
        <v>31-45</v>
      </c>
      <c r="O642" s="12">
        <f t="shared" si="28"/>
        <v>342.32</v>
      </c>
      <c r="P642" s="12">
        <f t="shared" si="29"/>
        <v>102.696</v>
      </c>
      <c r="X642" s="14" t="s">
        <v>183</v>
      </c>
      <c r="Y642" s="19">
        <v>305.82</v>
      </c>
    </row>
    <row r="643" spans="1:25" x14ac:dyDescent="0.3">
      <c r="A643">
        <v>66122</v>
      </c>
      <c r="B643" s="1">
        <v>45602</v>
      </c>
      <c r="C643">
        <v>280</v>
      </c>
      <c r="D643">
        <v>50</v>
      </c>
      <c r="E643" t="s">
        <v>18</v>
      </c>
      <c r="F643" t="s">
        <v>34</v>
      </c>
      <c r="G643">
        <v>1</v>
      </c>
      <c r="H643">
        <v>401.05</v>
      </c>
      <c r="I643" t="s">
        <v>35</v>
      </c>
      <c r="J643" t="s">
        <v>464</v>
      </c>
      <c r="L643" t="s">
        <v>21</v>
      </c>
      <c r="M643">
        <v>46</v>
      </c>
      <c r="N643" s="18" t="str">
        <f t="shared" ref="N643:N706" si="30">IF(M643&lt;=30,"18-30",IF(M643&lt;=45,"31-45",IF(M643&lt;=60,"46-60","60+")))</f>
        <v>46-60</v>
      </c>
      <c r="O643" s="12">
        <f t="shared" ref="O643:O706" si="31">H643*G643</f>
        <v>401.05</v>
      </c>
      <c r="P643" s="12">
        <f t="shared" ref="P643:P706" si="32">O643*0.3</f>
        <v>120.315</v>
      </c>
      <c r="X643" s="14" t="s">
        <v>157</v>
      </c>
      <c r="Y643" s="19">
        <v>874.15000000000009</v>
      </c>
    </row>
    <row r="644" spans="1:25" x14ac:dyDescent="0.3">
      <c r="A644">
        <v>80018</v>
      </c>
      <c r="B644" s="1">
        <v>45602</v>
      </c>
      <c r="C644">
        <v>257</v>
      </c>
      <c r="D644">
        <v>30</v>
      </c>
      <c r="E644" t="s">
        <v>37</v>
      </c>
      <c r="F644" t="s">
        <v>58</v>
      </c>
      <c r="G644">
        <v>4</v>
      </c>
      <c r="H644">
        <v>265.26</v>
      </c>
      <c r="I644" t="s">
        <v>26</v>
      </c>
      <c r="J644" t="s">
        <v>831</v>
      </c>
      <c r="K644">
        <v>4</v>
      </c>
      <c r="L644" t="s">
        <v>21</v>
      </c>
      <c r="M644">
        <v>65</v>
      </c>
      <c r="N644" s="18" t="str">
        <f t="shared" si="30"/>
        <v>60+</v>
      </c>
      <c r="O644" s="12">
        <f t="shared" si="31"/>
        <v>1061.04</v>
      </c>
      <c r="P644" s="12">
        <f t="shared" si="32"/>
        <v>318.31199999999995</v>
      </c>
      <c r="X644" s="14" t="s">
        <v>140</v>
      </c>
      <c r="Y644" s="19">
        <v>1265.5500000000002</v>
      </c>
    </row>
    <row r="645" spans="1:25" x14ac:dyDescent="0.3">
      <c r="A645">
        <v>92290</v>
      </c>
      <c r="B645" s="1">
        <v>45602</v>
      </c>
      <c r="C645">
        <v>445</v>
      </c>
      <c r="D645">
        <v>10</v>
      </c>
      <c r="E645" t="s">
        <v>13</v>
      </c>
      <c r="F645" t="s">
        <v>14</v>
      </c>
      <c r="G645">
        <v>5</v>
      </c>
      <c r="H645">
        <v>354.64</v>
      </c>
      <c r="I645" t="s">
        <v>26</v>
      </c>
      <c r="J645" t="s">
        <v>1007</v>
      </c>
      <c r="L645" t="s">
        <v>21</v>
      </c>
      <c r="M645">
        <v>49</v>
      </c>
      <c r="N645" s="18" t="str">
        <f t="shared" si="30"/>
        <v>46-60</v>
      </c>
      <c r="O645" s="12">
        <f t="shared" si="31"/>
        <v>1773.1999999999998</v>
      </c>
      <c r="P645" s="12">
        <f t="shared" si="32"/>
        <v>531.95999999999992</v>
      </c>
      <c r="X645" s="14" t="s">
        <v>378</v>
      </c>
      <c r="Y645" s="19">
        <v>491.22</v>
      </c>
    </row>
    <row r="646" spans="1:25" x14ac:dyDescent="0.3">
      <c r="A646">
        <v>20658</v>
      </c>
      <c r="B646" s="1">
        <v>45602</v>
      </c>
      <c r="C646">
        <v>177</v>
      </c>
      <c r="D646">
        <v>40</v>
      </c>
      <c r="E646" t="s">
        <v>24</v>
      </c>
      <c r="F646" t="s">
        <v>49</v>
      </c>
      <c r="G646">
        <v>3</v>
      </c>
      <c r="H646">
        <v>196.97</v>
      </c>
      <c r="I646" t="s">
        <v>35</v>
      </c>
      <c r="J646" t="s">
        <v>1009</v>
      </c>
      <c r="K646">
        <v>1</v>
      </c>
      <c r="L646" t="s">
        <v>21</v>
      </c>
      <c r="M646">
        <v>34</v>
      </c>
      <c r="N646" s="18" t="str">
        <f t="shared" si="30"/>
        <v>31-45</v>
      </c>
      <c r="O646" s="12">
        <f t="shared" si="31"/>
        <v>590.91</v>
      </c>
      <c r="P646" s="12">
        <f t="shared" si="32"/>
        <v>177.273</v>
      </c>
      <c r="X646" s="14" t="s">
        <v>859</v>
      </c>
      <c r="Y646" s="19">
        <v>263.15999999999997</v>
      </c>
    </row>
    <row r="647" spans="1:25" x14ac:dyDescent="0.3">
      <c r="A647">
        <v>20522</v>
      </c>
      <c r="B647" s="1">
        <v>45603</v>
      </c>
      <c r="C647">
        <v>380</v>
      </c>
      <c r="D647">
        <v>30</v>
      </c>
      <c r="E647" t="s">
        <v>37</v>
      </c>
      <c r="F647" t="s">
        <v>38</v>
      </c>
      <c r="G647">
        <v>2</v>
      </c>
      <c r="H647">
        <v>302.49</v>
      </c>
      <c r="I647" t="s">
        <v>26</v>
      </c>
      <c r="J647" t="s">
        <v>372</v>
      </c>
      <c r="K647">
        <v>5</v>
      </c>
      <c r="L647" t="s">
        <v>17</v>
      </c>
      <c r="M647">
        <v>31</v>
      </c>
      <c r="N647" s="18" t="str">
        <f t="shared" si="30"/>
        <v>31-45</v>
      </c>
      <c r="O647" s="12">
        <f t="shared" si="31"/>
        <v>604.98</v>
      </c>
      <c r="P647" s="12">
        <f t="shared" si="32"/>
        <v>181.494</v>
      </c>
      <c r="X647" s="14" t="s">
        <v>700</v>
      </c>
      <c r="Y647" s="19">
        <v>459.14</v>
      </c>
    </row>
    <row r="648" spans="1:25" x14ac:dyDescent="0.3">
      <c r="A648">
        <v>32037</v>
      </c>
      <c r="B648" s="1">
        <v>45603</v>
      </c>
      <c r="C648">
        <v>897</v>
      </c>
      <c r="D648">
        <v>10</v>
      </c>
      <c r="E648" t="s">
        <v>13</v>
      </c>
      <c r="F648" t="s">
        <v>32</v>
      </c>
      <c r="G648">
        <v>5</v>
      </c>
      <c r="H648">
        <v>25.55</v>
      </c>
      <c r="I648" t="s">
        <v>26</v>
      </c>
      <c r="J648" t="s">
        <v>414</v>
      </c>
      <c r="L648" t="s">
        <v>21</v>
      </c>
      <c r="M648">
        <v>42</v>
      </c>
      <c r="N648" s="18" t="str">
        <f t="shared" si="30"/>
        <v>31-45</v>
      </c>
      <c r="O648" s="12">
        <f t="shared" si="31"/>
        <v>127.75</v>
      </c>
      <c r="P648" s="12">
        <f t="shared" si="32"/>
        <v>38.324999999999996</v>
      </c>
      <c r="X648" s="14" t="s">
        <v>547</v>
      </c>
      <c r="Y648" s="19">
        <v>532.54</v>
      </c>
    </row>
    <row r="649" spans="1:25" x14ac:dyDescent="0.3">
      <c r="A649">
        <v>76799</v>
      </c>
      <c r="B649" s="1">
        <v>45604</v>
      </c>
      <c r="C649">
        <v>691</v>
      </c>
      <c r="D649">
        <v>20</v>
      </c>
      <c r="E649" t="s">
        <v>28</v>
      </c>
      <c r="F649" t="s">
        <v>72</v>
      </c>
      <c r="G649">
        <v>3</v>
      </c>
      <c r="H649">
        <v>137.88999999999999</v>
      </c>
      <c r="I649" t="s">
        <v>26</v>
      </c>
      <c r="J649" t="s">
        <v>566</v>
      </c>
      <c r="K649">
        <v>5</v>
      </c>
      <c r="L649" t="s">
        <v>21</v>
      </c>
      <c r="M649">
        <v>39</v>
      </c>
      <c r="N649" s="18" t="str">
        <f t="shared" si="30"/>
        <v>31-45</v>
      </c>
      <c r="O649" s="12">
        <f t="shared" si="31"/>
        <v>413.66999999999996</v>
      </c>
      <c r="P649" s="12">
        <f t="shared" si="32"/>
        <v>124.10099999999998</v>
      </c>
      <c r="X649" s="14" t="s">
        <v>737</v>
      </c>
      <c r="Y649" s="19">
        <v>867.66</v>
      </c>
    </row>
    <row r="650" spans="1:25" x14ac:dyDescent="0.3">
      <c r="A650">
        <v>91430</v>
      </c>
      <c r="B650" s="1">
        <v>45604</v>
      </c>
      <c r="C650">
        <v>417</v>
      </c>
      <c r="D650">
        <v>40</v>
      </c>
      <c r="E650" t="s">
        <v>24</v>
      </c>
      <c r="F650" t="s">
        <v>49</v>
      </c>
      <c r="G650">
        <v>5</v>
      </c>
      <c r="H650">
        <v>327.93</v>
      </c>
      <c r="I650" t="s">
        <v>15</v>
      </c>
      <c r="J650" t="s">
        <v>689</v>
      </c>
      <c r="L650" t="s">
        <v>17</v>
      </c>
      <c r="M650">
        <v>36</v>
      </c>
      <c r="N650" s="18" t="str">
        <f t="shared" si="30"/>
        <v>31-45</v>
      </c>
      <c r="O650" s="12">
        <f t="shared" si="31"/>
        <v>1639.65</v>
      </c>
      <c r="P650" s="12">
        <f t="shared" si="32"/>
        <v>491.89499999999998</v>
      </c>
      <c r="X650" s="14" t="s">
        <v>688</v>
      </c>
      <c r="Y650" s="19">
        <v>619.14</v>
      </c>
    </row>
    <row r="651" spans="1:25" x14ac:dyDescent="0.3">
      <c r="A651">
        <v>27736</v>
      </c>
      <c r="B651" s="1">
        <v>45604</v>
      </c>
      <c r="C651">
        <v>106</v>
      </c>
      <c r="D651">
        <v>20</v>
      </c>
      <c r="E651" t="s">
        <v>28</v>
      </c>
      <c r="F651" t="s">
        <v>29</v>
      </c>
      <c r="G651">
        <v>1</v>
      </c>
      <c r="H651">
        <v>497.89</v>
      </c>
      <c r="I651" t="s">
        <v>15</v>
      </c>
      <c r="J651" t="s">
        <v>924</v>
      </c>
      <c r="K651">
        <v>5</v>
      </c>
      <c r="L651" t="s">
        <v>17</v>
      </c>
      <c r="M651">
        <v>58</v>
      </c>
      <c r="N651" s="18" t="str">
        <f t="shared" si="30"/>
        <v>46-60</v>
      </c>
      <c r="O651" s="12">
        <f t="shared" si="31"/>
        <v>497.89</v>
      </c>
      <c r="P651" s="12">
        <f t="shared" si="32"/>
        <v>149.36699999999999</v>
      </c>
      <c r="X651" s="14" t="s">
        <v>594</v>
      </c>
      <c r="Y651" s="19">
        <v>195.9</v>
      </c>
    </row>
    <row r="652" spans="1:25" x14ac:dyDescent="0.3">
      <c r="A652">
        <v>55131</v>
      </c>
      <c r="B652" s="1">
        <v>45604</v>
      </c>
      <c r="C652">
        <v>866</v>
      </c>
      <c r="D652">
        <v>40</v>
      </c>
      <c r="E652" t="s">
        <v>24</v>
      </c>
      <c r="F652" t="s">
        <v>25</v>
      </c>
      <c r="G652">
        <v>2</v>
      </c>
      <c r="H652">
        <v>148.31</v>
      </c>
      <c r="I652" t="s">
        <v>26</v>
      </c>
      <c r="J652" t="s">
        <v>994</v>
      </c>
      <c r="K652">
        <v>5</v>
      </c>
      <c r="L652" t="s">
        <v>21</v>
      </c>
      <c r="M652">
        <v>67</v>
      </c>
      <c r="N652" s="18" t="str">
        <f t="shared" si="30"/>
        <v>60+</v>
      </c>
      <c r="O652" s="12">
        <f t="shared" si="31"/>
        <v>296.62</v>
      </c>
      <c r="P652" s="12">
        <f t="shared" si="32"/>
        <v>88.986000000000004</v>
      </c>
      <c r="X652" s="14" t="s">
        <v>952</v>
      </c>
      <c r="Y652" s="19">
        <v>247.95000000000002</v>
      </c>
    </row>
    <row r="653" spans="1:25" x14ac:dyDescent="0.3">
      <c r="A653">
        <v>42115</v>
      </c>
      <c r="B653" s="1">
        <v>45605</v>
      </c>
      <c r="C653">
        <v>135</v>
      </c>
      <c r="D653">
        <v>20</v>
      </c>
      <c r="E653" t="s">
        <v>28</v>
      </c>
      <c r="F653" t="s">
        <v>79</v>
      </c>
      <c r="G653">
        <v>4</v>
      </c>
      <c r="H653">
        <v>39.22</v>
      </c>
      <c r="I653" t="s">
        <v>26</v>
      </c>
      <c r="J653" t="s">
        <v>180</v>
      </c>
      <c r="K653">
        <v>4</v>
      </c>
      <c r="L653" t="s">
        <v>17</v>
      </c>
      <c r="M653">
        <v>55</v>
      </c>
      <c r="N653" s="18" t="str">
        <f t="shared" si="30"/>
        <v>46-60</v>
      </c>
      <c r="O653" s="12">
        <f t="shared" si="31"/>
        <v>156.88</v>
      </c>
      <c r="P653" s="12">
        <f t="shared" si="32"/>
        <v>47.064</v>
      </c>
      <c r="X653" s="14" t="s">
        <v>247</v>
      </c>
      <c r="Y653" s="19">
        <v>1435.8</v>
      </c>
    </row>
    <row r="654" spans="1:25" x14ac:dyDescent="0.3">
      <c r="A654">
        <v>68792</v>
      </c>
      <c r="B654" s="1">
        <v>45605</v>
      </c>
      <c r="C654">
        <v>209</v>
      </c>
      <c r="D654">
        <v>50</v>
      </c>
      <c r="E654" t="s">
        <v>18</v>
      </c>
      <c r="F654" t="s">
        <v>34</v>
      </c>
      <c r="G654">
        <v>1</v>
      </c>
      <c r="H654">
        <v>119.39</v>
      </c>
      <c r="I654" t="s">
        <v>35</v>
      </c>
      <c r="J654" t="s">
        <v>598</v>
      </c>
      <c r="K654">
        <v>5</v>
      </c>
      <c r="L654" t="s">
        <v>21</v>
      </c>
      <c r="M654">
        <v>38</v>
      </c>
      <c r="N654" s="18" t="str">
        <f t="shared" si="30"/>
        <v>31-45</v>
      </c>
      <c r="O654" s="12">
        <f t="shared" si="31"/>
        <v>119.39</v>
      </c>
      <c r="P654" s="12">
        <f t="shared" si="32"/>
        <v>35.817</v>
      </c>
      <c r="X654" s="14" t="s">
        <v>220</v>
      </c>
      <c r="Y654" s="19">
        <v>2213.54</v>
      </c>
    </row>
    <row r="655" spans="1:25" x14ac:dyDescent="0.3">
      <c r="A655">
        <v>88142</v>
      </c>
      <c r="B655" s="1">
        <v>45605</v>
      </c>
      <c r="C655">
        <v>992</v>
      </c>
      <c r="D655">
        <v>10</v>
      </c>
      <c r="E655" t="s">
        <v>13</v>
      </c>
      <c r="F655" t="s">
        <v>111</v>
      </c>
      <c r="G655">
        <v>3</v>
      </c>
      <c r="H655">
        <v>228.85</v>
      </c>
      <c r="I655" t="s">
        <v>26</v>
      </c>
      <c r="J655" t="s">
        <v>603</v>
      </c>
      <c r="K655">
        <v>1</v>
      </c>
      <c r="L655" t="s">
        <v>17</v>
      </c>
      <c r="M655">
        <v>50</v>
      </c>
      <c r="N655" s="18" t="str">
        <f t="shared" si="30"/>
        <v>46-60</v>
      </c>
      <c r="O655" s="12">
        <f t="shared" si="31"/>
        <v>686.55</v>
      </c>
      <c r="P655" s="12">
        <f t="shared" si="32"/>
        <v>205.96499999999997</v>
      </c>
      <c r="X655" s="14" t="s">
        <v>571</v>
      </c>
      <c r="Y655" s="19">
        <v>461.44</v>
      </c>
    </row>
    <row r="656" spans="1:25" x14ac:dyDescent="0.3">
      <c r="A656">
        <v>36278</v>
      </c>
      <c r="B656" s="1">
        <v>45605</v>
      </c>
      <c r="C656">
        <v>246</v>
      </c>
      <c r="D656">
        <v>50</v>
      </c>
      <c r="E656" t="s">
        <v>18</v>
      </c>
      <c r="F656" t="s">
        <v>84</v>
      </c>
      <c r="G656">
        <v>2</v>
      </c>
      <c r="H656">
        <v>65.13</v>
      </c>
      <c r="I656" t="s">
        <v>15</v>
      </c>
      <c r="J656" t="s">
        <v>627</v>
      </c>
      <c r="L656" t="s">
        <v>17</v>
      </c>
      <c r="M656">
        <v>75</v>
      </c>
      <c r="N656" s="18" t="str">
        <f t="shared" si="30"/>
        <v>60+</v>
      </c>
      <c r="O656" s="12">
        <f t="shared" si="31"/>
        <v>130.26</v>
      </c>
      <c r="P656" s="12">
        <f t="shared" si="32"/>
        <v>39.077999999999996</v>
      </c>
      <c r="X656" s="14" t="s">
        <v>540</v>
      </c>
      <c r="Y656" s="19">
        <v>1910.72</v>
      </c>
    </row>
    <row r="657" spans="1:25" x14ac:dyDescent="0.3">
      <c r="A657">
        <v>89064</v>
      </c>
      <c r="B657" s="1">
        <v>45606</v>
      </c>
      <c r="C657">
        <v>533</v>
      </c>
      <c r="D657">
        <v>50</v>
      </c>
      <c r="E657" t="s">
        <v>18</v>
      </c>
      <c r="F657" t="s">
        <v>34</v>
      </c>
      <c r="G657">
        <v>3</v>
      </c>
      <c r="H657">
        <v>28.75</v>
      </c>
      <c r="I657" t="s">
        <v>35</v>
      </c>
      <c r="J657" t="s">
        <v>114</v>
      </c>
      <c r="K657">
        <v>4</v>
      </c>
      <c r="L657" t="s">
        <v>17</v>
      </c>
      <c r="M657">
        <v>74</v>
      </c>
      <c r="N657" s="18" t="str">
        <f t="shared" si="30"/>
        <v>60+</v>
      </c>
      <c r="O657" s="12">
        <f t="shared" si="31"/>
        <v>86.25</v>
      </c>
      <c r="P657" s="12">
        <f t="shared" si="32"/>
        <v>25.875</v>
      </c>
      <c r="X657" s="14" t="s">
        <v>601</v>
      </c>
      <c r="Y657" s="19">
        <v>1546.92</v>
      </c>
    </row>
    <row r="658" spans="1:25" x14ac:dyDescent="0.3">
      <c r="A658">
        <v>38245</v>
      </c>
      <c r="B658" s="1">
        <v>45607</v>
      </c>
      <c r="C658">
        <v>615</v>
      </c>
      <c r="D658">
        <v>50</v>
      </c>
      <c r="E658" t="s">
        <v>18</v>
      </c>
      <c r="F658" t="s">
        <v>19</v>
      </c>
      <c r="G658">
        <v>4</v>
      </c>
      <c r="H658">
        <v>340.85</v>
      </c>
      <c r="I658" t="s">
        <v>15</v>
      </c>
      <c r="J658" t="s">
        <v>89</v>
      </c>
      <c r="K658">
        <v>4</v>
      </c>
      <c r="M658">
        <v>36</v>
      </c>
      <c r="N658" s="18" t="str">
        <f t="shared" si="30"/>
        <v>31-45</v>
      </c>
      <c r="O658" s="12">
        <f t="shared" si="31"/>
        <v>1363.4</v>
      </c>
      <c r="P658" s="12">
        <f t="shared" si="32"/>
        <v>409.02000000000004</v>
      </c>
      <c r="X658" s="14" t="s">
        <v>308</v>
      </c>
      <c r="Y658" s="19">
        <v>77.42</v>
      </c>
    </row>
    <row r="659" spans="1:25" x14ac:dyDescent="0.3">
      <c r="A659">
        <v>32978</v>
      </c>
      <c r="B659" s="1">
        <v>45607</v>
      </c>
      <c r="C659">
        <v>667</v>
      </c>
      <c r="D659">
        <v>30</v>
      </c>
      <c r="E659" t="s">
        <v>37</v>
      </c>
      <c r="F659" t="s">
        <v>68</v>
      </c>
      <c r="G659">
        <v>4</v>
      </c>
      <c r="H659">
        <v>478.17</v>
      </c>
      <c r="I659" t="s">
        <v>35</v>
      </c>
      <c r="J659" t="s">
        <v>698</v>
      </c>
      <c r="K659">
        <v>4</v>
      </c>
      <c r="L659" t="s">
        <v>17</v>
      </c>
      <c r="M659">
        <v>25</v>
      </c>
      <c r="N659" s="18" t="str">
        <f t="shared" si="30"/>
        <v>18-30</v>
      </c>
      <c r="O659" s="12">
        <f t="shared" si="31"/>
        <v>1912.68</v>
      </c>
      <c r="P659" s="12">
        <f t="shared" si="32"/>
        <v>573.80399999999997</v>
      </c>
      <c r="X659" s="14" t="s">
        <v>796</v>
      </c>
      <c r="Y659" s="19">
        <v>316.29000000000002</v>
      </c>
    </row>
    <row r="660" spans="1:25" x14ac:dyDescent="0.3">
      <c r="A660">
        <v>52435</v>
      </c>
      <c r="B660" s="1">
        <v>45607</v>
      </c>
      <c r="C660">
        <v>529</v>
      </c>
      <c r="D660">
        <v>10</v>
      </c>
      <c r="E660" t="s">
        <v>13</v>
      </c>
      <c r="F660" t="s">
        <v>14</v>
      </c>
      <c r="G660">
        <v>5</v>
      </c>
      <c r="H660">
        <v>340.31</v>
      </c>
      <c r="I660" t="s">
        <v>26</v>
      </c>
      <c r="J660" t="s">
        <v>815</v>
      </c>
      <c r="K660">
        <v>4</v>
      </c>
      <c r="L660" t="s">
        <v>21</v>
      </c>
      <c r="M660">
        <v>18</v>
      </c>
      <c r="N660" s="18" t="str">
        <f t="shared" si="30"/>
        <v>18-30</v>
      </c>
      <c r="O660" s="12">
        <f t="shared" si="31"/>
        <v>1701.55</v>
      </c>
      <c r="P660" s="12">
        <f t="shared" si="32"/>
        <v>510.46499999999997</v>
      </c>
      <c r="X660" s="14" t="s">
        <v>969</v>
      </c>
      <c r="Y660" s="19">
        <v>1147.28</v>
      </c>
    </row>
    <row r="661" spans="1:25" x14ac:dyDescent="0.3">
      <c r="A661">
        <v>47231</v>
      </c>
      <c r="B661" s="1">
        <v>45608</v>
      </c>
      <c r="C661">
        <v>802</v>
      </c>
      <c r="D661">
        <v>50</v>
      </c>
      <c r="E661" t="s">
        <v>18</v>
      </c>
      <c r="F661" t="s">
        <v>22</v>
      </c>
      <c r="G661">
        <v>2</v>
      </c>
      <c r="H661">
        <v>128.55000000000001</v>
      </c>
      <c r="I661" t="s">
        <v>15</v>
      </c>
      <c r="J661" t="s">
        <v>313</v>
      </c>
      <c r="K661">
        <v>2</v>
      </c>
      <c r="L661" t="s">
        <v>21</v>
      </c>
      <c r="M661">
        <v>23</v>
      </c>
      <c r="N661" s="18" t="str">
        <f t="shared" si="30"/>
        <v>18-30</v>
      </c>
      <c r="O661" s="12">
        <f t="shared" si="31"/>
        <v>257.10000000000002</v>
      </c>
      <c r="P661" s="12">
        <f t="shared" si="32"/>
        <v>77.13000000000001</v>
      </c>
      <c r="X661" s="14" t="s">
        <v>843</v>
      </c>
      <c r="Y661" s="19">
        <v>301.02</v>
      </c>
    </row>
    <row r="662" spans="1:25" x14ac:dyDescent="0.3">
      <c r="A662">
        <v>88802</v>
      </c>
      <c r="B662" s="1">
        <v>45608</v>
      </c>
      <c r="C662">
        <v>452</v>
      </c>
      <c r="D662">
        <v>20</v>
      </c>
      <c r="E662" t="s">
        <v>28</v>
      </c>
      <c r="F662" t="s">
        <v>77</v>
      </c>
      <c r="G662">
        <v>2</v>
      </c>
      <c r="H662">
        <v>398.91</v>
      </c>
      <c r="I662" t="s">
        <v>35</v>
      </c>
      <c r="J662" t="s">
        <v>339</v>
      </c>
      <c r="K662">
        <v>1</v>
      </c>
      <c r="M662">
        <v>56</v>
      </c>
      <c r="N662" s="18" t="str">
        <f t="shared" si="30"/>
        <v>46-60</v>
      </c>
      <c r="O662" s="12">
        <f t="shared" si="31"/>
        <v>797.82</v>
      </c>
      <c r="P662" s="12">
        <f t="shared" si="32"/>
        <v>239.346</v>
      </c>
      <c r="X662" s="14" t="s">
        <v>486</v>
      </c>
      <c r="Y662" s="19">
        <v>294.45</v>
      </c>
    </row>
    <row r="663" spans="1:25" x14ac:dyDescent="0.3">
      <c r="A663">
        <v>29111</v>
      </c>
      <c r="B663" s="1">
        <v>45608</v>
      </c>
      <c r="C663">
        <v>355</v>
      </c>
      <c r="D663">
        <v>30</v>
      </c>
      <c r="E663" t="s">
        <v>37</v>
      </c>
      <c r="F663" t="s">
        <v>58</v>
      </c>
      <c r="G663">
        <v>3</v>
      </c>
      <c r="H663">
        <v>265.77</v>
      </c>
      <c r="I663" t="s">
        <v>35</v>
      </c>
      <c r="J663" t="s">
        <v>706</v>
      </c>
      <c r="L663" t="s">
        <v>17</v>
      </c>
      <c r="M663">
        <v>18</v>
      </c>
      <c r="N663" s="18" t="str">
        <f t="shared" si="30"/>
        <v>18-30</v>
      </c>
      <c r="O663" s="12">
        <f t="shared" si="31"/>
        <v>797.31</v>
      </c>
      <c r="P663" s="12">
        <f t="shared" si="32"/>
        <v>239.19299999999998</v>
      </c>
      <c r="X663" s="14" t="s">
        <v>67</v>
      </c>
      <c r="Y663" s="19">
        <v>380.08</v>
      </c>
    </row>
    <row r="664" spans="1:25" x14ac:dyDescent="0.3">
      <c r="A664">
        <v>53843</v>
      </c>
      <c r="B664" s="1">
        <v>45608</v>
      </c>
      <c r="C664">
        <v>256</v>
      </c>
      <c r="D664">
        <v>30</v>
      </c>
      <c r="E664" t="s">
        <v>37</v>
      </c>
      <c r="F664" t="s">
        <v>95</v>
      </c>
      <c r="G664">
        <v>5</v>
      </c>
      <c r="H664">
        <v>410.55</v>
      </c>
      <c r="I664" t="s">
        <v>35</v>
      </c>
      <c r="J664" t="s">
        <v>989</v>
      </c>
      <c r="K664">
        <v>5</v>
      </c>
      <c r="L664" t="s">
        <v>17</v>
      </c>
      <c r="M664">
        <v>38</v>
      </c>
      <c r="N664" s="18" t="str">
        <f t="shared" si="30"/>
        <v>31-45</v>
      </c>
      <c r="O664" s="12">
        <f t="shared" si="31"/>
        <v>2052.75</v>
      </c>
      <c r="P664" s="12">
        <f t="shared" si="32"/>
        <v>615.82499999999993</v>
      </c>
      <c r="X664" s="14" t="s">
        <v>837</v>
      </c>
      <c r="Y664" s="19">
        <v>24</v>
      </c>
    </row>
    <row r="665" spans="1:25" x14ac:dyDescent="0.3">
      <c r="A665">
        <v>55003</v>
      </c>
      <c r="B665" s="1">
        <v>45609</v>
      </c>
      <c r="C665">
        <v>910</v>
      </c>
      <c r="D665">
        <v>10</v>
      </c>
      <c r="E665" t="s">
        <v>13</v>
      </c>
      <c r="F665" t="s">
        <v>14</v>
      </c>
      <c r="G665">
        <v>4</v>
      </c>
      <c r="H665">
        <v>159.13999999999999</v>
      </c>
      <c r="I665" t="s">
        <v>26</v>
      </c>
      <c r="J665" t="s">
        <v>230</v>
      </c>
      <c r="L665" t="s">
        <v>21</v>
      </c>
      <c r="M665">
        <v>74</v>
      </c>
      <c r="N665" s="18" t="str">
        <f t="shared" si="30"/>
        <v>60+</v>
      </c>
      <c r="O665" s="12">
        <f t="shared" si="31"/>
        <v>636.55999999999995</v>
      </c>
      <c r="P665" s="12">
        <f t="shared" si="32"/>
        <v>190.96799999999999</v>
      </c>
      <c r="X665" s="14" t="s">
        <v>694</v>
      </c>
      <c r="Y665" s="19">
        <v>598.75</v>
      </c>
    </row>
    <row r="666" spans="1:25" x14ac:dyDescent="0.3">
      <c r="A666">
        <v>33851</v>
      </c>
      <c r="B666" s="1">
        <v>45609</v>
      </c>
      <c r="C666">
        <v>713</v>
      </c>
      <c r="D666">
        <v>40</v>
      </c>
      <c r="E666" t="s">
        <v>24</v>
      </c>
      <c r="F666" t="s">
        <v>65</v>
      </c>
      <c r="G666">
        <v>5</v>
      </c>
      <c r="H666">
        <v>83.92</v>
      </c>
      <c r="I666" t="s">
        <v>15</v>
      </c>
      <c r="J666" t="s">
        <v>285</v>
      </c>
      <c r="K666">
        <v>4</v>
      </c>
      <c r="L666" t="s">
        <v>17</v>
      </c>
      <c r="M666">
        <v>48</v>
      </c>
      <c r="N666" s="18" t="str">
        <f t="shared" si="30"/>
        <v>46-60</v>
      </c>
      <c r="O666" s="12">
        <f t="shared" si="31"/>
        <v>419.6</v>
      </c>
      <c r="P666" s="12">
        <f t="shared" si="32"/>
        <v>125.88</v>
      </c>
      <c r="X666" s="14" t="s">
        <v>708</v>
      </c>
      <c r="Y666" s="19">
        <v>101.9</v>
      </c>
    </row>
    <row r="667" spans="1:25" x14ac:dyDescent="0.3">
      <c r="A667">
        <v>42128</v>
      </c>
      <c r="B667" s="1">
        <v>45609</v>
      </c>
      <c r="C667">
        <v>563</v>
      </c>
      <c r="D667">
        <v>30</v>
      </c>
      <c r="E667" t="s">
        <v>37</v>
      </c>
      <c r="F667" t="s">
        <v>38</v>
      </c>
      <c r="G667">
        <v>2</v>
      </c>
      <c r="H667">
        <v>292.89999999999998</v>
      </c>
      <c r="I667" t="s">
        <v>35</v>
      </c>
      <c r="J667" t="s">
        <v>496</v>
      </c>
      <c r="L667" t="s">
        <v>21</v>
      </c>
      <c r="M667">
        <v>46</v>
      </c>
      <c r="N667" s="18" t="str">
        <f t="shared" si="30"/>
        <v>46-60</v>
      </c>
      <c r="O667" s="12">
        <f t="shared" si="31"/>
        <v>585.79999999999995</v>
      </c>
      <c r="P667" s="12">
        <f t="shared" si="32"/>
        <v>175.73999999999998</v>
      </c>
      <c r="X667" s="14" t="s">
        <v>297</v>
      </c>
      <c r="Y667" s="19">
        <v>342.32</v>
      </c>
    </row>
    <row r="668" spans="1:25" x14ac:dyDescent="0.3">
      <c r="A668">
        <v>43023</v>
      </c>
      <c r="B668" s="1">
        <v>45609</v>
      </c>
      <c r="C668">
        <v>241</v>
      </c>
      <c r="D668">
        <v>30</v>
      </c>
      <c r="E668" t="s">
        <v>37</v>
      </c>
      <c r="F668" t="s">
        <v>95</v>
      </c>
      <c r="G668">
        <v>5</v>
      </c>
      <c r="H668">
        <v>395.64</v>
      </c>
      <c r="I668" t="s">
        <v>35</v>
      </c>
      <c r="J668" t="s">
        <v>604</v>
      </c>
      <c r="L668" t="s">
        <v>21</v>
      </c>
      <c r="M668">
        <v>44</v>
      </c>
      <c r="N668" s="18" t="str">
        <f t="shared" si="30"/>
        <v>31-45</v>
      </c>
      <c r="O668" s="12">
        <f t="shared" si="31"/>
        <v>1978.1999999999998</v>
      </c>
      <c r="P668" s="12">
        <f t="shared" si="32"/>
        <v>593.45999999999992</v>
      </c>
      <c r="X668" s="14" t="s">
        <v>474</v>
      </c>
      <c r="Y668" s="19">
        <v>1638.32</v>
      </c>
    </row>
    <row r="669" spans="1:25" x14ac:dyDescent="0.3">
      <c r="A669">
        <v>69632</v>
      </c>
      <c r="B669" s="1">
        <v>45609</v>
      </c>
      <c r="C669">
        <v>451</v>
      </c>
      <c r="D669">
        <v>30</v>
      </c>
      <c r="E669" t="s">
        <v>37</v>
      </c>
      <c r="F669" t="s">
        <v>95</v>
      </c>
      <c r="G669">
        <v>3</v>
      </c>
      <c r="H669">
        <v>87.72</v>
      </c>
      <c r="I669" t="s">
        <v>35</v>
      </c>
      <c r="J669" t="s">
        <v>859</v>
      </c>
      <c r="M669">
        <v>36</v>
      </c>
      <c r="N669" s="18" t="str">
        <f t="shared" si="30"/>
        <v>31-45</v>
      </c>
      <c r="O669" s="12">
        <f t="shared" si="31"/>
        <v>263.15999999999997</v>
      </c>
      <c r="P669" s="12">
        <f t="shared" si="32"/>
        <v>78.947999999999993</v>
      </c>
      <c r="X669" s="14" t="s">
        <v>458</v>
      </c>
      <c r="Y669" s="19">
        <v>286.33999999999997</v>
      </c>
    </row>
    <row r="670" spans="1:25" x14ac:dyDescent="0.3">
      <c r="A670">
        <v>67667</v>
      </c>
      <c r="B670" s="1">
        <v>45610</v>
      </c>
      <c r="C670">
        <v>854</v>
      </c>
      <c r="D670">
        <v>40</v>
      </c>
      <c r="E670" t="s">
        <v>24</v>
      </c>
      <c r="F670" t="s">
        <v>63</v>
      </c>
      <c r="G670">
        <v>3</v>
      </c>
      <c r="H670">
        <v>366.14</v>
      </c>
      <c r="I670" t="s">
        <v>26</v>
      </c>
      <c r="J670" t="s">
        <v>328</v>
      </c>
      <c r="K670">
        <v>5</v>
      </c>
      <c r="L670" t="s">
        <v>21</v>
      </c>
      <c r="M670">
        <v>37</v>
      </c>
      <c r="N670" s="18" t="str">
        <f t="shared" si="30"/>
        <v>31-45</v>
      </c>
      <c r="O670" s="12">
        <f t="shared" si="31"/>
        <v>1098.42</v>
      </c>
      <c r="P670" s="12">
        <f t="shared" si="32"/>
        <v>329.52600000000001</v>
      </c>
      <c r="X670" s="14" t="s">
        <v>832</v>
      </c>
      <c r="Y670" s="19">
        <v>366.61</v>
      </c>
    </row>
    <row r="671" spans="1:25" x14ac:dyDescent="0.3">
      <c r="A671">
        <v>94912</v>
      </c>
      <c r="B671" s="1">
        <v>45610</v>
      </c>
      <c r="C671">
        <v>795</v>
      </c>
      <c r="D671">
        <v>20</v>
      </c>
      <c r="E671" t="s">
        <v>28</v>
      </c>
      <c r="F671" t="s">
        <v>79</v>
      </c>
      <c r="G671">
        <v>4</v>
      </c>
      <c r="H671">
        <v>463.07</v>
      </c>
      <c r="I671" t="s">
        <v>15</v>
      </c>
      <c r="J671" t="s">
        <v>545</v>
      </c>
      <c r="K671">
        <v>4</v>
      </c>
      <c r="L671" t="s">
        <v>17</v>
      </c>
      <c r="M671">
        <v>70</v>
      </c>
      <c r="N671" s="18" t="str">
        <f t="shared" si="30"/>
        <v>60+</v>
      </c>
      <c r="O671" s="12">
        <f t="shared" si="31"/>
        <v>1852.28</v>
      </c>
      <c r="P671" s="12">
        <f t="shared" si="32"/>
        <v>555.68399999999997</v>
      </c>
      <c r="X671" s="14" t="s">
        <v>669</v>
      </c>
      <c r="Y671" s="19">
        <v>474.75</v>
      </c>
    </row>
    <row r="672" spans="1:25" x14ac:dyDescent="0.3">
      <c r="A672">
        <v>88975</v>
      </c>
      <c r="B672" s="1">
        <v>45610</v>
      </c>
      <c r="C672">
        <v>577</v>
      </c>
      <c r="D672">
        <v>50</v>
      </c>
      <c r="E672" t="s">
        <v>18</v>
      </c>
      <c r="F672" t="s">
        <v>34</v>
      </c>
      <c r="G672">
        <v>3</v>
      </c>
      <c r="H672">
        <v>149.49</v>
      </c>
      <c r="I672" t="s">
        <v>35</v>
      </c>
      <c r="J672" t="s">
        <v>848</v>
      </c>
      <c r="K672">
        <v>4</v>
      </c>
      <c r="L672" t="s">
        <v>21</v>
      </c>
      <c r="M672">
        <v>59</v>
      </c>
      <c r="N672" s="18" t="str">
        <f t="shared" si="30"/>
        <v>46-60</v>
      </c>
      <c r="O672" s="12">
        <f t="shared" si="31"/>
        <v>448.47</v>
      </c>
      <c r="P672" s="12">
        <f t="shared" si="32"/>
        <v>134.541</v>
      </c>
      <c r="X672" s="14" t="s">
        <v>20</v>
      </c>
      <c r="Y672" s="19">
        <v>2708.05</v>
      </c>
    </row>
    <row r="673" spans="1:25" x14ac:dyDescent="0.3">
      <c r="A673">
        <v>63665</v>
      </c>
      <c r="B673" s="1">
        <v>45610</v>
      </c>
      <c r="C673">
        <v>747</v>
      </c>
      <c r="D673">
        <v>30</v>
      </c>
      <c r="E673" t="s">
        <v>37</v>
      </c>
      <c r="F673" t="s">
        <v>68</v>
      </c>
      <c r="G673">
        <v>1</v>
      </c>
      <c r="H673">
        <v>168.47</v>
      </c>
      <c r="I673" t="s">
        <v>35</v>
      </c>
      <c r="J673" t="s">
        <v>903</v>
      </c>
      <c r="L673" t="s">
        <v>17</v>
      </c>
      <c r="M673">
        <v>41</v>
      </c>
      <c r="N673" s="18" t="str">
        <f t="shared" si="30"/>
        <v>31-45</v>
      </c>
      <c r="O673" s="12">
        <f t="shared" si="31"/>
        <v>168.47</v>
      </c>
      <c r="P673" s="12">
        <f t="shared" si="32"/>
        <v>50.540999999999997</v>
      </c>
      <c r="X673" s="14" t="s">
        <v>829</v>
      </c>
      <c r="Y673" s="19">
        <v>866.76</v>
      </c>
    </row>
    <row r="674" spans="1:25" x14ac:dyDescent="0.3">
      <c r="A674">
        <v>64684</v>
      </c>
      <c r="B674" s="1">
        <v>45612</v>
      </c>
      <c r="C674">
        <v>166</v>
      </c>
      <c r="D674">
        <v>20</v>
      </c>
      <c r="E674" t="s">
        <v>28</v>
      </c>
      <c r="F674" t="s">
        <v>77</v>
      </c>
      <c r="G674">
        <v>1</v>
      </c>
      <c r="H674">
        <v>197.69</v>
      </c>
      <c r="I674" t="s">
        <v>15</v>
      </c>
      <c r="J674" t="s">
        <v>134</v>
      </c>
      <c r="K674">
        <v>5</v>
      </c>
      <c r="L674" t="s">
        <v>21</v>
      </c>
      <c r="M674">
        <v>53</v>
      </c>
      <c r="N674" s="18" t="str">
        <f t="shared" si="30"/>
        <v>46-60</v>
      </c>
      <c r="O674" s="12">
        <f t="shared" si="31"/>
        <v>197.69</v>
      </c>
      <c r="P674" s="12">
        <f t="shared" si="32"/>
        <v>59.306999999999995</v>
      </c>
      <c r="X674" s="14" t="s">
        <v>501</v>
      </c>
      <c r="Y674" s="19">
        <v>578.76</v>
      </c>
    </row>
    <row r="675" spans="1:25" x14ac:dyDescent="0.3">
      <c r="A675">
        <v>81133</v>
      </c>
      <c r="B675" s="1">
        <v>45612</v>
      </c>
      <c r="C675">
        <v>682</v>
      </c>
      <c r="D675">
        <v>40</v>
      </c>
      <c r="E675" t="s">
        <v>24</v>
      </c>
      <c r="F675" t="s">
        <v>63</v>
      </c>
      <c r="G675">
        <v>1</v>
      </c>
      <c r="H675">
        <v>240.56</v>
      </c>
      <c r="I675" t="s">
        <v>35</v>
      </c>
      <c r="J675" t="s">
        <v>658</v>
      </c>
      <c r="K675">
        <v>4</v>
      </c>
      <c r="M675">
        <v>33</v>
      </c>
      <c r="N675" s="18" t="str">
        <f t="shared" si="30"/>
        <v>31-45</v>
      </c>
      <c r="O675" s="12">
        <f t="shared" si="31"/>
        <v>240.56</v>
      </c>
      <c r="P675" s="12">
        <f t="shared" si="32"/>
        <v>72.167999999999992</v>
      </c>
      <c r="X675" s="14" t="s">
        <v>493</v>
      </c>
      <c r="Y675" s="19">
        <v>284.33</v>
      </c>
    </row>
    <row r="676" spans="1:25" x14ac:dyDescent="0.3">
      <c r="A676">
        <v>55304</v>
      </c>
      <c r="B676" s="1">
        <v>45612</v>
      </c>
      <c r="C676">
        <v>417</v>
      </c>
      <c r="D676">
        <v>10</v>
      </c>
      <c r="E676" t="s">
        <v>13</v>
      </c>
      <c r="F676" t="s">
        <v>32</v>
      </c>
      <c r="G676">
        <v>1</v>
      </c>
      <c r="H676">
        <v>36.520000000000003</v>
      </c>
      <c r="I676" t="s">
        <v>35</v>
      </c>
      <c r="J676" t="s">
        <v>896</v>
      </c>
      <c r="L676" t="s">
        <v>17</v>
      </c>
      <c r="M676">
        <v>34</v>
      </c>
      <c r="N676" s="18" t="str">
        <f t="shared" si="30"/>
        <v>31-45</v>
      </c>
      <c r="O676" s="12">
        <f t="shared" si="31"/>
        <v>36.520000000000003</v>
      </c>
      <c r="P676" s="12">
        <f t="shared" si="32"/>
        <v>10.956000000000001</v>
      </c>
      <c r="X676" s="14" t="s">
        <v>564</v>
      </c>
      <c r="Y676" s="19">
        <v>3941.29</v>
      </c>
    </row>
    <row r="677" spans="1:25" x14ac:dyDescent="0.3">
      <c r="A677">
        <v>81439</v>
      </c>
      <c r="B677" s="1">
        <v>45613</v>
      </c>
      <c r="C677">
        <v>792</v>
      </c>
      <c r="D677">
        <v>40</v>
      </c>
      <c r="E677" t="s">
        <v>24</v>
      </c>
      <c r="F677" t="s">
        <v>63</v>
      </c>
      <c r="G677">
        <v>2</v>
      </c>
      <c r="H677">
        <v>320.48</v>
      </c>
      <c r="I677" t="s">
        <v>15</v>
      </c>
      <c r="J677" t="s">
        <v>519</v>
      </c>
      <c r="K677">
        <v>4</v>
      </c>
      <c r="L677" t="s">
        <v>17</v>
      </c>
      <c r="M677">
        <v>21</v>
      </c>
      <c r="N677" s="18" t="str">
        <f t="shared" si="30"/>
        <v>18-30</v>
      </c>
      <c r="O677" s="12">
        <f t="shared" si="31"/>
        <v>640.96</v>
      </c>
      <c r="P677" s="12">
        <f t="shared" si="32"/>
        <v>192.28800000000001</v>
      </c>
      <c r="X677" s="14" t="s">
        <v>961</v>
      </c>
      <c r="Y677" s="19">
        <v>1857.12</v>
      </c>
    </row>
    <row r="678" spans="1:25" x14ac:dyDescent="0.3">
      <c r="A678">
        <v>32522</v>
      </c>
      <c r="B678" s="1">
        <v>45613</v>
      </c>
      <c r="C678">
        <v>638</v>
      </c>
      <c r="D678">
        <v>50</v>
      </c>
      <c r="E678" t="s">
        <v>18</v>
      </c>
      <c r="F678" t="s">
        <v>19</v>
      </c>
      <c r="G678">
        <v>4</v>
      </c>
      <c r="H678">
        <v>422.48</v>
      </c>
      <c r="I678" t="s">
        <v>15</v>
      </c>
      <c r="J678" t="s">
        <v>375</v>
      </c>
      <c r="K678">
        <v>5</v>
      </c>
      <c r="L678" t="s">
        <v>21</v>
      </c>
      <c r="M678">
        <v>42</v>
      </c>
      <c r="N678" s="18" t="str">
        <f t="shared" si="30"/>
        <v>31-45</v>
      </c>
      <c r="O678" s="12">
        <f t="shared" si="31"/>
        <v>1689.92</v>
      </c>
      <c r="P678" s="12">
        <f t="shared" si="32"/>
        <v>506.976</v>
      </c>
      <c r="X678" s="14" t="s">
        <v>327</v>
      </c>
      <c r="Y678" s="19">
        <v>1526.3999999999999</v>
      </c>
    </row>
    <row r="679" spans="1:25" x14ac:dyDescent="0.3">
      <c r="A679">
        <v>76411</v>
      </c>
      <c r="B679" s="1">
        <v>45614</v>
      </c>
      <c r="C679">
        <v>576</v>
      </c>
      <c r="D679">
        <v>40</v>
      </c>
      <c r="E679" t="s">
        <v>24</v>
      </c>
      <c r="F679" t="s">
        <v>25</v>
      </c>
      <c r="G679">
        <v>4</v>
      </c>
      <c r="H679">
        <v>443.43</v>
      </c>
      <c r="I679" t="s">
        <v>26</v>
      </c>
      <c r="J679" t="s">
        <v>605</v>
      </c>
      <c r="K679">
        <v>5</v>
      </c>
      <c r="L679" t="s">
        <v>21</v>
      </c>
      <c r="M679">
        <v>57</v>
      </c>
      <c r="N679" s="18" t="str">
        <f t="shared" si="30"/>
        <v>46-60</v>
      </c>
      <c r="O679" s="12">
        <f t="shared" si="31"/>
        <v>1773.72</v>
      </c>
      <c r="P679" s="12">
        <f t="shared" si="32"/>
        <v>532.11599999999999</v>
      </c>
      <c r="X679" s="14" t="s">
        <v>650</v>
      </c>
      <c r="Y679" s="19">
        <v>1295.56</v>
      </c>
    </row>
    <row r="680" spans="1:25" x14ac:dyDescent="0.3">
      <c r="A680">
        <v>65398</v>
      </c>
      <c r="B680" s="1">
        <v>45614</v>
      </c>
      <c r="C680">
        <v>505</v>
      </c>
      <c r="D680">
        <v>50</v>
      </c>
      <c r="E680" t="s">
        <v>18</v>
      </c>
      <c r="F680" t="s">
        <v>19</v>
      </c>
      <c r="G680">
        <v>4</v>
      </c>
      <c r="H680">
        <v>222.1</v>
      </c>
      <c r="I680" t="s">
        <v>35</v>
      </c>
      <c r="J680" t="s">
        <v>695</v>
      </c>
      <c r="K680">
        <v>1</v>
      </c>
      <c r="L680" t="s">
        <v>21</v>
      </c>
      <c r="M680">
        <v>33</v>
      </c>
      <c r="N680" s="18" t="str">
        <f t="shared" si="30"/>
        <v>31-45</v>
      </c>
      <c r="O680" s="12">
        <f t="shared" si="31"/>
        <v>888.4</v>
      </c>
      <c r="P680" s="12">
        <f t="shared" si="32"/>
        <v>266.52</v>
      </c>
      <c r="X680" s="14" t="s">
        <v>98</v>
      </c>
      <c r="Y680" s="19">
        <v>266.24</v>
      </c>
    </row>
    <row r="681" spans="1:25" x14ac:dyDescent="0.3">
      <c r="A681">
        <v>82746</v>
      </c>
      <c r="B681" s="1">
        <v>45614</v>
      </c>
      <c r="C681">
        <v>101</v>
      </c>
      <c r="D681">
        <v>50</v>
      </c>
      <c r="E681" t="s">
        <v>18</v>
      </c>
      <c r="F681" t="s">
        <v>19</v>
      </c>
      <c r="G681">
        <v>3</v>
      </c>
      <c r="H681">
        <v>263.16000000000003</v>
      </c>
      <c r="I681" t="s">
        <v>26</v>
      </c>
      <c r="J681" t="s">
        <v>765</v>
      </c>
      <c r="K681">
        <v>5</v>
      </c>
      <c r="L681" t="s">
        <v>21</v>
      </c>
      <c r="M681">
        <v>35</v>
      </c>
      <c r="N681" s="18" t="str">
        <f t="shared" si="30"/>
        <v>31-45</v>
      </c>
      <c r="O681" s="12">
        <f t="shared" si="31"/>
        <v>789.48</v>
      </c>
      <c r="P681" s="12">
        <f t="shared" si="32"/>
        <v>236.84399999999999</v>
      </c>
      <c r="X681" s="14" t="s">
        <v>573</v>
      </c>
      <c r="Y681" s="19">
        <v>2382.6499999999996</v>
      </c>
    </row>
    <row r="682" spans="1:25" x14ac:dyDescent="0.3">
      <c r="A682">
        <v>53070</v>
      </c>
      <c r="B682" s="1">
        <v>45615</v>
      </c>
      <c r="C682">
        <v>503</v>
      </c>
      <c r="D682">
        <v>50</v>
      </c>
      <c r="E682" t="s">
        <v>18</v>
      </c>
      <c r="F682" t="s">
        <v>84</v>
      </c>
      <c r="G682">
        <v>5</v>
      </c>
      <c r="H682">
        <v>66.959999999999994</v>
      </c>
      <c r="I682" t="s">
        <v>15</v>
      </c>
      <c r="J682" t="s">
        <v>409</v>
      </c>
      <c r="K682">
        <v>5</v>
      </c>
      <c r="L682" t="s">
        <v>17</v>
      </c>
      <c r="M682">
        <v>68</v>
      </c>
      <c r="N682" s="18" t="str">
        <f t="shared" si="30"/>
        <v>60+</v>
      </c>
      <c r="O682" s="12">
        <f t="shared" si="31"/>
        <v>334.79999999999995</v>
      </c>
      <c r="P682" s="12">
        <f t="shared" si="32"/>
        <v>100.43999999999998</v>
      </c>
      <c r="X682" s="14" t="s">
        <v>133</v>
      </c>
      <c r="Y682" s="19">
        <v>715.69999999999993</v>
      </c>
    </row>
    <row r="683" spans="1:25" x14ac:dyDescent="0.3">
      <c r="A683">
        <v>35155</v>
      </c>
      <c r="B683" s="1">
        <v>45615</v>
      </c>
      <c r="C683">
        <v>956</v>
      </c>
      <c r="D683">
        <v>10</v>
      </c>
      <c r="E683" t="s">
        <v>13</v>
      </c>
      <c r="F683" t="s">
        <v>32</v>
      </c>
      <c r="G683">
        <v>2</v>
      </c>
      <c r="H683">
        <v>496.93</v>
      </c>
      <c r="I683" t="s">
        <v>15</v>
      </c>
      <c r="J683" t="s">
        <v>954</v>
      </c>
      <c r="K683">
        <v>5</v>
      </c>
      <c r="L683" t="s">
        <v>17</v>
      </c>
      <c r="M683">
        <v>20</v>
      </c>
      <c r="N683" s="18" t="str">
        <f t="shared" si="30"/>
        <v>18-30</v>
      </c>
      <c r="O683" s="12">
        <f t="shared" si="31"/>
        <v>993.86</v>
      </c>
      <c r="P683" s="12">
        <f t="shared" si="32"/>
        <v>298.15800000000002</v>
      </c>
      <c r="X683" s="14" t="s">
        <v>379</v>
      </c>
      <c r="Y683" s="19">
        <v>682.36</v>
      </c>
    </row>
    <row r="684" spans="1:25" x14ac:dyDescent="0.3">
      <c r="A684">
        <v>84991</v>
      </c>
      <c r="B684" s="1">
        <v>45616</v>
      </c>
      <c r="C684">
        <v>434</v>
      </c>
      <c r="D684">
        <v>50</v>
      </c>
      <c r="E684" t="s">
        <v>18</v>
      </c>
      <c r="F684" t="s">
        <v>34</v>
      </c>
      <c r="G684">
        <v>1</v>
      </c>
      <c r="H684">
        <v>198.08</v>
      </c>
      <c r="I684" t="s">
        <v>35</v>
      </c>
      <c r="J684" t="s">
        <v>459</v>
      </c>
      <c r="M684">
        <v>33</v>
      </c>
      <c r="N684" s="18" t="str">
        <f t="shared" si="30"/>
        <v>31-45</v>
      </c>
      <c r="O684" s="12">
        <f t="shared" si="31"/>
        <v>198.08</v>
      </c>
      <c r="P684" s="12">
        <f t="shared" si="32"/>
        <v>59.423999999999999</v>
      </c>
      <c r="X684" s="14" t="s">
        <v>575</v>
      </c>
      <c r="Y684" s="19">
        <v>107.09</v>
      </c>
    </row>
    <row r="685" spans="1:25" x14ac:dyDescent="0.3">
      <c r="A685">
        <v>11164</v>
      </c>
      <c r="B685" s="1">
        <v>45616</v>
      </c>
      <c r="C685">
        <v>154</v>
      </c>
      <c r="D685">
        <v>10</v>
      </c>
      <c r="E685" t="s">
        <v>13</v>
      </c>
      <c r="F685" t="s">
        <v>14</v>
      </c>
      <c r="G685">
        <v>5</v>
      </c>
      <c r="H685">
        <v>129.83000000000001</v>
      </c>
      <c r="I685" t="s">
        <v>26</v>
      </c>
      <c r="J685" t="s">
        <v>552</v>
      </c>
      <c r="K685">
        <v>3</v>
      </c>
      <c r="M685">
        <v>44</v>
      </c>
      <c r="N685" s="18" t="str">
        <f t="shared" si="30"/>
        <v>31-45</v>
      </c>
      <c r="O685" s="12">
        <f t="shared" si="31"/>
        <v>649.15000000000009</v>
      </c>
      <c r="P685" s="12">
        <f t="shared" si="32"/>
        <v>194.74500000000003</v>
      </c>
      <c r="X685" s="14" t="s">
        <v>794</v>
      </c>
      <c r="Y685" s="19">
        <v>300.74</v>
      </c>
    </row>
    <row r="686" spans="1:25" x14ac:dyDescent="0.3">
      <c r="A686">
        <v>12167</v>
      </c>
      <c r="B686" s="1">
        <v>45616</v>
      </c>
      <c r="C686">
        <v>500</v>
      </c>
      <c r="D686">
        <v>30</v>
      </c>
      <c r="E686" t="s">
        <v>37</v>
      </c>
      <c r="F686" t="s">
        <v>68</v>
      </c>
      <c r="G686">
        <v>1</v>
      </c>
      <c r="H686">
        <v>187.51</v>
      </c>
      <c r="I686" t="s">
        <v>15</v>
      </c>
      <c r="J686" t="s">
        <v>786</v>
      </c>
      <c r="K686">
        <v>4</v>
      </c>
      <c r="L686" t="s">
        <v>17</v>
      </c>
      <c r="M686">
        <v>46</v>
      </c>
      <c r="N686" s="18" t="str">
        <f t="shared" si="30"/>
        <v>46-60</v>
      </c>
      <c r="O686" s="12">
        <f t="shared" si="31"/>
        <v>187.51</v>
      </c>
      <c r="P686" s="12">
        <f t="shared" si="32"/>
        <v>56.252999999999993</v>
      </c>
      <c r="X686" s="14" t="s">
        <v>693</v>
      </c>
      <c r="Y686" s="19">
        <v>330.94</v>
      </c>
    </row>
    <row r="687" spans="1:25" x14ac:dyDescent="0.3">
      <c r="A687">
        <v>53191</v>
      </c>
      <c r="B687" s="1">
        <v>45617</v>
      </c>
      <c r="C687">
        <v>852</v>
      </c>
      <c r="D687">
        <v>30</v>
      </c>
      <c r="E687" t="s">
        <v>37</v>
      </c>
      <c r="F687" t="s">
        <v>38</v>
      </c>
      <c r="G687">
        <v>4</v>
      </c>
      <c r="H687">
        <v>204.56</v>
      </c>
      <c r="I687" t="s">
        <v>35</v>
      </c>
      <c r="J687" t="s">
        <v>270</v>
      </c>
      <c r="L687" t="s">
        <v>21</v>
      </c>
      <c r="M687">
        <v>30</v>
      </c>
      <c r="N687" s="18" t="str">
        <f t="shared" si="30"/>
        <v>18-30</v>
      </c>
      <c r="O687" s="12">
        <f t="shared" si="31"/>
        <v>818.24</v>
      </c>
      <c r="P687" s="12">
        <f t="shared" si="32"/>
        <v>245.47199999999998</v>
      </c>
      <c r="X687" s="14" t="s">
        <v>343</v>
      </c>
      <c r="Y687" s="19">
        <v>1152.45</v>
      </c>
    </row>
    <row r="688" spans="1:25" x14ac:dyDescent="0.3">
      <c r="A688">
        <v>25897</v>
      </c>
      <c r="B688" s="1">
        <v>45618</v>
      </c>
      <c r="C688">
        <v>247</v>
      </c>
      <c r="D688">
        <v>30</v>
      </c>
      <c r="E688" t="s">
        <v>37</v>
      </c>
      <c r="F688" t="s">
        <v>68</v>
      </c>
      <c r="G688">
        <v>5</v>
      </c>
      <c r="H688">
        <v>65.87</v>
      </c>
      <c r="I688" t="s">
        <v>35</v>
      </c>
      <c r="J688" t="s">
        <v>705</v>
      </c>
      <c r="K688">
        <v>1</v>
      </c>
      <c r="L688" t="s">
        <v>21</v>
      </c>
      <c r="M688">
        <v>29</v>
      </c>
      <c r="N688" s="18" t="str">
        <f t="shared" si="30"/>
        <v>18-30</v>
      </c>
      <c r="O688" s="12">
        <f t="shared" si="31"/>
        <v>329.35</v>
      </c>
      <c r="P688" s="12">
        <f t="shared" si="32"/>
        <v>98.805000000000007</v>
      </c>
      <c r="X688" s="14" t="s">
        <v>504</v>
      </c>
      <c r="Y688" s="19">
        <v>145.08000000000001</v>
      </c>
    </row>
    <row r="689" spans="1:25" x14ac:dyDescent="0.3">
      <c r="A689">
        <v>79715</v>
      </c>
      <c r="B689" s="1">
        <v>45618</v>
      </c>
      <c r="C689">
        <v>977</v>
      </c>
      <c r="D689">
        <v>10</v>
      </c>
      <c r="E689" t="s">
        <v>13</v>
      </c>
      <c r="F689" t="s">
        <v>111</v>
      </c>
      <c r="G689">
        <v>5</v>
      </c>
      <c r="H689">
        <v>196.87</v>
      </c>
      <c r="I689" t="s">
        <v>15</v>
      </c>
      <c r="J689" t="s">
        <v>733</v>
      </c>
      <c r="K689">
        <v>3</v>
      </c>
      <c r="L689" t="s">
        <v>17</v>
      </c>
      <c r="M689">
        <v>38</v>
      </c>
      <c r="N689" s="18" t="str">
        <f t="shared" si="30"/>
        <v>31-45</v>
      </c>
      <c r="O689" s="12">
        <f t="shared" si="31"/>
        <v>984.35</v>
      </c>
      <c r="P689" s="12">
        <f t="shared" si="32"/>
        <v>295.30500000000001</v>
      </c>
      <c r="X689" s="14" t="s">
        <v>687</v>
      </c>
      <c r="Y689" s="19">
        <v>707.35</v>
      </c>
    </row>
    <row r="690" spans="1:25" x14ac:dyDescent="0.3">
      <c r="A690">
        <v>29275</v>
      </c>
      <c r="B690" s="1">
        <v>45619</v>
      </c>
      <c r="C690">
        <v>180</v>
      </c>
      <c r="D690">
        <v>40</v>
      </c>
      <c r="E690" t="s">
        <v>24</v>
      </c>
      <c r="F690" t="s">
        <v>65</v>
      </c>
      <c r="G690">
        <v>4</v>
      </c>
      <c r="H690">
        <v>234.04</v>
      </c>
      <c r="I690" t="s">
        <v>15</v>
      </c>
      <c r="J690" t="s">
        <v>360</v>
      </c>
      <c r="K690">
        <v>1</v>
      </c>
      <c r="L690" t="s">
        <v>21</v>
      </c>
      <c r="M690">
        <v>68</v>
      </c>
      <c r="N690" s="18" t="str">
        <f t="shared" si="30"/>
        <v>60+</v>
      </c>
      <c r="O690" s="12">
        <f t="shared" si="31"/>
        <v>936.16</v>
      </c>
      <c r="P690" s="12">
        <f t="shared" si="32"/>
        <v>280.84799999999996</v>
      </c>
      <c r="X690" s="14" t="s">
        <v>272</v>
      </c>
      <c r="Y690" s="19">
        <v>625.41</v>
      </c>
    </row>
    <row r="691" spans="1:25" x14ac:dyDescent="0.3">
      <c r="A691">
        <v>35793</v>
      </c>
      <c r="B691" s="1">
        <v>45619</v>
      </c>
      <c r="C691">
        <v>427</v>
      </c>
      <c r="D691">
        <v>10</v>
      </c>
      <c r="E691" t="s">
        <v>13</v>
      </c>
      <c r="F691" t="s">
        <v>32</v>
      </c>
      <c r="G691">
        <v>2</v>
      </c>
      <c r="H691">
        <v>227.71</v>
      </c>
      <c r="I691" t="s">
        <v>15</v>
      </c>
      <c r="J691" t="s">
        <v>675</v>
      </c>
      <c r="K691">
        <v>4</v>
      </c>
      <c r="L691" t="s">
        <v>17</v>
      </c>
      <c r="M691">
        <v>66</v>
      </c>
      <c r="N691" s="18" t="str">
        <f t="shared" si="30"/>
        <v>60+</v>
      </c>
      <c r="O691" s="12">
        <f t="shared" si="31"/>
        <v>455.42</v>
      </c>
      <c r="P691" s="12">
        <f t="shared" si="32"/>
        <v>136.626</v>
      </c>
      <c r="X691" s="14" t="s">
        <v>319</v>
      </c>
      <c r="Y691" s="19">
        <v>1667.56</v>
      </c>
    </row>
    <row r="692" spans="1:25" x14ac:dyDescent="0.3">
      <c r="A692">
        <v>25561</v>
      </c>
      <c r="B692" s="1">
        <v>45619</v>
      </c>
      <c r="C692">
        <v>275</v>
      </c>
      <c r="D692">
        <v>10</v>
      </c>
      <c r="E692" t="s">
        <v>13</v>
      </c>
      <c r="F692" t="s">
        <v>111</v>
      </c>
      <c r="G692">
        <v>1</v>
      </c>
      <c r="H692">
        <v>330.94</v>
      </c>
      <c r="I692" t="s">
        <v>15</v>
      </c>
      <c r="J692" t="s">
        <v>693</v>
      </c>
      <c r="K692">
        <v>5</v>
      </c>
      <c r="L692" t="s">
        <v>17</v>
      </c>
      <c r="M692">
        <v>31</v>
      </c>
      <c r="N692" s="18" t="str">
        <f t="shared" si="30"/>
        <v>31-45</v>
      </c>
      <c r="O692" s="12">
        <f t="shared" si="31"/>
        <v>330.94</v>
      </c>
      <c r="P692" s="12">
        <f t="shared" si="32"/>
        <v>99.281999999999996</v>
      </c>
      <c r="X692" s="14" t="s">
        <v>244</v>
      </c>
      <c r="Y692" s="19">
        <v>1172.2</v>
      </c>
    </row>
    <row r="693" spans="1:25" x14ac:dyDescent="0.3">
      <c r="A693">
        <v>61642</v>
      </c>
      <c r="B693" s="1">
        <v>45620</v>
      </c>
      <c r="C693">
        <v>264</v>
      </c>
      <c r="D693">
        <v>50</v>
      </c>
      <c r="E693" t="s">
        <v>18</v>
      </c>
      <c r="F693" t="s">
        <v>22</v>
      </c>
      <c r="G693">
        <v>1</v>
      </c>
      <c r="H693">
        <v>241.61</v>
      </c>
      <c r="I693" t="s">
        <v>26</v>
      </c>
      <c r="J693" t="s">
        <v>74</v>
      </c>
      <c r="K693">
        <v>5</v>
      </c>
      <c r="L693" t="s">
        <v>21</v>
      </c>
      <c r="M693">
        <v>19</v>
      </c>
      <c r="N693" s="18" t="str">
        <f t="shared" si="30"/>
        <v>18-30</v>
      </c>
      <c r="O693" s="12">
        <f t="shared" si="31"/>
        <v>241.61</v>
      </c>
      <c r="P693" s="12">
        <f t="shared" si="32"/>
        <v>72.483000000000004</v>
      </c>
      <c r="X693" s="14" t="s">
        <v>524</v>
      </c>
      <c r="Y693" s="19">
        <v>904.92</v>
      </c>
    </row>
    <row r="694" spans="1:25" x14ac:dyDescent="0.3">
      <c r="A694">
        <v>49861</v>
      </c>
      <c r="B694" s="1">
        <v>45620</v>
      </c>
      <c r="C694">
        <v>832</v>
      </c>
      <c r="D694">
        <v>20</v>
      </c>
      <c r="E694" t="s">
        <v>28</v>
      </c>
      <c r="F694" t="s">
        <v>29</v>
      </c>
      <c r="G694">
        <v>2</v>
      </c>
      <c r="H694">
        <v>96.31</v>
      </c>
      <c r="I694" t="s">
        <v>35</v>
      </c>
      <c r="J694" t="s">
        <v>154</v>
      </c>
      <c r="K694">
        <v>5</v>
      </c>
      <c r="L694" t="s">
        <v>21</v>
      </c>
      <c r="M694">
        <v>46</v>
      </c>
      <c r="N694" s="18" t="str">
        <f t="shared" si="30"/>
        <v>46-60</v>
      </c>
      <c r="O694" s="12">
        <f t="shared" si="31"/>
        <v>192.62</v>
      </c>
      <c r="P694" s="12">
        <f t="shared" si="32"/>
        <v>57.786000000000001</v>
      </c>
      <c r="X694" s="14" t="s">
        <v>364</v>
      </c>
      <c r="Y694" s="19">
        <v>597.93000000000006</v>
      </c>
    </row>
    <row r="695" spans="1:25" x14ac:dyDescent="0.3">
      <c r="A695">
        <v>26849</v>
      </c>
      <c r="B695" s="1">
        <v>45620</v>
      </c>
      <c r="C695">
        <v>667</v>
      </c>
      <c r="D695">
        <v>50</v>
      </c>
      <c r="E695" t="s">
        <v>18</v>
      </c>
      <c r="F695" t="s">
        <v>84</v>
      </c>
      <c r="G695">
        <v>3</v>
      </c>
      <c r="H695">
        <v>116.74</v>
      </c>
      <c r="I695" t="s">
        <v>26</v>
      </c>
      <c r="J695" t="s">
        <v>522</v>
      </c>
      <c r="K695">
        <v>5</v>
      </c>
      <c r="L695" t="s">
        <v>17</v>
      </c>
      <c r="M695">
        <v>27</v>
      </c>
      <c r="N695" s="18" t="str">
        <f t="shared" si="30"/>
        <v>18-30</v>
      </c>
      <c r="O695" s="12">
        <f t="shared" si="31"/>
        <v>350.21999999999997</v>
      </c>
      <c r="P695" s="12">
        <f t="shared" si="32"/>
        <v>105.06599999999999</v>
      </c>
      <c r="X695" s="14" t="s">
        <v>219</v>
      </c>
      <c r="Y695" s="19">
        <v>1500.52</v>
      </c>
    </row>
    <row r="696" spans="1:25" x14ac:dyDescent="0.3">
      <c r="A696">
        <v>35625</v>
      </c>
      <c r="B696" s="1">
        <v>45620</v>
      </c>
      <c r="C696">
        <v>863</v>
      </c>
      <c r="D696">
        <v>30</v>
      </c>
      <c r="E696" t="s">
        <v>37</v>
      </c>
      <c r="F696" t="s">
        <v>38</v>
      </c>
      <c r="G696">
        <v>2</v>
      </c>
      <c r="H696">
        <v>19.350000000000001</v>
      </c>
      <c r="I696" t="s">
        <v>35</v>
      </c>
      <c r="J696" t="s">
        <v>914</v>
      </c>
      <c r="K696">
        <v>3</v>
      </c>
      <c r="M696">
        <v>22</v>
      </c>
      <c r="N696" s="18" t="str">
        <f t="shared" si="30"/>
        <v>18-30</v>
      </c>
      <c r="O696" s="12">
        <f t="shared" si="31"/>
        <v>38.700000000000003</v>
      </c>
      <c r="P696" s="12">
        <f t="shared" si="32"/>
        <v>11.610000000000001</v>
      </c>
      <c r="X696" s="14" t="s">
        <v>321</v>
      </c>
      <c r="Y696" s="19">
        <v>493.91999999999996</v>
      </c>
    </row>
    <row r="697" spans="1:25" x14ac:dyDescent="0.3">
      <c r="A697">
        <v>82649</v>
      </c>
      <c r="B697" s="1">
        <v>45622</v>
      </c>
      <c r="C697">
        <v>983</v>
      </c>
      <c r="D697">
        <v>20</v>
      </c>
      <c r="E697" t="s">
        <v>28</v>
      </c>
      <c r="F697" t="s">
        <v>77</v>
      </c>
      <c r="G697">
        <v>1</v>
      </c>
      <c r="H697">
        <v>419.8</v>
      </c>
      <c r="I697" t="s">
        <v>26</v>
      </c>
      <c r="J697" t="s">
        <v>810</v>
      </c>
      <c r="L697" t="s">
        <v>21</v>
      </c>
      <c r="M697">
        <v>60</v>
      </c>
      <c r="N697" s="18" t="str">
        <f t="shared" si="30"/>
        <v>46-60</v>
      </c>
      <c r="O697" s="12">
        <f t="shared" si="31"/>
        <v>419.8</v>
      </c>
      <c r="P697" s="12">
        <f t="shared" si="32"/>
        <v>125.94</v>
      </c>
      <c r="X697" s="14" t="s">
        <v>106</v>
      </c>
      <c r="Y697" s="19">
        <v>463.62</v>
      </c>
    </row>
    <row r="698" spans="1:25" x14ac:dyDescent="0.3">
      <c r="A698">
        <v>42780</v>
      </c>
      <c r="B698" s="1">
        <v>45622</v>
      </c>
      <c r="C698">
        <v>482</v>
      </c>
      <c r="D698">
        <v>40</v>
      </c>
      <c r="E698" t="s">
        <v>24</v>
      </c>
      <c r="F698" t="s">
        <v>65</v>
      </c>
      <c r="G698">
        <v>4</v>
      </c>
      <c r="H698">
        <v>121.29</v>
      </c>
      <c r="I698" t="s">
        <v>15</v>
      </c>
      <c r="J698" t="s">
        <v>841</v>
      </c>
      <c r="K698">
        <v>4</v>
      </c>
      <c r="L698" t="s">
        <v>21</v>
      </c>
      <c r="M698">
        <v>32</v>
      </c>
      <c r="N698" s="18" t="str">
        <f t="shared" si="30"/>
        <v>31-45</v>
      </c>
      <c r="O698" s="12">
        <f t="shared" si="31"/>
        <v>485.16</v>
      </c>
      <c r="P698" s="12">
        <f t="shared" si="32"/>
        <v>145.548</v>
      </c>
      <c r="X698" s="14" t="s">
        <v>719</v>
      </c>
      <c r="Y698" s="19">
        <v>1735.08</v>
      </c>
    </row>
    <row r="699" spans="1:25" x14ac:dyDescent="0.3">
      <c r="A699">
        <v>94070</v>
      </c>
      <c r="B699" s="1">
        <v>45622</v>
      </c>
      <c r="C699">
        <v>822</v>
      </c>
      <c r="D699">
        <v>50</v>
      </c>
      <c r="E699" t="s">
        <v>18</v>
      </c>
      <c r="F699" t="s">
        <v>34</v>
      </c>
      <c r="G699">
        <v>2</v>
      </c>
      <c r="H699">
        <v>236.61</v>
      </c>
      <c r="I699" t="s">
        <v>26</v>
      </c>
      <c r="J699" t="s">
        <v>344</v>
      </c>
      <c r="K699">
        <v>5</v>
      </c>
      <c r="L699" t="s">
        <v>21</v>
      </c>
      <c r="M699">
        <v>67</v>
      </c>
      <c r="N699" s="18" t="str">
        <f t="shared" si="30"/>
        <v>60+</v>
      </c>
      <c r="O699" s="12">
        <f t="shared" si="31"/>
        <v>473.22</v>
      </c>
      <c r="P699" s="12">
        <f t="shared" si="32"/>
        <v>141.96600000000001</v>
      </c>
      <c r="X699" s="14" t="s">
        <v>655</v>
      </c>
      <c r="Y699" s="19">
        <v>493.8</v>
      </c>
    </row>
    <row r="700" spans="1:25" x14ac:dyDescent="0.3">
      <c r="A700">
        <v>10299</v>
      </c>
      <c r="B700" s="1">
        <v>45623</v>
      </c>
      <c r="C700">
        <v>971</v>
      </c>
      <c r="D700">
        <v>20</v>
      </c>
      <c r="E700" t="s">
        <v>28</v>
      </c>
      <c r="F700" t="s">
        <v>72</v>
      </c>
      <c r="G700">
        <v>4</v>
      </c>
      <c r="H700">
        <v>203.94</v>
      </c>
      <c r="I700" t="s">
        <v>35</v>
      </c>
      <c r="J700" t="s">
        <v>92</v>
      </c>
      <c r="K700">
        <v>5</v>
      </c>
      <c r="L700" t="s">
        <v>17</v>
      </c>
      <c r="M700">
        <v>33</v>
      </c>
      <c r="N700" s="18" t="str">
        <f t="shared" si="30"/>
        <v>31-45</v>
      </c>
      <c r="O700" s="12">
        <f t="shared" si="31"/>
        <v>815.76</v>
      </c>
      <c r="P700" s="12">
        <f t="shared" si="32"/>
        <v>244.72799999999998</v>
      </c>
      <c r="X700" s="14" t="s">
        <v>605</v>
      </c>
      <c r="Y700" s="19">
        <v>1773.72</v>
      </c>
    </row>
    <row r="701" spans="1:25" x14ac:dyDescent="0.3">
      <c r="A701">
        <v>60036</v>
      </c>
      <c r="B701" s="1">
        <v>45623</v>
      </c>
      <c r="C701">
        <v>244</v>
      </c>
      <c r="D701">
        <v>20</v>
      </c>
      <c r="E701" t="s">
        <v>28</v>
      </c>
      <c r="F701" t="s">
        <v>51</v>
      </c>
      <c r="G701">
        <v>4</v>
      </c>
      <c r="H701">
        <v>333.23</v>
      </c>
      <c r="I701" t="s">
        <v>26</v>
      </c>
      <c r="J701" t="s">
        <v>776</v>
      </c>
      <c r="L701" t="s">
        <v>17</v>
      </c>
      <c r="M701">
        <v>57</v>
      </c>
      <c r="N701" s="18" t="str">
        <f t="shared" si="30"/>
        <v>46-60</v>
      </c>
      <c r="O701" s="12">
        <f t="shared" si="31"/>
        <v>1332.92</v>
      </c>
      <c r="P701" s="12">
        <f t="shared" si="32"/>
        <v>399.87600000000003</v>
      </c>
      <c r="X701" s="14" t="s">
        <v>360</v>
      </c>
      <c r="Y701" s="19">
        <v>936.16</v>
      </c>
    </row>
    <row r="702" spans="1:25" x14ac:dyDescent="0.3">
      <c r="A702">
        <v>27117</v>
      </c>
      <c r="B702" s="1">
        <v>45623</v>
      </c>
      <c r="C702">
        <v>312</v>
      </c>
      <c r="D702">
        <v>20</v>
      </c>
      <c r="E702" t="s">
        <v>28</v>
      </c>
      <c r="F702" t="s">
        <v>77</v>
      </c>
      <c r="G702">
        <v>4</v>
      </c>
      <c r="H702">
        <v>245.65</v>
      </c>
      <c r="I702" t="s">
        <v>15</v>
      </c>
      <c r="J702" t="s">
        <v>901</v>
      </c>
      <c r="K702">
        <v>4</v>
      </c>
      <c r="L702" t="s">
        <v>17</v>
      </c>
      <c r="M702">
        <v>66</v>
      </c>
      <c r="N702" s="18" t="str">
        <f t="shared" si="30"/>
        <v>60+</v>
      </c>
      <c r="O702" s="12">
        <f t="shared" si="31"/>
        <v>982.6</v>
      </c>
      <c r="P702" s="12">
        <f t="shared" si="32"/>
        <v>294.77999999999997</v>
      </c>
      <c r="X702" s="14" t="s">
        <v>812</v>
      </c>
      <c r="Y702" s="19">
        <v>614.88</v>
      </c>
    </row>
    <row r="703" spans="1:25" x14ac:dyDescent="0.3">
      <c r="A703">
        <v>24078</v>
      </c>
      <c r="B703" s="1">
        <v>45625</v>
      </c>
      <c r="C703">
        <v>344</v>
      </c>
      <c r="D703">
        <v>20</v>
      </c>
      <c r="E703" t="s">
        <v>28</v>
      </c>
      <c r="F703" t="s">
        <v>51</v>
      </c>
      <c r="G703">
        <v>5</v>
      </c>
      <c r="H703">
        <v>364.91</v>
      </c>
      <c r="I703" t="s">
        <v>35</v>
      </c>
      <c r="J703" t="s">
        <v>433</v>
      </c>
      <c r="K703">
        <v>1</v>
      </c>
      <c r="L703" t="s">
        <v>21</v>
      </c>
      <c r="M703">
        <v>71</v>
      </c>
      <c r="N703" s="18" t="str">
        <f t="shared" si="30"/>
        <v>60+</v>
      </c>
      <c r="O703" s="12">
        <f t="shared" si="31"/>
        <v>1824.5500000000002</v>
      </c>
      <c r="P703" s="12">
        <f t="shared" si="32"/>
        <v>547.36500000000001</v>
      </c>
      <c r="X703" s="14" t="s">
        <v>548</v>
      </c>
      <c r="Y703" s="19">
        <v>1552</v>
      </c>
    </row>
    <row r="704" spans="1:25" x14ac:dyDescent="0.3">
      <c r="A704">
        <v>59486</v>
      </c>
      <c r="B704" s="1">
        <v>45625</v>
      </c>
      <c r="C704">
        <v>327</v>
      </c>
      <c r="D704">
        <v>30</v>
      </c>
      <c r="E704" t="s">
        <v>37</v>
      </c>
      <c r="F704" t="s">
        <v>68</v>
      </c>
      <c r="G704">
        <v>5</v>
      </c>
      <c r="H704">
        <v>475.62</v>
      </c>
      <c r="I704" t="s">
        <v>26</v>
      </c>
      <c r="J704" t="s">
        <v>520</v>
      </c>
      <c r="K704">
        <v>4</v>
      </c>
      <c r="L704" t="s">
        <v>17</v>
      </c>
      <c r="M704">
        <v>61</v>
      </c>
      <c r="N704" s="18" t="str">
        <f t="shared" si="30"/>
        <v>60+</v>
      </c>
      <c r="O704" s="12">
        <f t="shared" si="31"/>
        <v>2378.1</v>
      </c>
      <c r="P704" s="12">
        <f t="shared" si="32"/>
        <v>713.43</v>
      </c>
      <c r="X704" s="14" t="s">
        <v>358</v>
      </c>
      <c r="Y704" s="19">
        <v>467.54</v>
      </c>
    </row>
    <row r="705" spans="1:25" x14ac:dyDescent="0.3">
      <c r="A705">
        <v>77096</v>
      </c>
      <c r="B705" s="1">
        <v>45626</v>
      </c>
      <c r="C705">
        <v>369</v>
      </c>
      <c r="D705">
        <v>50</v>
      </c>
      <c r="E705" t="s">
        <v>18</v>
      </c>
      <c r="F705" t="s">
        <v>84</v>
      </c>
      <c r="G705">
        <v>4</v>
      </c>
      <c r="H705">
        <v>83.08</v>
      </c>
      <c r="I705" t="s">
        <v>15</v>
      </c>
      <c r="J705" t="s">
        <v>682</v>
      </c>
      <c r="K705">
        <v>5</v>
      </c>
      <c r="L705" t="s">
        <v>21</v>
      </c>
      <c r="M705">
        <v>22</v>
      </c>
      <c r="N705" s="18" t="str">
        <f t="shared" si="30"/>
        <v>18-30</v>
      </c>
      <c r="O705" s="12">
        <f t="shared" si="31"/>
        <v>332.32</v>
      </c>
      <c r="P705" s="12">
        <f t="shared" si="32"/>
        <v>99.695999999999998</v>
      </c>
      <c r="X705" s="14" t="s">
        <v>715</v>
      </c>
      <c r="Y705" s="19">
        <v>275.82</v>
      </c>
    </row>
    <row r="706" spans="1:25" x14ac:dyDescent="0.3">
      <c r="A706">
        <v>67215</v>
      </c>
      <c r="B706" s="1">
        <v>45628</v>
      </c>
      <c r="C706">
        <v>912</v>
      </c>
      <c r="D706">
        <v>20</v>
      </c>
      <c r="E706" t="s">
        <v>28</v>
      </c>
      <c r="F706" t="s">
        <v>77</v>
      </c>
      <c r="G706">
        <v>1</v>
      </c>
      <c r="H706">
        <v>242.04</v>
      </c>
      <c r="I706" t="s">
        <v>15</v>
      </c>
      <c r="J706" t="s">
        <v>146</v>
      </c>
      <c r="K706">
        <v>4</v>
      </c>
      <c r="L706" t="s">
        <v>21</v>
      </c>
      <c r="M706">
        <v>71</v>
      </c>
      <c r="N706" s="18" t="str">
        <f t="shared" si="30"/>
        <v>60+</v>
      </c>
      <c r="O706" s="12">
        <f t="shared" si="31"/>
        <v>242.04</v>
      </c>
      <c r="P706" s="12">
        <f t="shared" si="32"/>
        <v>72.611999999999995</v>
      </c>
      <c r="X706" s="14" t="s">
        <v>939</v>
      </c>
      <c r="Y706" s="19">
        <v>274.74</v>
      </c>
    </row>
    <row r="707" spans="1:25" x14ac:dyDescent="0.3">
      <c r="A707">
        <v>23807</v>
      </c>
      <c r="B707" s="1">
        <v>45628</v>
      </c>
      <c r="C707">
        <v>547</v>
      </c>
      <c r="D707">
        <v>40</v>
      </c>
      <c r="E707" t="s">
        <v>24</v>
      </c>
      <c r="F707" t="s">
        <v>44</v>
      </c>
      <c r="G707">
        <v>5</v>
      </c>
      <c r="H707">
        <v>397.63</v>
      </c>
      <c r="I707" t="s">
        <v>15</v>
      </c>
      <c r="J707" t="s">
        <v>534</v>
      </c>
      <c r="K707">
        <v>2</v>
      </c>
      <c r="L707" t="s">
        <v>21</v>
      </c>
      <c r="M707">
        <v>53</v>
      </c>
      <c r="N707" s="18" t="str">
        <f t="shared" ref="N707:N770" si="33">IF(M707&lt;=30,"18-30",IF(M707&lt;=45,"31-45",IF(M707&lt;=60,"46-60","60+")))</f>
        <v>46-60</v>
      </c>
      <c r="O707" s="12">
        <f t="shared" ref="O707:O770" si="34">H707*G707</f>
        <v>1988.15</v>
      </c>
      <c r="P707" s="12">
        <f t="shared" ref="P707:P770" si="35">O707*0.3</f>
        <v>596.44500000000005</v>
      </c>
      <c r="X707" s="14" t="s">
        <v>348</v>
      </c>
      <c r="Y707" s="19">
        <v>111.56</v>
      </c>
    </row>
    <row r="708" spans="1:25" x14ac:dyDescent="0.3">
      <c r="A708">
        <v>87140</v>
      </c>
      <c r="B708" s="1">
        <v>45628</v>
      </c>
      <c r="C708">
        <v>977</v>
      </c>
      <c r="D708">
        <v>30</v>
      </c>
      <c r="E708" t="s">
        <v>37</v>
      </c>
      <c r="F708" t="s">
        <v>40</v>
      </c>
      <c r="G708">
        <v>3</v>
      </c>
      <c r="H708">
        <v>83.47</v>
      </c>
      <c r="I708" t="s">
        <v>15</v>
      </c>
      <c r="J708" t="s">
        <v>316</v>
      </c>
      <c r="K708">
        <v>5</v>
      </c>
      <c r="L708" t="s">
        <v>17</v>
      </c>
      <c r="M708">
        <v>28</v>
      </c>
      <c r="N708" s="18" t="str">
        <f t="shared" si="33"/>
        <v>18-30</v>
      </c>
      <c r="O708" s="12">
        <f t="shared" si="34"/>
        <v>250.41</v>
      </c>
      <c r="P708" s="12">
        <f t="shared" si="35"/>
        <v>75.12299999999999</v>
      </c>
      <c r="X708" s="14" t="s">
        <v>135</v>
      </c>
      <c r="Y708" s="19">
        <v>1379.4</v>
      </c>
    </row>
    <row r="709" spans="1:25" x14ac:dyDescent="0.3">
      <c r="A709">
        <v>29989</v>
      </c>
      <c r="B709" s="1">
        <v>45629</v>
      </c>
      <c r="C709">
        <v>829</v>
      </c>
      <c r="D709">
        <v>10</v>
      </c>
      <c r="E709" t="s">
        <v>13</v>
      </c>
      <c r="F709" t="s">
        <v>14</v>
      </c>
      <c r="G709">
        <v>4</v>
      </c>
      <c r="H709">
        <v>196.16</v>
      </c>
      <c r="I709" t="s">
        <v>26</v>
      </c>
      <c r="J709" t="s">
        <v>31</v>
      </c>
      <c r="K709">
        <v>5</v>
      </c>
      <c r="L709" t="s">
        <v>17</v>
      </c>
      <c r="M709">
        <v>21</v>
      </c>
      <c r="N709" s="18" t="str">
        <f t="shared" si="33"/>
        <v>18-30</v>
      </c>
      <c r="O709" s="12">
        <f t="shared" si="34"/>
        <v>784.64</v>
      </c>
      <c r="P709" s="12">
        <f t="shared" si="35"/>
        <v>235.392</v>
      </c>
      <c r="X709" s="14" t="s">
        <v>102</v>
      </c>
      <c r="Y709" s="19">
        <v>1067.3399999999999</v>
      </c>
    </row>
    <row r="710" spans="1:25" x14ac:dyDescent="0.3">
      <c r="A710">
        <v>61360</v>
      </c>
      <c r="B710" s="1">
        <v>45629</v>
      </c>
      <c r="C710">
        <v>544</v>
      </c>
      <c r="D710">
        <v>10</v>
      </c>
      <c r="E710" t="s">
        <v>13</v>
      </c>
      <c r="F710" t="s">
        <v>47</v>
      </c>
      <c r="G710">
        <v>3</v>
      </c>
      <c r="H710">
        <v>457.44</v>
      </c>
      <c r="I710" t="s">
        <v>35</v>
      </c>
      <c r="J710" t="s">
        <v>48</v>
      </c>
      <c r="K710">
        <v>5</v>
      </c>
      <c r="L710" t="s">
        <v>21</v>
      </c>
      <c r="M710">
        <v>60</v>
      </c>
      <c r="N710" s="18" t="str">
        <f t="shared" si="33"/>
        <v>46-60</v>
      </c>
      <c r="O710" s="12">
        <f t="shared" si="34"/>
        <v>1372.32</v>
      </c>
      <c r="P710" s="12">
        <f t="shared" si="35"/>
        <v>411.69599999999997</v>
      </c>
      <c r="X710" s="14" t="s">
        <v>342</v>
      </c>
      <c r="Y710" s="19">
        <v>633.87</v>
      </c>
    </row>
    <row r="711" spans="1:25" x14ac:dyDescent="0.3">
      <c r="A711">
        <v>75434</v>
      </c>
      <c r="B711" s="1">
        <v>45629</v>
      </c>
      <c r="C711">
        <v>775</v>
      </c>
      <c r="D711">
        <v>10</v>
      </c>
      <c r="E711" t="s">
        <v>13</v>
      </c>
      <c r="F711" t="s">
        <v>47</v>
      </c>
      <c r="G711">
        <v>3</v>
      </c>
      <c r="H711">
        <v>256.12</v>
      </c>
      <c r="I711" t="s">
        <v>35</v>
      </c>
      <c r="J711" t="s">
        <v>204</v>
      </c>
      <c r="K711">
        <v>3</v>
      </c>
      <c r="L711" t="s">
        <v>21</v>
      </c>
      <c r="M711">
        <v>21</v>
      </c>
      <c r="N711" s="18" t="str">
        <f t="shared" si="33"/>
        <v>18-30</v>
      </c>
      <c r="O711" s="12">
        <f t="shared" si="34"/>
        <v>768.36</v>
      </c>
      <c r="P711" s="12">
        <f t="shared" si="35"/>
        <v>230.50799999999998</v>
      </c>
      <c r="X711" s="14" t="s">
        <v>314</v>
      </c>
      <c r="Y711" s="19">
        <v>1158.52</v>
      </c>
    </row>
    <row r="712" spans="1:25" x14ac:dyDescent="0.3">
      <c r="A712">
        <v>16119</v>
      </c>
      <c r="B712" s="1">
        <v>45629</v>
      </c>
      <c r="C712">
        <v>628</v>
      </c>
      <c r="D712">
        <v>20</v>
      </c>
      <c r="E712" t="s">
        <v>28</v>
      </c>
      <c r="F712" t="s">
        <v>77</v>
      </c>
      <c r="G712">
        <v>1</v>
      </c>
      <c r="H712">
        <v>71.83</v>
      </c>
      <c r="I712" t="s">
        <v>26</v>
      </c>
      <c r="J712" t="s">
        <v>624</v>
      </c>
      <c r="L712" t="s">
        <v>17</v>
      </c>
      <c r="M712">
        <v>28</v>
      </c>
      <c r="N712" s="18" t="str">
        <f t="shared" si="33"/>
        <v>18-30</v>
      </c>
      <c r="O712" s="12">
        <f t="shared" si="34"/>
        <v>71.83</v>
      </c>
      <c r="P712" s="12">
        <f t="shared" si="35"/>
        <v>21.548999999999999</v>
      </c>
      <c r="X712" s="14" t="s">
        <v>517</v>
      </c>
      <c r="Y712" s="19">
        <v>132.34</v>
      </c>
    </row>
    <row r="713" spans="1:25" x14ac:dyDescent="0.3">
      <c r="A713">
        <v>69355</v>
      </c>
      <c r="B713" s="1">
        <v>45630</v>
      </c>
      <c r="C713">
        <v>683</v>
      </c>
      <c r="D713">
        <v>30</v>
      </c>
      <c r="E713" t="s">
        <v>37</v>
      </c>
      <c r="F713" t="s">
        <v>95</v>
      </c>
      <c r="G713">
        <v>1</v>
      </c>
      <c r="H713">
        <v>404.07</v>
      </c>
      <c r="I713" t="s">
        <v>26</v>
      </c>
      <c r="J713" t="s">
        <v>225</v>
      </c>
      <c r="K713">
        <v>5</v>
      </c>
      <c r="L713" t="s">
        <v>21</v>
      </c>
      <c r="M713">
        <v>18</v>
      </c>
      <c r="N713" s="18" t="str">
        <f t="shared" si="33"/>
        <v>18-30</v>
      </c>
      <c r="O713" s="12">
        <f t="shared" si="34"/>
        <v>404.07</v>
      </c>
      <c r="P713" s="12">
        <f t="shared" si="35"/>
        <v>121.22099999999999</v>
      </c>
      <c r="X713" s="14" t="s">
        <v>705</v>
      </c>
      <c r="Y713" s="19">
        <v>329.35</v>
      </c>
    </row>
    <row r="714" spans="1:25" x14ac:dyDescent="0.3">
      <c r="A714">
        <v>55134</v>
      </c>
      <c r="B714" s="1">
        <v>45630</v>
      </c>
      <c r="C714">
        <v>837</v>
      </c>
      <c r="D714">
        <v>50</v>
      </c>
      <c r="E714" t="s">
        <v>18</v>
      </c>
      <c r="F714" t="s">
        <v>87</v>
      </c>
      <c r="G714">
        <v>4</v>
      </c>
      <c r="H714">
        <v>487.21</v>
      </c>
      <c r="I714" t="s">
        <v>26</v>
      </c>
      <c r="J714" t="s">
        <v>997</v>
      </c>
      <c r="L714" t="s">
        <v>21</v>
      </c>
      <c r="M714">
        <v>46</v>
      </c>
      <c r="N714" s="18" t="str">
        <f t="shared" si="33"/>
        <v>46-60</v>
      </c>
      <c r="O714" s="12">
        <f t="shared" si="34"/>
        <v>1948.84</v>
      </c>
      <c r="P714" s="12">
        <f t="shared" si="35"/>
        <v>584.65199999999993</v>
      </c>
      <c r="X714" s="14" t="s">
        <v>347</v>
      </c>
      <c r="Y714" s="19">
        <v>1284.72</v>
      </c>
    </row>
    <row r="715" spans="1:25" x14ac:dyDescent="0.3">
      <c r="A715">
        <v>93992</v>
      </c>
      <c r="B715" s="1">
        <v>45631</v>
      </c>
      <c r="C715">
        <v>853</v>
      </c>
      <c r="D715">
        <v>30</v>
      </c>
      <c r="E715" t="s">
        <v>37</v>
      </c>
      <c r="F715" t="s">
        <v>38</v>
      </c>
      <c r="G715">
        <v>1</v>
      </c>
      <c r="H715">
        <v>153.82</v>
      </c>
      <c r="I715" t="s">
        <v>15</v>
      </c>
      <c r="J715" t="s">
        <v>57</v>
      </c>
      <c r="K715">
        <v>4</v>
      </c>
      <c r="M715">
        <v>29</v>
      </c>
      <c r="N715" s="18" t="str">
        <f t="shared" si="33"/>
        <v>18-30</v>
      </c>
      <c r="O715" s="12">
        <f t="shared" si="34"/>
        <v>153.82</v>
      </c>
      <c r="P715" s="12">
        <f t="shared" si="35"/>
        <v>46.145999999999994</v>
      </c>
      <c r="X715" s="14" t="s">
        <v>699</v>
      </c>
      <c r="Y715" s="19">
        <v>650.46</v>
      </c>
    </row>
    <row r="716" spans="1:25" x14ac:dyDescent="0.3">
      <c r="A716">
        <v>77884</v>
      </c>
      <c r="B716" s="1">
        <v>45631</v>
      </c>
      <c r="C716">
        <v>620</v>
      </c>
      <c r="D716">
        <v>20</v>
      </c>
      <c r="E716" t="s">
        <v>28</v>
      </c>
      <c r="F716" t="s">
        <v>79</v>
      </c>
      <c r="G716">
        <v>3</v>
      </c>
      <c r="H716">
        <v>145.36000000000001</v>
      </c>
      <c r="I716" t="s">
        <v>26</v>
      </c>
      <c r="J716" t="s">
        <v>198</v>
      </c>
      <c r="K716">
        <v>3</v>
      </c>
      <c r="L716" t="s">
        <v>17</v>
      </c>
      <c r="M716">
        <v>41</v>
      </c>
      <c r="N716" s="18" t="str">
        <f t="shared" si="33"/>
        <v>31-45</v>
      </c>
      <c r="O716" s="12">
        <f t="shared" si="34"/>
        <v>436.08000000000004</v>
      </c>
      <c r="P716" s="12">
        <f t="shared" si="35"/>
        <v>130.82400000000001</v>
      </c>
      <c r="X716" s="14" t="s">
        <v>673</v>
      </c>
      <c r="Y716" s="19">
        <v>1318.53</v>
      </c>
    </row>
    <row r="717" spans="1:25" x14ac:dyDescent="0.3">
      <c r="A717">
        <v>32787</v>
      </c>
      <c r="B717" s="1">
        <v>45631</v>
      </c>
      <c r="C717">
        <v>359</v>
      </c>
      <c r="D717">
        <v>50</v>
      </c>
      <c r="E717" t="s">
        <v>18</v>
      </c>
      <c r="F717" t="s">
        <v>22</v>
      </c>
      <c r="G717">
        <v>5</v>
      </c>
      <c r="H717">
        <v>88.57</v>
      </c>
      <c r="I717" t="s">
        <v>35</v>
      </c>
      <c r="J717" t="s">
        <v>870</v>
      </c>
      <c r="L717" t="s">
        <v>21</v>
      </c>
      <c r="M717">
        <v>28</v>
      </c>
      <c r="N717" s="18" t="str">
        <f t="shared" si="33"/>
        <v>18-30</v>
      </c>
      <c r="O717" s="12">
        <f t="shared" si="34"/>
        <v>442.84999999999997</v>
      </c>
      <c r="P717" s="12">
        <f t="shared" si="35"/>
        <v>132.85499999999999</v>
      </c>
      <c r="X717" s="14" t="s">
        <v>766</v>
      </c>
      <c r="Y717" s="19">
        <v>410.45</v>
      </c>
    </row>
    <row r="718" spans="1:25" x14ac:dyDescent="0.3">
      <c r="A718">
        <v>95980</v>
      </c>
      <c r="B718" s="1">
        <v>45632</v>
      </c>
      <c r="C718">
        <v>804</v>
      </c>
      <c r="D718">
        <v>40</v>
      </c>
      <c r="E718" t="s">
        <v>24</v>
      </c>
      <c r="F718" t="s">
        <v>49</v>
      </c>
      <c r="G718">
        <v>1</v>
      </c>
      <c r="H718">
        <v>106.07</v>
      </c>
      <c r="I718" t="s">
        <v>35</v>
      </c>
      <c r="J718" t="s">
        <v>820</v>
      </c>
      <c r="L718" t="s">
        <v>17</v>
      </c>
      <c r="M718">
        <v>75</v>
      </c>
      <c r="N718" s="18" t="str">
        <f t="shared" si="33"/>
        <v>60+</v>
      </c>
      <c r="O718" s="12">
        <f t="shared" si="34"/>
        <v>106.07</v>
      </c>
      <c r="P718" s="12">
        <f t="shared" si="35"/>
        <v>31.820999999999998</v>
      </c>
      <c r="X718" s="14" t="s">
        <v>455</v>
      </c>
      <c r="Y718" s="19">
        <v>428.52</v>
      </c>
    </row>
    <row r="719" spans="1:25" x14ac:dyDescent="0.3">
      <c r="A719">
        <v>97281</v>
      </c>
      <c r="B719" s="1">
        <v>45633</v>
      </c>
      <c r="C719">
        <v>450</v>
      </c>
      <c r="D719">
        <v>30</v>
      </c>
      <c r="E719" t="s">
        <v>37</v>
      </c>
      <c r="F719" t="s">
        <v>40</v>
      </c>
      <c r="G719">
        <v>4</v>
      </c>
      <c r="H719">
        <v>289.63</v>
      </c>
      <c r="I719" t="s">
        <v>15</v>
      </c>
      <c r="J719" t="s">
        <v>314</v>
      </c>
      <c r="K719">
        <v>5</v>
      </c>
      <c r="L719" t="s">
        <v>21</v>
      </c>
      <c r="M719">
        <v>32</v>
      </c>
      <c r="N719" s="18" t="str">
        <f t="shared" si="33"/>
        <v>31-45</v>
      </c>
      <c r="O719" s="12">
        <f t="shared" si="34"/>
        <v>1158.52</v>
      </c>
      <c r="P719" s="12">
        <f t="shared" si="35"/>
        <v>347.55599999999998</v>
      </c>
      <c r="X719" s="14" t="s">
        <v>351</v>
      </c>
      <c r="Y719" s="19">
        <v>329.05</v>
      </c>
    </row>
    <row r="720" spans="1:25" x14ac:dyDescent="0.3">
      <c r="A720">
        <v>61329</v>
      </c>
      <c r="B720" s="1">
        <v>45633</v>
      </c>
      <c r="C720">
        <v>311</v>
      </c>
      <c r="D720">
        <v>10</v>
      </c>
      <c r="E720" t="s">
        <v>13</v>
      </c>
      <c r="F720" t="s">
        <v>47</v>
      </c>
      <c r="G720">
        <v>2</v>
      </c>
      <c r="H720">
        <v>50.52</v>
      </c>
      <c r="I720" t="s">
        <v>26</v>
      </c>
      <c r="J720" t="s">
        <v>453</v>
      </c>
      <c r="K720">
        <v>5</v>
      </c>
      <c r="L720" t="s">
        <v>21</v>
      </c>
      <c r="M720">
        <v>74</v>
      </c>
      <c r="N720" s="18" t="str">
        <f t="shared" si="33"/>
        <v>60+</v>
      </c>
      <c r="O720" s="12">
        <f t="shared" si="34"/>
        <v>101.04</v>
      </c>
      <c r="P720" s="12">
        <f t="shared" si="35"/>
        <v>30.312000000000001</v>
      </c>
      <c r="X720" s="14" t="s">
        <v>472</v>
      </c>
      <c r="Y720" s="19">
        <v>936.51</v>
      </c>
    </row>
    <row r="721" spans="1:25" x14ac:dyDescent="0.3">
      <c r="A721">
        <v>89104</v>
      </c>
      <c r="B721" s="1">
        <v>45633</v>
      </c>
      <c r="C721">
        <v>358</v>
      </c>
      <c r="D721">
        <v>40</v>
      </c>
      <c r="E721" t="s">
        <v>24</v>
      </c>
      <c r="F721" t="s">
        <v>44</v>
      </c>
      <c r="G721">
        <v>3</v>
      </c>
      <c r="H721">
        <v>284.47000000000003</v>
      </c>
      <c r="I721" t="s">
        <v>35</v>
      </c>
      <c r="J721" t="s">
        <v>704</v>
      </c>
      <c r="K721">
        <v>4</v>
      </c>
      <c r="L721" t="s">
        <v>17</v>
      </c>
      <c r="M721">
        <v>55</v>
      </c>
      <c r="N721" s="18" t="str">
        <f t="shared" si="33"/>
        <v>46-60</v>
      </c>
      <c r="O721" s="12">
        <f t="shared" si="34"/>
        <v>853.41000000000008</v>
      </c>
      <c r="P721" s="12">
        <f t="shared" si="35"/>
        <v>256.02300000000002</v>
      </c>
      <c r="X721" s="14" t="s">
        <v>627</v>
      </c>
      <c r="Y721" s="19">
        <v>130.26</v>
      </c>
    </row>
    <row r="722" spans="1:25" x14ac:dyDescent="0.3">
      <c r="A722">
        <v>29306</v>
      </c>
      <c r="B722" s="1">
        <v>45633</v>
      </c>
      <c r="C722">
        <v>162</v>
      </c>
      <c r="D722">
        <v>50</v>
      </c>
      <c r="E722" t="s">
        <v>18</v>
      </c>
      <c r="F722" t="s">
        <v>34</v>
      </c>
      <c r="G722">
        <v>3</v>
      </c>
      <c r="H722">
        <v>358.82</v>
      </c>
      <c r="I722" t="s">
        <v>35</v>
      </c>
      <c r="J722" t="s">
        <v>714</v>
      </c>
      <c r="K722">
        <v>5</v>
      </c>
      <c r="L722" t="s">
        <v>21</v>
      </c>
      <c r="M722">
        <v>41</v>
      </c>
      <c r="N722" s="18" t="str">
        <f t="shared" si="33"/>
        <v>31-45</v>
      </c>
      <c r="O722" s="12">
        <f t="shared" si="34"/>
        <v>1076.46</v>
      </c>
      <c r="P722" s="12">
        <f t="shared" si="35"/>
        <v>322.93799999999999</v>
      </c>
      <c r="X722" s="14" t="s">
        <v>883</v>
      </c>
      <c r="Y722" s="19">
        <v>370.8</v>
      </c>
    </row>
    <row r="723" spans="1:25" x14ac:dyDescent="0.3">
      <c r="A723">
        <v>64649</v>
      </c>
      <c r="B723" s="1">
        <v>45633</v>
      </c>
      <c r="C723">
        <v>438</v>
      </c>
      <c r="D723">
        <v>40</v>
      </c>
      <c r="E723" t="s">
        <v>24</v>
      </c>
      <c r="F723" t="s">
        <v>44</v>
      </c>
      <c r="G723">
        <v>5</v>
      </c>
      <c r="H723">
        <v>132.97999999999999</v>
      </c>
      <c r="I723" t="s">
        <v>35</v>
      </c>
      <c r="J723" t="s">
        <v>822</v>
      </c>
      <c r="L723" t="s">
        <v>21</v>
      </c>
      <c r="M723">
        <v>45</v>
      </c>
      <c r="N723" s="18" t="str">
        <f t="shared" si="33"/>
        <v>31-45</v>
      </c>
      <c r="O723" s="12">
        <f t="shared" si="34"/>
        <v>664.9</v>
      </c>
      <c r="P723" s="12">
        <f t="shared" si="35"/>
        <v>199.47</v>
      </c>
      <c r="X723" s="14" t="s">
        <v>884</v>
      </c>
      <c r="Y723" s="19">
        <v>1194.93</v>
      </c>
    </row>
    <row r="724" spans="1:25" x14ac:dyDescent="0.3">
      <c r="A724">
        <v>15545</v>
      </c>
      <c r="B724" s="1">
        <v>45634</v>
      </c>
      <c r="C724">
        <v>128</v>
      </c>
      <c r="D724">
        <v>40</v>
      </c>
      <c r="E724" t="s">
        <v>24</v>
      </c>
      <c r="F724" t="s">
        <v>49</v>
      </c>
      <c r="G724">
        <v>2</v>
      </c>
      <c r="H724">
        <v>475.77</v>
      </c>
      <c r="I724" t="s">
        <v>26</v>
      </c>
      <c r="J724" t="s">
        <v>234</v>
      </c>
      <c r="L724" t="s">
        <v>17</v>
      </c>
      <c r="M724">
        <v>65</v>
      </c>
      <c r="N724" s="18" t="str">
        <f t="shared" si="33"/>
        <v>60+</v>
      </c>
      <c r="O724" s="12">
        <f t="shared" si="34"/>
        <v>951.54</v>
      </c>
      <c r="P724" s="12">
        <f t="shared" si="35"/>
        <v>285.46199999999999</v>
      </c>
      <c r="X724" s="14" t="s">
        <v>156</v>
      </c>
      <c r="Y724" s="19">
        <v>440.01</v>
      </c>
    </row>
    <row r="725" spans="1:25" x14ac:dyDescent="0.3">
      <c r="A725">
        <v>55426</v>
      </c>
      <c r="B725" s="1">
        <v>45634</v>
      </c>
      <c r="C725">
        <v>139</v>
      </c>
      <c r="D725">
        <v>50</v>
      </c>
      <c r="E725" t="s">
        <v>18</v>
      </c>
      <c r="F725" t="s">
        <v>84</v>
      </c>
      <c r="G725">
        <v>5</v>
      </c>
      <c r="H725">
        <v>448.92</v>
      </c>
      <c r="I725" t="s">
        <v>26</v>
      </c>
      <c r="J725" t="s">
        <v>383</v>
      </c>
      <c r="K725">
        <v>5</v>
      </c>
      <c r="M725">
        <v>69</v>
      </c>
      <c r="N725" s="18" t="str">
        <f t="shared" si="33"/>
        <v>60+</v>
      </c>
      <c r="O725" s="12">
        <f t="shared" si="34"/>
        <v>2244.6</v>
      </c>
      <c r="P725" s="12">
        <f t="shared" si="35"/>
        <v>673.38</v>
      </c>
      <c r="X725" s="14" t="s">
        <v>874</v>
      </c>
      <c r="Y725" s="19">
        <v>931.17</v>
      </c>
    </row>
    <row r="726" spans="1:25" x14ac:dyDescent="0.3">
      <c r="A726">
        <v>58368</v>
      </c>
      <c r="B726" s="1">
        <v>45634</v>
      </c>
      <c r="C726">
        <v>522</v>
      </c>
      <c r="D726">
        <v>20</v>
      </c>
      <c r="E726" t="s">
        <v>28</v>
      </c>
      <c r="F726" t="s">
        <v>72</v>
      </c>
      <c r="G726">
        <v>3</v>
      </c>
      <c r="H726">
        <v>162.83000000000001</v>
      </c>
      <c r="I726" t="s">
        <v>26</v>
      </c>
      <c r="J726" t="s">
        <v>489</v>
      </c>
      <c r="K726">
        <v>5</v>
      </c>
      <c r="L726" t="s">
        <v>17</v>
      </c>
      <c r="M726">
        <v>23</v>
      </c>
      <c r="N726" s="18" t="str">
        <f t="shared" si="33"/>
        <v>18-30</v>
      </c>
      <c r="O726" s="12">
        <f t="shared" si="34"/>
        <v>488.49</v>
      </c>
      <c r="P726" s="12">
        <f t="shared" si="35"/>
        <v>146.547</v>
      </c>
      <c r="X726" s="14" t="s">
        <v>659</v>
      </c>
      <c r="Y726" s="19">
        <v>1337.46</v>
      </c>
    </row>
    <row r="727" spans="1:25" x14ac:dyDescent="0.3">
      <c r="A727">
        <v>54614</v>
      </c>
      <c r="B727" s="1">
        <v>45636</v>
      </c>
      <c r="C727">
        <v>704</v>
      </c>
      <c r="D727">
        <v>40</v>
      </c>
      <c r="E727" t="s">
        <v>24</v>
      </c>
      <c r="F727" t="s">
        <v>63</v>
      </c>
      <c r="G727">
        <v>1</v>
      </c>
      <c r="H727">
        <v>55.6</v>
      </c>
      <c r="I727" t="s">
        <v>15</v>
      </c>
      <c r="J727" t="s">
        <v>161</v>
      </c>
      <c r="K727">
        <v>4</v>
      </c>
      <c r="L727" t="s">
        <v>21</v>
      </c>
      <c r="M727">
        <v>61</v>
      </c>
      <c r="N727" s="18" t="str">
        <f t="shared" si="33"/>
        <v>60+</v>
      </c>
      <c r="O727" s="12">
        <f t="shared" si="34"/>
        <v>55.6</v>
      </c>
      <c r="P727" s="12">
        <f t="shared" si="35"/>
        <v>16.68</v>
      </c>
      <c r="X727" s="14" t="s">
        <v>477</v>
      </c>
      <c r="Y727" s="19">
        <v>971.35</v>
      </c>
    </row>
    <row r="728" spans="1:25" x14ac:dyDescent="0.3">
      <c r="A728">
        <v>38547</v>
      </c>
      <c r="B728" s="1">
        <v>45636</v>
      </c>
      <c r="C728">
        <v>486</v>
      </c>
      <c r="D728">
        <v>30</v>
      </c>
      <c r="E728" t="s">
        <v>37</v>
      </c>
      <c r="F728" t="s">
        <v>58</v>
      </c>
      <c r="G728">
        <v>3</v>
      </c>
      <c r="H728">
        <v>474.17</v>
      </c>
      <c r="I728" t="s">
        <v>15</v>
      </c>
      <c r="J728" t="s">
        <v>475</v>
      </c>
      <c r="K728">
        <v>4</v>
      </c>
      <c r="L728" t="s">
        <v>21</v>
      </c>
      <c r="M728">
        <v>61</v>
      </c>
      <c r="N728" s="18" t="str">
        <f t="shared" si="33"/>
        <v>60+</v>
      </c>
      <c r="O728" s="12">
        <f t="shared" si="34"/>
        <v>1422.51</v>
      </c>
      <c r="P728" s="12">
        <f t="shared" si="35"/>
        <v>426.75299999999999</v>
      </c>
      <c r="X728" s="14" t="s">
        <v>293</v>
      </c>
      <c r="Y728" s="19">
        <v>979.65000000000009</v>
      </c>
    </row>
    <row r="729" spans="1:25" x14ac:dyDescent="0.3">
      <c r="A729">
        <v>50139</v>
      </c>
      <c r="B729" s="1">
        <v>45636</v>
      </c>
      <c r="C729">
        <v>905</v>
      </c>
      <c r="D729">
        <v>30</v>
      </c>
      <c r="E729" t="s">
        <v>37</v>
      </c>
      <c r="F729" t="s">
        <v>38</v>
      </c>
      <c r="G729">
        <v>4</v>
      </c>
      <c r="H729">
        <v>388</v>
      </c>
      <c r="I729" t="s">
        <v>15</v>
      </c>
      <c r="J729" t="s">
        <v>548</v>
      </c>
      <c r="K729">
        <v>3</v>
      </c>
      <c r="L729" t="s">
        <v>21</v>
      </c>
      <c r="M729">
        <v>53</v>
      </c>
      <c r="N729" s="18" t="str">
        <f t="shared" si="33"/>
        <v>46-60</v>
      </c>
      <c r="O729" s="12">
        <f t="shared" si="34"/>
        <v>1552</v>
      </c>
      <c r="P729" s="12">
        <f t="shared" si="35"/>
        <v>465.59999999999997</v>
      </c>
      <c r="X729" s="14" t="s">
        <v>201</v>
      </c>
      <c r="Y729" s="19">
        <v>932.48</v>
      </c>
    </row>
    <row r="730" spans="1:25" x14ac:dyDescent="0.3">
      <c r="A730">
        <v>30321</v>
      </c>
      <c r="B730" s="1">
        <v>45637</v>
      </c>
      <c r="C730">
        <v>665</v>
      </c>
      <c r="D730">
        <v>30</v>
      </c>
      <c r="E730" t="s">
        <v>37</v>
      </c>
      <c r="F730" t="s">
        <v>38</v>
      </c>
      <c r="G730">
        <v>3</v>
      </c>
      <c r="H730">
        <v>477.17</v>
      </c>
      <c r="I730" t="s">
        <v>35</v>
      </c>
      <c r="J730" t="s">
        <v>315</v>
      </c>
      <c r="K730">
        <v>4</v>
      </c>
      <c r="M730">
        <v>59</v>
      </c>
      <c r="N730" s="18" t="str">
        <f t="shared" si="33"/>
        <v>46-60</v>
      </c>
      <c r="O730" s="12">
        <f t="shared" si="34"/>
        <v>1431.51</v>
      </c>
      <c r="P730" s="12">
        <f t="shared" si="35"/>
        <v>429.45299999999997</v>
      </c>
      <c r="X730" s="14" t="s">
        <v>626</v>
      </c>
      <c r="Y730" s="19">
        <v>1378.23</v>
      </c>
    </row>
    <row r="731" spans="1:25" x14ac:dyDescent="0.3">
      <c r="A731">
        <v>18191</v>
      </c>
      <c r="B731" s="1">
        <v>45637</v>
      </c>
      <c r="C731">
        <v>355</v>
      </c>
      <c r="D731">
        <v>20</v>
      </c>
      <c r="E731" t="s">
        <v>28</v>
      </c>
      <c r="F731" t="s">
        <v>77</v>
      </c>
      <c r="G731">
        <v>2</v>
      </c>
      <c r="H731">
        <v>433.83</v>
      </c>
      <c r="I731" t="s">
        <v>26</v>
      </c>
      <c r="J731" t="s">
        <v>737</v>
      </c>
      <c r="K731">
        <v>5</v>
      </c>
      <c r="L731" t="s">
        <v>21</v>
      </c>
      <c r="M731">
        <v>26</v>
      </c>
      <c r="N731" s="18" t="str">
        <f t="shared" si="33"/>
        <v>18-30</v>
      </c>
      <c r="O731" s="12">
        <f t="shared" si="34"/>
        <v>867.66</v>
      </c>
      <c r="P731" s="12">
        <f t="shared" si="35"/>
        <v>260.298</v>
      </c>
      <c r="X731" s="14" t="s">
        <v>847</v>
      </c>
      <c r="Y731" s="19">
        <v>1045.01</v>
      </c>
    </row>
    <row r="732" spans="1:25" x14ac:dyDescent="0.3">
      <c r="A732">
        <v>31253</v>
      </c>
      <c r="B732" s="1">
        <v>45637</v>
      </c>
      <c r="C732">
        <v>226</v>
      </c>
      <c r="D732">
        <v>40</v>
      </c>
      <c r="E732" t="s">
        <v>24</v>
      </c>
      <c r="F732" t="s">
        <v>25</v>
      </c>
      <c r="G732">
        <v>3</v>
      </c>
      <c r="H732">
        <v>428.95</v>
      </c>
      <c r="I732" t="s">
        <v>35</v>
      </c>
      <c r="J732" t="s">
        <v>789</v>
      </c>
      <c r="L732" t="s">
        <v>21</v>
      </c>
      <c r="M732">
        <v>43</v>
      </c>
      <c r="N732" s="18" t="str">
        <f t="shared" si="33"/>
        <v>31-45</v>
      </c>
      <c r="O732" s="12">
        <f t="shared" si="34"/>
        <v>1286.8499999999999</v>
      </c>
      <c r="P732" s="12">
        <f t="shared" si="35"/>
        <v>386.05499999999995</v>
      </c>
      <c r="X732" s="14" t="s">
        <v>194</v>
      </c>
      <c r="Y732" s="19">
        <v>83.5</v>
      </c>
    </row>
    <row r="733" spans="1:25" x14ac:dyDescent="0.3">
      <c r="A733">
        <v>76505</v>
      </c>
      <c r="B733" s="1">
        <v>45637</v>
      </c>
      <c r="C733">
        <v>295</v>
      </c>
      <c r="D733">
        <v>40</v>
      </c>
      <c r="E733" t="s">
        <v>24</v>
      </c>
      <c r="F733" t="s">
        <v>65</v>
      </c>
      <c r="G733">
        <v>5</v>
      </c>
      <c r="H733">
        <v>250.07</v>
      </c>
      <c r="I733" t="s">
        <v>26</v>
      </c>
      <c r="J733" t="s">
        <v>933</v>
      </c>
      <c r="K733">
        <v>5</v>
      </c>
      <c r="L733" t="s">
        <v>17</v>
      </c>
      <c r="M733">
        <v>19</v>
      </c>
      <c r="N733" s="18" t="str">
        <f t="shared" si="33"/>
        <v>18-30</v>
      </c>
      <c r="O733" s="12">
        <f t="shared" si="34"/>
        <v>1250.3499999999999</v>
      </c>
      <c r="P733" s="12">
        <f t="shared" si="35"/>
        <v>375.10499999999996</v>
      </c>
      <c r="X733" s="14" t="s">
        <v>418</v>
      </c>
      <c r="Y733" s="19">
        <v>195.85</v>
      </c>
    </row>
    <row r="734" spans="1:25" x14ac:dyDescent="0.3">
      <c r="A734">
        <v>14361</v>
      </c>
      <c r="B734" s="1">
        <v>45638</v>
      </c>
      <c r="C734">
        <v>178</v>
      </c>
      <c r="D734">
        <v>50</v>
      </c>
      <c r="E734" t="s">
        <v>18</v>
      </c>
      <c r="F734" t="s">
        <v>84</v>
      </c>
      <c r="G734">
        <v>4</v>
      </c>
      <c r="H734">
        <v>233.12</v>
      </c>
      <c r="I734" t="s">
        <v>26</v>
      </c>
      <c r="J734" t="s">
        <v>201</v>
      </c>
      <c r="K734">
        <v>5</v>
      </c>
      <c r="M734">
        <v>23</v>
      </c>
      <c r="N734" s="18" t="str">
        <f t="shared" si="33"/>
        <v>18-30</v>
      </c>
      <c r="O734" s="12">
        <f t="shared" si="34"/>
        <v>932.48</v>
      </c>
      <c r="P734" s="12">
        <f t="shared" si="35"/>
        <v>279.74399999999997</v>
      </c>
      <c r="X734" s="14" t="s">
        <v>356</v>
      </c>
      <c r="Y734" s="19">
        <v>642.25</v>
      </c>
    </row>
    <row r="735" spans="1:25" x14ac:dyDescent="0.3">
      <c r="A735">
        <v>57240</v>
      </c>
      <c r="B735" s="1">
        <v>45638</v>
      </c>
      <c r="C735">
        <v>426</v>
      </c>
      <c r="D735">
        <v>10</v>
      </c>
      <c r="E735" t="s">
        <v>13</v>
      </c>
      <c r="F735" t="s">
        <v>32</v>
      </c>
      <c r="G735">
        <v>4</v>
      </c>
      <c r="H735">
        <v>458.08</v>
      </c>
      <c r="I735" t="s">
        <v>35</v>
      </c>
      <c r="J735" t="s">
        <v>435</v>
      </c>
      <c r="K735">
        <v>5</v>
      </c>
      <c r="L735" t="s">
        <v>21</v>
      </c>
      <c r="M735">
        <v>61</v>
      </c>
      <c r="N735" s="18" t="str">
        <f t="shared" si="33"/>
        <v>60+</v>
      </c>
      <c r="O735" s="12">
        <f t="shared" si="34"/>
        <v>1832.32</v>
      </c>
      <c r="P735" s="12">
        <f t="shared" si="35"/>
        <v>549.69599999999991</v>
      </c>
      <c r="X735" s="14" t="s">
        <v>990</v>
      </c>
      <c r="Y735" s="19">
        <v>1152.8800000000001</v>
      </c>
    </row>
    <row r="736" spans="1:25" x14ac:dyDescent="0.3">
      <c r="A736">
        <v>69817</v>
      </c>
      <c r="B736" s="1">
        <v>45638</v>
      </c>
      <c r="C736">
        <v>100</v>
      </c>
      <c r="D736">
        <v>10</v>
      </c>
      <c r="E736" t="s">
        <v>13</v>
      </c>
      <c r="F736" t="s">
        <v>47</v>
      </c>
      <c r="G736">
        <v>4</v>
      </c>
      <c r="H736">
        <v>179.94</v>
      </c>
      <c r="I736" t="s">
        <v>26</v>
      </c>
      <c r="J736" t="s">
        <v>602</v>
      </c>
      <c r="L736" t="s">
        <v>17</v>
      </c>
      <c r="M736">
        <v>18</v>
      </c>
      <c r="N736" s="18" t="str">
        <f t="shared" si="33"/>
        <v>18-30</v>
      </c>
      <c r="O736" s="12">
        <f t="shared" si="34"/>
        <v>719.76</v>
      </c>
      <c r="P736" s="12">
        <f t="shared" si="35"/>
        <v>215.928</v>
      </c>
      <c r="X736" s="14" t="s">
        <v>402</v>
      </c>
      <c r="Y736" s="19">
        <v>121.32</v>
      </c>
    </row>
    <row r="737" spans="1:25" x14ac:dyDescent="0.3">
      <c r="A737">
        <v>55539</v>
      </c>
      <c r="B737" s="1">
        <v>45639</v>
      </c>
      <c r="C737">
        <v>614</v>
      </c>
      <c r="D737">
        <v>10</v>
      </c>
      <c r="E737" t="s">
        <v>13</v>
      </c>
      <c r="F737" t="s">
        <v>47</v>
      </c>
      <c r="G737">
        <v>5</v>
      </c>
      <c r="H737">
        <v>144.94999999999999</v>
      </c>
      <c r="I737" t="s">
        <v>15</v>
      </c>
      <c r="J737" t="s">
        <v>630</v>
      </c>
      <c r="K737">
        <v>5</v>
      </c>
      <c r="L737" t="s">
        <v>17</v>
      </c>
      <c r="M737">
        <v>59</v>
      </c>
      <c r="N737" s="18" t="str">
        <f t="shared" si="33"/>
        <v>46-60</v>
      </c>
      <c r="O737" s="12">
        <f t="shared" si="34"/>
        <v>724.75</v>
      </c>
      <c r="P737" s="12">
        <f t="shared" si="35"/>
        <v>217.42499999999998</v>
      </c>
      <c r="X737" s="14" t="s">
        <v>871</v>
      </c>
      <c r="Y737" s="19">
        <v>189.89</v>
      </c>
    </row>
    <row r="738" spans="1:25" x14ac:dyDescent="0.3">
      <c r="A738">
        <v>88885</v>
      </c>
      <c r="B738" s="1">
        <v>45639</v>
      </c>
      <c r="C738">
        <v>393</v>
      </c>
      <c r="D738">
        <v>10</v>
      </c>
      <c r="E738" t="s">
        <v>13</v>
      </c>
      <c r="F738" t="s">
        <v>111</v>
      </c>
      <c r="G738">
        <v>1</v>
      </c>
      <c r="H738">
        <v>112.93</v>
      </c>
      <c r="I738" t="s">
        <v>35</v>
      </c>
      <c r="J738" t="s">
        <v>746</v>
      </c>
      <c r="K738">
        <v>5</v>
      </c>
      <c r="L738" t="s">
        <v>21</v>
      </c>
      <c r="M738">
        <v>27</v>
      </c>
      <c r="N738" s="18" t="str">
        <f t="shared" si="33"/>
        <v>18-30</v>
      </c>
      <c r="O738" s="12">
        <f t="shared" si="34"/>
        <v>112.93</v>
      </c>
      <c r="P738" s="12">
        <f t="shared" si="35"/>
        <v>33.878999999999998</v>
      </c>
      <c r="X738" s="14" t="s">
        <v>712</v>
      </c>
      <c r="Y738" s="19">
        <v>409.92</v>
      </c>
    </row>
    <row r="739" spans="1:25" x14ac:dyDescent="0.3">
      <c r="A739">
        <v>85139</v>
      </c>
      <c r="B739" s="1">
        <v>45639</v>
      </c>
      <c r="C739">
        <v>844</v>
      </c>
      <c r="D739">
        <v>40</v>
      </c>
      <c r="E739" t="s">
        <v>24</v>
      </c>
      <c r="F739" t="s">
        <v>44</v>
      </c>
      <c r="G739">
        <v>1</v>
      </c>
      <c r="H739">
        <v>312.01</v>
      </c>
      <c r="I739" t="s">
        <v>26</v>
      </c>
      <c r="J739" t="s">
        <v>752</v>
      </c>
      <c r="K739">
        <v>5</v>
      </c>
      <c r="L739" t="s">
        <v>21</v>
      </c>
      <c r="M739">
        <v>57</v>
      </c>
      <c r="N739" s="18" t="str">
        <f t="shared" si="33"/>
        <v>46-60</v>
      </c>
      <c r="O739" s="12">
        <f t="shared" si="34"/>
        <v>312.01</v>
      </c>
      <c r="P739" s="12">
        <f t="shared" si="35"/>
        <v>93.602999999999994</v>
      </c>
      <c r="X739" s="14" t="s">
        <v>577</v>
      </c>
      <c r="Y739" s="19">
        <v>110.14</v>
      </c>
    </row>
    <row r="740" spans="1:25" x14ac:dyDescent="0.3">
      <c r="A740">
        <v>74178</v>
      </c>
      <c r="B740" s="1">
        <v>45639</v>
      </c>
      <c r="C740">
        <v>179</v>
      </c>
      <c r="D740">
        <v>10</v>
      </c>
      <c r="E740" t="s">
        <v>13</v>
      </c>
      <c r="F740" t="s">
        <v>42</v>
      </c>
      <c r="G740">
        <v>1</v>
      </c>
      <c r="H740">
        <v>20.84</v>
      </c>
      <c r="I740" t="s">
        <v>15</v>
      </c>
      <c r="J740" t="s">
        <v>851</v>
      </c>
      <c r="K740">
        <v>2</v>
      </c>
      <c r="L740" t="s">
        <v>21</v>
      </c>
      <c r="M740">
        <v>52</v>
      </c>
      <c r="N740" s="18" t="str">
        <f t="shared" si="33"/>
        <v>46-60</v>
      </c>
      <c r="O740" s="12">
        <f t="shared" si="34"/>
        <v>20.84</v>
      </c>
      <c r="P740" s="12">
        <f t="shared" si="35"/>
        <v>6.2519999999999998</v>
      </c>
      <c r="X740" s="14" t="s">
        <v>918</v>
      </c>
      <c r="Y740" s="19">
        <v>899.59999999999991</v>
      </c>
    </row>
    <row r="741" spans="1:25" x14ac:dyDescent="0.3">
      <c r="A741">
        <v>74956</v>
      </c>
      <c r="B741" s="1">
        <v>45640</v>
      </c>
      <c r="C741">
        <v>204</v>
      </c>
      <c r="D741">
        <v>50</v>
      </c>
      <c r="E741" t="s">
        <v>18</v>
      </c>
      <c r="F741" t="s">
        <v>87</v>
      </c>
      <c r="G741">
        <v>5</v>
      </c>
      <c r="H741">
        <v>93.29</v>
      </c>
      <c r="I741" t="s">
        <v>15</v>
      </c>
      <c r="J741" t="s">
        <v>212</v>
      </c>
      <c r="K741">
        <v>5</v>
      </c>
      <c r="L741" t="s">
        <v>21</v>
      </c>
      <c r="M741">
        <v>58</v>
      </c>
      <c r="N741" s="18" t="str">
        <f t="shared" si="33"/>
        <v>46-60</v>
      </c>
      <c r="O741" s="12">
        <f t="shared" si="34"/>
        <v>466.45000000000005</v>
      </c>
      <c r="P741" s="12">
        <f t="shared" si="35"/>
        <v>139.935</v>
      </c>
      <c r="X741" s="14" t="s">
        <v>974</v>
      </c>
      <c r="Y741" s="19">
        <v>579.54999999999995</v>
      </c>
    </row>
    <row r="742" spans="1:25" x14ac:dyDescent="0.3">
      <c r="A742">
        <v>44994</v>
      </c>
      <c r="B742" s="1">
        <v>45640</v>
      </c>
      <c r="C742">
        <v>879</v>
      </c>
      <c r="D742">
        <v>10</v>
      </c>
      <c r="E742" t="s">
        <v>13</v>
      </c>
      <c r="F742" t="s">
        <v>32</v>
      </c>
      <c r="G742">
        <v>5</v>
      </c>
      <c r="H742">
        <v>269.42</v>
      </c>
      <c r="I742" t="s">
        <v>35</v>
      </c>
      <c r="J742" t="s">
        <v>586</v>
      </c>
      <c r="K742">
        <v>5</v>
      </c>
      <c r="M742">
        <v>42</v>
      </c>
      <c r="N742" s="18" t="str">
        <f t="shared" si="33"/>
        <v>31-45</v>
      </c>
      <c r="O742" s="12">
        <f t="shared" si="34"/>
        <v>1347.1000000000001</v>
      </c>
      <c r="P742" s="12">
        <f t="shared" si="35"/>
        <v>404.13000000000005</v>
      </c>
      <c r="X742" s="14" t="s">
        <v>476</v>
      </c>
      <c r="Y742" s="19">
        <v>764.05</v>
      </c>
    </row>
    <row r="743" spans="1:25" x14ac:dyDescent="0.3">
      <c r="A743">
        <v>68416</v>
      </c>
      <c r="B743" s="1">
        <v>45641</v>
      </c>
      <c r="C743">
        <v>311</v>
      </c>
      <c r="D743">
        <v>20</v>
      </c>
      <c r="E743" t="s">
        <v>28</v>
      </c>
      <c r="F743" t="s">
        <v>29</v>
      </c>
      <c r="G743">
        <v>5</v>
      </c>
      <c r="H743">
        <v>22.15</v>
      </c>
      <c r="I743" t="s">
        <v>35</v>
      </c>
      <c r="J743" t="s">
        <v>107</v>
      </c>
      <c r="K743">
        <v>5</v>
      </c>
      <c r="L743" t="s">
        <v>17</v>
      </c>
      <c r="M743">
        <v>44</v>
      </c>
      <c r="N743" s="18" t="str">
        <f t="shared" si="33"/>
        <v>31-45</v>
      </c>
      <c r="O743" s="12">
        <f t="shared" si="34"/>
        <v>110.75</v>
      </c>
      <c r="P743" s="12">
        <f t="shared" si="35"/>
        <v>33.225000000000001</v>
      </c>
      <c r="X743" s="14" t="s">
        <v>410</v>
      </c>
      <c r="Y743" s="19">
        <v>2031.3</v>
      </c>
    </row>
    <row r="744" spans="1:25" x14ac:dyDescent="0.3">
      <c r="A744">
        <v>13112</v>
      </c>
      <c r="B744" s="1">
        <v>45641</v>
      </c>
      <c r="C744">
        <v>202</v>
      </c>
      <c r="D744">
        <v>10</v>
      </c>
      <c r="E744" t="s">
        <v>13</v>
      </c>
      <c r="F744" t="s">
        <v>111</v>
      </c>
      <c r="G744">
        <v>2</v>
      </c>
      <c r="H744">
        <v>182.06</v>
      </c>
      <c r="I744" t="s">
        <v>35</v>
      </c>
      <c r="J744" t="s">
        <v>112</v>
      </c>
      <c r="K744">
        <v>3</v>
      </c>
      <c r="M744">
        <v>35</v>
      </c>
      <c r="N744" s="18" t="str">
        <f t="shared" si="33"/>
        <v>31-45</v>
      </c>
      <c r="O744" s="12">
        <f t="shared" si="34"/>
        <v>364.12</v>
      </c>
      <c r="P744" s="12">
        <f t="shared" si="35"/>
        <v>109.236</v>
      </c>
      <c r="X744" s="14" t="s">
        <v>707</v>
      </c>
      <c r="Y744" s="19">
        <v>2063.5</v>
      </c>
    </row>
    <row r="745" spans="1:25" x14ac:dyDescent="0.3">
      <c r="A745">
        <v>46326</v>
      </c>
      <c r="B745" s="1">
        <v>45641</v>
      </c>
      <c r="C745">
        <v>625</v>
      </c>
      <c r="D745">
        <v>10</v>
      </c>
      <c r="E745" t="s">
        <v>13</v>
      </c>
      <c r="F745" t="s">
        <v>111</v>
      </c>
      <c r="G745">
        <v>4</v>
      </c>
      <c r="H745">
        <v>427.65</v>
      </c>
      <c r="I745" t="s">
        <v>35</v>
      </c>
      <c r="J745" t="s">
        <v>207</v>
      </c>
      <c r="K745">
        <v>3</v>
      </c>
      <c r="L745" t="s">
        <v>21</v>
      </c>
      <c r="M745">
        <v>31</v>
      </c>
      <c r="N745" s="18" t="str">
        <f t="shared" si="33"/>
        <v>31-45</v>
      </c>
      <c r="O745" s="12">
        <f t="shared" si="34"/>
        <v>1710.6</v>
      </c>
      <c r="P745" s="12">
        <f t="shared" si="35"/>
        <v>513.17999999999995</v>
      </c>
      <c r="X745" s="14" t="s">
        <v>115</v>
      </c>
      <c r="Y745" s="19">
        <v>1535.2</v>
      </c>
    </row>
    <row r="746" spans="1:25" x14ac:dyDescent="0.3">
      <c r="A746">
        <v>82894</v>
      </c>
      <c r="B746" s="1">
        <v>45641</v>
      </c>
      <c r="C746">
        <v>585</v>
      </c>
      <c r="D746">
        <v>20</v>
      </c>
      <c r="E746" t="s">
        <v>28</v>
      </c>
      <c r="F746" t="s">
        <v>51</v>
      </c>
      <c r="G746">
        <v>1</v>
      </c>
      <c r="H746">
        <v>499.23</v>
      </c>
      <c r="I746" t="s">
        <v>26</v>
      </c>
      <c r="J746" t="s">
        <v>885</v>
      </c>
      <c r="K746">
        <v>5</v>
      </c>
      <c r="M746">
        <v>58</v>
      </c>
      <c r="N746" s="18" t="str">
        <f t="shared" si="33"/>
        <v>46-60</v>
      </c>
      <c r="O746" s="12">
        <f t="shared" si="34"/>
        <v>499.23</v>
      </c>
      <c r="P746" s="12">
        <f t="shared" si="35"/>
        <v>149.76900000000001</v>
      </c>
      <c r="X746" s="14" t="s">
        <v>182</v>
      </c>
      <c r="Y746" s="19">
        <v>274.58999999999997</v>
      </c>
    </row>
    <row r="747" spans="1:25" x14ac:dyDescent="0.3">
      <c r="A747">
        <v>57419</v>
      </c>
      <c r="B747" s="1">
        <v>45641</v>
      </c>
      <c r="C747">
        <v>222</v>
      </c>
      <c r="D747">
        <v>10</v>
      </c>
      <c r="E747" t="s">
        <v>13</v>
      </c>
      <c r="F747" t="s">
        <v>32</v>
      </c>
      <c r="G747">
        <v>2</v>
      </c>
      <c r="H747">
        <v>423.22</v>
      </c>
      <c r="I747" t="s">
        <v>15</v>
      </c>
      <c r="J747" t="s">
        <v>957</v>
      </c>
      <c r="K747">
        <v>2</v>
      </c>
      <c r="L747" t="s">
        <v>21</v>
      </c>
      <c r="M747">
        <v>29</v>
      </c>
      <c r="N747" s="18" t="str">
        <f t="shared" si="33"/>
        <v>18-30</v>
      </c>
      <c r="O747" s="12">
        <f t="shared" si="34"/>
        <v>846.44</v>
      </c>
      <c r="P747" s="12">
        <f t="shared" si="35"/>
        <v>253.93200000000002</v>
      </c>
      <c r="X747" s="14" t="s">
        <v>464</v>
      </c>
      <c r="Y747" s="19">
        <v>401.05</v>
      </c>
    </row>
    <row r="748" spans="1:25" x14ac:dyDescent="0.3">
      <c r="A748">
        <v>79928</v>
      </c>
      <c r="B748" s="1">
        <v>45642</v>
      </c>
      <c r="C748">
        <v>246</v>
      </c>
      <c r="D748">
        <v>20</v>
      </c>
      <c r="E748" t="s">
        <v>28</v>
      </c>
      <c r="F748" t="s">
        <v>72</v>
      </c>
      <c r="G748">
        <v>3</v>
      </c>
      <c r="H748">
        <v>30.61</v>
      </c>
      <c r="I748" t="s">
        <v>35</v>
      </c>
      <c r="J748" t="s">
        <v>384</v>
      </c>
      <c r="M748">
        <v>50</v>
      </c>
      <c r="N748" s="18" t="str">
        <f t="shared" si="33"/>
        <v>46-60</v>
      </c>
      <c r="O748" s="12">
        <f t="shared" si="34"/>
        <v>91.83</v>
      </c>
      <c r="P748" s="12">
        <f t="shared" si="35"/>
        <v>27.548999999999999</v>
      </c>
      <c r="X748" s="14" t="s">
        <v>399</v>
      </c>
      <c r="Y748" s="19">
        <v>52.5</v>
      </c>
    </row>
    <row r="749" spans="1:25" x14ac:dyDescent="0.3">
      <c r="A749">
        <v>52647</v>
      </c>
      <c r="B749" s="1">
        <v>45642</v>
      </c>
      <c r="C749">
        <v>806</v>
      </c>
      <c r="D749">
        <v>50</v>
      </c>
      <c r="E749" t="s">
        <v>18</v>
      </c>
      <c r="F749" t="s">
        <v>22</v>
      </c>
      <c r="G749">
        <v>4</v>
      </c>
      <c r="H749">
        <v>433.77</v>
      </c>
      <c r="I749" t="s">
        <v>35</v>
      </c>
      <c r="J749" t="s">
        <v>719</v>
      </c>
      <c r="K749">
        <v>5</v>
      </c>
      <c r="L749" t="s">
        <v>21</v>
      </c>
      <c r="M749">
        <v>43</v>
      </c>
      <c r="N749" s="18" t="str">
        <f t="shared" si="33"/>
        <v>31-45</v>
      </c>
      <c r="O749" s="12">
        <f t="shared" si="34"/>
        <v>1735.08</v>
      </c>
      <c r="P749" s="12">
        <f t="shared" si="35"/>
        <v>520.524</v>
      </c>
      <c r="X749" s="14" t="s">
        <v>352</v>
      </c>
      <c r="Y749" s="19">
        <v>151.94</v>
      </c>
    </row>
    <row r="750" spans="1:25" x14ac:dyDescent="0.3">
      <c r="A750">
        <v>68904</v>
      </c>
      <c r="B750" s="1">
        <v>45642</v>
      </c>
      <c r="C750">
        <v>957</v>
      </c>
      <c r="D750">
        <v>10</v>
      </c>
      <c r="E750" t="s">
        <v>13</v>
      </c>
      <c r="F750" t="s">
        <v>47</v>
      </c>
      <c r="G750">
        <v>4</v>
      </c>
      <c r="H750">
        <v>266.13</v>
      </c>
      <c r="I750" t="s">
        <v>35</v>
      </c>
      <c r="J750" t="s">
        <v>778</v>
      </c>
      <c r="K750">
        <v>5</v>
      </c>
      <c r="L750" t="s">
        <v>17</v>
      </c>
      <c r="M750">
        <v>25</v>
      </c>
      <c r="N750" s="18" t="str">
        <f t="shared" si="33"/>
        <v>18-30</v>
      </c>
      <c r="O750" s="12">
        <f t="shared" si="34"/>
        <v>1064.52</v>
      </c>
      <c r="P750" s="12">
        <f t="shared" si="35"/>
        <v>319.35599999999999</v>
      </c>
      <c r="X750" s="14" t="s">
        <v>339</v>
      </c>
      <c r="Y750" s="19">
        <v>797.82</v>
      </c>
    </row>
    <row r="751" spans="1:25" x14ac:dyDescent="0.3">
      <c r="A751">
        <v>13542</v>
      </c>
      <c r="B751" s="1">
        <v>45643</v>
      </c>
      <c r="C751">
        <v>784</v>
      </c>
      <c r="D751">
        <v>10</v>
      </c>
      <c r="E751" t="s">
        <v>13</v>
      </c>
      <c r="F751" t="s">
        <v>14</v>
      </c>
      <c r="G751">
        <v>2</v>
      </c>
      <c r="H751">
        <v>373.36</v>
      </c>
      <c r="I751" t="s">
        <v>15</v>
      </c>
      <c r="J751" t="s">
        <v>16</v>
      </c>
      <c r="K751">
        <v>1</v>
      </c>
      <c r="L751" t="s">
        <v>17</v>
      </c>
      <c r="M751">
        <v>56</v>
      </c>
      <c r="N751" s="18" t="str">
        <f t="shared" si="33"/>
        <v>46-60</v>
      </c>
      <c r="O751" s="12">
        <f t="shared" si="34"/>
        <v>746.72</v>
      </c>
      <c r="P751" s="12">
        <f t="shared" si="35"/>
        <v>224.01599999999999</v>
      </c>
      <c r="X751" s="14" t="s">
        <v>268</v>
      </c>
      <c r="Y751" s="19">
        <v>275.16000000000003</v>
      </c>
    </row>
    <row r="752" spans="1:25" x14ac:dyDescent="0.3">
      <c r="A752">
        <v>41394</v>
      </c>
      <c r="B752" s="1">
        <v>45643</v>
      </c>
      <c r="C752">
        <v>549</v>
      </c>
      <c r="D752">
        <v>30</v>
      </c>
      <c r="E752" t="s">
        <v>37</v>
      </c>
      <c r="F752" t="s">
        <v>38</v>
      </c>
      <c r="G752">
        <v>3</v>
      </c>
      <c r="H752">
        <v>429.11</v>
      </c>
      <c r="I752" t="s">
        <v>15</v>
      </c>
      <c r="J752" t="s">
        <v>39</v>
      </c>
      <c r="K752">
        <v>3</v>
      </c>
      <c r="L752" t="s">
        <v>17</v>
      </c>
      <c r="M752">
        <v>69</v>
      </c>
      <c r="N752" s="18" t="str">
        <f t="shared" si="33"/>
        <v>60+</v>
      </c>
      <c r="O752" s="12">
        <f t="shared" si="34"/>
        <v>1287.33</v>
      </c>
      <c r="P752" s="12">
        <f t="shared" si="35"/>
        <v>386.19899999999996</v>
      </c>
      <c r="X752" s="14" t="s">
        <v>262</v>
      </c>
      <c r="Y752" s="19">
        <v>488.09999999999997</v>
      </c>
    </row>
    <row r="753" spans="1:25" x14ac:dyDescent="0.3">
      <c r="A753">
        <v>76490</v>
      </c>
      <c r="B753" s="1">
        <v>45643</v>
      </c>
      <c r="C753">
        <v>362</v>
      </c>
      <c r="D753">
        <v>30</v>
      </c>
      <c r="E753" t="s">
        <v>37</v>
      </c>
      <c r="F753" t="s">
        <v>68</v>
      </c>
      <c r="G753">
        <v>5</v>
      </c>
      <c r="H753">
        <v>307.04000000000002</v>
      </c>
      <c r="I753" t="s">
        <v>35</v>
      </c>
      <c r="J753" t="s">
        <v>115</v>
      </c>
      <c r="L753" t="s">
        <v>17</v>
      </c>
      <c r="M753">
        <v>48</v>
      </c>
      <c r="N753" s="18" t="str">
        <f t="shared" si="33"/>
        <v>46-60</v>
      </c>
      <c r="O753" s="12">
        <f t="shared" si="34"/>
        <v>1535.2</v>
      </c>
      <c r="P753" s="12">
        <f t="shared" si="35"/>
        <v>460.56</v>
      </c>
      <c r="X753" s="14" t="s">
        <v>239</v>
      </c>
      <c r="Y753" s="19">
        <v>583.44000000000005</v>
      </c>
    </row>
    <row r="754" spans="1:25" x14ac:dyDescent="0.3">
      <c r="A754">
        <v>81394</v>
      </c>
      <c r="B754" s="1">
        <v>45643</v>
      </c>
      <c r="C754">
        <v>110</v>
      </c>
      <c r="D754">
        <v>50</v>
      </c>
      <c r="E754" t="s">
        <v>18</v>
      </c>
      <c r="F754" t="s">
        <v>22</v>
      </c>
      <c r="G754">
        <v>3</v>
      </c>
      <c r="H754">
        <v>68.22</v>
      </c>
      <c r="I754" t="s">
        <v>15</v>
      </c>
      <c r="J754" t="s">
        <v>365</v>
      </c>
      <c r="K754">
        <v>3</v>
      </c>
      <c r="L754" t="s">
        <v>17</v>
      </c>
      <c r="M754">
        <v>52</v>
      </c>
      <c r="N754" s="18" t="str">
        <f t="shared" si="33"/>
        <v>46-60</v>
      </c>
      <c r="O754" s="12">
        <f t="shared" si="34"/>
        <v>204.66</v>
      </c>
      <c r="P754" s="12">
        <f t="shared" si="35"/>
        <v>61.397999999999996</v>
      </c>
      <c r="X754" s="14" t="s">
        <v>468</v>
      </c>
      <c r="Y754" s="19">
        <v>425.54</v>
      </c>
    </row>
    <row r="755" spans="1:25" x14ac:dyDescent="0.3">
      <c r="A755">
        <v>53977</v>
      </c>
      <c r="B755" s="1">
        <v>45643</v>
      </c>
      <c r="C755">
        <v>125</v>
      </c>
      <c r="D755">
        <v>50</v>
      </c>
      <c r="E755" t="s">
        <v>18</v>
      </c>
      <c r="F755" t="s">
        <v>87</v>
      </c>
      <c r="G755">
        <v>1</v>
      </c>
      <c r="H755">
        <v>117.37</v>
      </c>
      <c r="I755" t="s">
        <v>15</v>
      </c>
      <c r="J755" t="s">
        <v>404</v>
      </c>
      <c r="K755">
        <v>4</v>
      </c>
      <c r="L755" t="s">
        <v>17</v>
      </c>
      <c r="M755">
        <v>43</v>
      </c>
      <c r="N755" s="18" t="str">
        <f t="shared" si="33"/>
        <v>31-45</v>
      </c>
      <c r="O755" s="12">
        <f t="shared" si="34"/>
        <v>117.37</v>
      </c>
      <c r="P755" s="12">
        <f t="shared" si="35"/>
        <v>35.210999999999999</v>
      </c>
      <c r="X755" s="14" t="s">
        <v>681</v>
      </c>
      <c r="Y755" s="19">
        <v>624.54999999999995</v>
      </c>
    </row>
    <row r="756" spans="1:25" x14ac:dyDescent="0.3">
      <c r="A756">
        <v>20814</v>
      </c>
      <c r="B756" s="1">
        <v>45644</v>
      </c>
      <c r="C756">
        <v>914</v>
      </c>
      <c r="D756">
        <v>10</v>
      </c>
      <c r="E756" t="s">
        <v>13</v>
      </c>
      <c r="F756" t="s">
        <v>14</v>
      </c>
      <c r="G756">
        <v>4</v>
      </c>
      <c r="H756">
        <v>291.29000000000002</v>
      </c>
      <c r="I756" t="s">
        <v>26</v>
      </c>
      <c r="J756" t="s">
        <v>169</v>
      </c>
      <c r="K756">
        <v>4</v>
      </c>
      <c r="L756" t="s">
        <v>21</v>
      </c>
      <c r="M756">
        <v>65</v>
      </c>
      <c r="N756" s="18" t="str">
        <f t="shared" si="33"/>
        <v>60+</v>
      </c>
      <c r="O756" s="12">
        <f t="shared" si="34"/>
        <v>1165.1600000000001</v>
      </c>
      <c r="P756" s="12">
        <f t="shared" si="35"/>
        <v>349.548</v>
      </c>
      <c r="X756" s="14" t="s">
        <v>793</v>
      </c>
      <c r="Y756" s="19">
        <v>1542.1000000000001</v>
      </c>
    </row>
    <row r="757" spans="1:25" x14ac:dyDescent="0.3">
      <c r="A757">
        <v>85365</v>
      </c>
      <c r="B757" s="1">
        <v>45644</v>
      </c>
      <c r="C757">
        <v>870</v>
      </c>
      <c r="D757">
        <v>20</v>
      </c>
      <c r="E757" t="s">
        <v>28</v>
      </c>
      <c r="F757" t="s">
        <v>29</v>
      </c>
      <c r="G757">
        <v>2</v>
      </c>
      <c r="H757">
        <v>158.05000000000001</v>
      </c>
      <c r="I757" t="s">
        <v>35</v>
      </c>
      <c r="J757" t="s">
        <v>647</v>
      </c>
      <c r="K757">
        <v>5</v>
      </c>
      <c r="L757" t="s">
        <v>21</v>
      </c>
      <c r="M757">
        <v>59</v>
      </c>
      <c r="N757" s="18" t="str">
        <f t="shared" si="33"/>
        <v>46-60</v>
      </c>
      <c r="O757" s="12">
        <f t="shared" si="34"/>
        <v>316.10000000000002</v>
      </c>
      <c r="P757" s="12">
        <f t="shared" si="35"/>
        <v>94.83</v>
      </c>
      <c r="X757" s="14" t="s">
        <v>186</v>
      </c>
      <c r="Y757" s="19">
        <v>1605.2</v>
      </c>
    </row>
    <row r="758" spans="1:25" x14ac:dyDescent="0.3">
      <c r="A758">
        <v>85771</v>
      </c>
      <c r="B758" s="1">
        <v>45644</v>
      </c>
      <c r="C758">
        <v>299</v>
      </c>
      <c r="D758">
        <v>10</v>
      </c>
      <c r="E758" t="s">
        <v>13</v>
      </c>
      <c r="F758" t="s">
        <v>42</v>
      </c>
      <c r="G758">
        <v>2</v>
      </c>
      <c r="H758">
        <v>336.34</v>
      </c>
      <c r="I758" t="s">
        <v>15</v>
      </c>
      <c r="J758" t="s">
        <v>858</v>
      </c>
      <c r="K758">
        <v>4</v>
      </c>
      <c r="L758" t="s">
        <v>17</v>
      </c>
      <c r="M758">
        <v>56</v>
      </c>
      <c r="N758" s="18" t="str">
        <f t="shared" si="33"/>
        <v>46-60</v>
      </c>
      <c r="O758" s="12">
        <f t="shared" si="34"/>
        <v>672.68</v>
      </c>
      <c r="P758" s="12">
        <f t="shared" si="35"/>
        <v>201.80399999999997</v>
      </c>
      <c r="X758" s="14" t="s">
        <v>590</v>
      </c>
      <c r="Y758" s="19">
        <v>1418.76</v>
      </c>
    </row>
    <row r="759" spans="1:25" x14ac:dyDescent="0.3">
      <c r="A759">
        <v>63100</v>
      </c>
      <c r="B759" s="1">
        <v>45644</v>
      </c>
      <c r="C759">
        <v>974</v>
      </c>
      <c r="D759">
        <v>10</v>
      </c>
      <c r="E759" t="s">
        <v>13</v>
      </c>
      <c r="F759" t="s">
        <v>32</v>
      </c>
      <c r="G759">
        <v>5</v>
      </c>
      <c r="H759">
        <v>410.6</v>
      </c>
      <c r="I759" t="s">
        <v>15</v>
      </c>
      <c r="J759" t="s">
        <v>995</v>
      </c>
      <c r="K759">
        <v>3</v>
      </c>
      <c r="L759" t="s">
        <v>17</v>
      </c>
      <c r="M759">
        <v>58</v>
      </c>
      <c r="N759" s="18" t="str">
        <f t="shared" si="33"/>
        <v>46-60</v>
      </c>
      <c r="O759" s="12">
        <f t="shared" si="34"/>
        <v>2053</v>
      </c>
      <c r="P759" s="12">
        <f t="shared" si="35"/>
        <v>615.9</v>
      </c>
      <c r="X759" s="14" t="s">
        <v>979</v>
      </c>
      <c r="Y759" s="19">
        <v>162.38</v>
      </c>
    </row>
    <row r="760" spans="1:25" x14ac:dyDescent="0.3">
      <c r="A760">
        <v>99182</v>
      </c>
      <c r="B760" s="1">
        <v>45645</v>
      </c>
      <c r="C760">
        <v>395</v>
      </c>
      <c r="D760">
        <v>20</v>
      </c>
      <c r="E760" t="s">
        <v>28</v>
      </c>
      <c r="F760" t="s">
        <v>51</v>
      </c>
      <c r="G760">
        <v>3</v>
      </c>
      <c r="H760">
        <v>197.66</v>
      </c>
      <c r="I760" t="s">
        <v>26</v>
      </c>
      <c r="J760" t="s">
        <v>202</v>
      </c>
      <c r="L760" t="s">
        <v>17</v>
      </c>
      <c r="M760">
        <v>23</v>
      </c>
      <c r="N760" s="18" t="str">
        <f t="shared" si="33"/>
        <v>18-30</v>
      </c>
      <c r="O760" s="12">
        <f t="shared" si="34"/>
        <v>592.98</v>
      </c>
      <c r="P760" s="12">
        <f t="shared" si="35"/>
        <v>177.89400000000001</v>
      </c>
      <c r="X760" s="14" t="s">
        <v>235</v>
      </c>
      <c r="Y760" s="19">
        <v>119.01</v>
      </c>
    </row>
    <row r="761" spans="1:25" x14ac:dyDescent="0.3">
      <c r="A761">
        <v>64425</v>
      </c>
      <c r="B761" s="1">
        <v>45645</v>
      </c>
      <c r="C761">
        <v>780</v>
      </c>
      <c r="D761">
        <v>50</v>
      </c>
      <c r="E761" t="s">
        <v>18</v>
      </c>
      <c r="F761" t="s">
        <v>19</v>
      </c>
      <c r="G761">
        <v>5</v>
      </c>
      <c r="H761">
        <v>203.93</v>
      </c>
      <c r="I761" t="s">
        <v>26</v>
      </c>
      <c r="J761" t="s">
        <v>274</v>
      </c>
      <c r="K761">
        <v>5</v>
      </c>
      <c r="L761" t="s">
        <v>21</v>
      </c>
      <c r="M761">
        <v>22</v>
      </c>
      <c r="N761" s="18" t="str">
        <f t="shared" si="33"/>
        <v>18-30</v>
      </c>
      <c r="O761" s="12">
        <f t="shared" si="34"/>
        <v>1019.6500000000001</v>
      </c>
      <c r="P761" s="12">
        <f t="shared" si="35"/>
        <v>305.89500000000004</v>
      </c>
      <c r="X761" s="14" t="s">
        <v>591</v>
      </c>
      <c r="Y761" s="19">
        <v>2099.9</v>
      </c>
    </row>
    <row r="762" spans="1:25" x14ac:dyDescent="0.3">
      <c r="A762">
        <v>90540</v>
      </c>
      <c r="B762" s="1">
        <v>45645</v>
      </c>
      <c r="C762">
        <v>259</v>
      </c>
      <c r="D762">
        <v>20</v>
      </c>
      <c r="E762" t="s">
        <v>28</v>
      </c>
      <c r="F762" t="s">
        <v>72</v>
      </c>
      <c r="G762">
        <v>4</v>
      </c>
      <c r="H762">
        <v>438.66</v>
      </c>
      <c r="I762" t="s">
        <v>15</v>
      </c>
      <c r="J762" t="s">
        <v>511</v>
      </c>
      <c r="K762">
        <v>4</v>
      </c>
      <c r="L762" t="s">
        <v>21</v>
      </c>
      <c r="M762">
        <v>49</v>
      </c>
      <c r="N762" s="18" t="str">
        <f t="shared" si="33"/>
        <v>46-60</v>
      </c>
      <c r="O762" s="12">
        <f t="shared" si="34"/>
        <v>1754.64</v>
      </c>
      <c r="P762" s="12">
        <f t="shared" si="35"/>
        <v>526.39200000000005</v>
      </c>
      <c r="X762" s="14" t="s">
        <v>279</v>
      </c>
      <c r="Y762" s="19">
        <v>687.52</v>
      </c>
    </row>
    <row r="763" spans="1:25" x14ac:dyDescent="0.3">
      <c r="A763">
        <v>14046</v>
      </c>
      <c r="B763" s="1">
        <v>45645</v>
      </c>
      <c r="C763">
        <v>689</v>
      </c>
      <c r="D763">
        <v>20</v>
      </c>
      <c r="E763" t="s">
        <v>28</v>
      </c>
      <c r="F763" t="s">
        <v>77</v>
      </c>
      <c r="G763">
        <v>4</v>
      </c>
      <c r="H763">
        <v>125.91</v>
      </c>
      <c r="I763" t="s">
        <v>26</v>
      </c>
      <c r="J763" t="s">
        <v>589</v>
      </c>
      <c r="K763">
        <v>5</v>
      </c>
      <c r="L763" t="s">
        <v>17</v>
      </c>
      <c r="M763">
        <v>24</v>
      </c>
      <c r="N763" s="18" t="str">
        <f t="shared" si="33"/>
        <v>18-30</v>
      </c>
      <c r="O763" s="12">
        <f t="shared" si="34"/>
        <v>503.64</v>
      </c>
      <c r="P763" s="12">
        <f t="shared" si="35"/>
        <v>151.09199999999998</v>
      </c>
      <c r="X763" s="14" t="s">
        <v>824</v>
      </c>
      <c r="Y763" s="19">
        <v>686.44999999999993</v>
      </c>
    </row>
    <row r="764" spans="1:25" x14ac:dyDescent="0.3">
      <c r="A764">
        <v>60063</v>
      </c>
      <c r="B764" s="1">
        <v>45645</v>
      </c>
      <c r="C764">
        <v>173</v>
      </c>
      <c r="D764">
        <v>50</v>
      </c>
      <c r="E764" t="s">
        <v>18</v>
      </c>
      <c r="F764" t="s">
        <v>87</v>
      </c>
      <c r="G764">
        <v>1</v>
      </c>
      <c r="H764">
        <v>432.67</v>
      </c>
      <c r="I764" t="s">
        <v>26</v>
      </c>
      <c r="J764" t="s">
        <v>923</v>
      </c>
      <c r="K764">
        <v>5</v>
      </c>
      <c r="L764" t="s">
        <v>17</v>
      </c>
      <c r="M764">
        <v>68</v>
      </c>
      <c r="N764" s="18" t="str">
        <f t="shared" si="33"/>
        <v>60+</v>
      </c>
      <c r="O764" s="12">
        <f t="shared" si="34"/>
        <v>432.67</v>
      </c>
      <c r="P764" s="12">
        <f t="shared" si="35"/>
        <v>129.80099999999999</v>
      </c>
      <c r="X764" s="14" t="s">
        <v>916</v>
      </c>
      <c r="Y764" s="19">
        <v>255.32</v>
      </c>
    </row>
    <row r="765" spans="1:25" x14ac:dyDescent="0.3">
      <c r="A765">
        <v>61650</v>
      </c>
      <c r="B765" s="1">
        <v>45645</v>
      </c>
      <c r="C765">
        <v>804</v>
      </c>
      <c r="D765">
        <v>10</v>
      </c>
      <c r="E765" t="s">
        <v>13</v>
      </c>
      <c r="F765" t="s">
        <v>14</v>
      </c>
      <c r="G765">
        <v>2</v>
      </c>
      <c r="H765">
        <v>197.96</v>
      </c>
      <c r="I765" t="s">
        <v>15</v>
      </c>
      <c r="J765" t="s">
        <v>987</v>
      </c>
      <c r="K765">
        <v>4</v>
      </c>
      <c r="L765" t="s">
        <v>21</v>
      </c>
      <c r="M765">
        <v>29</v>
      </c>
      <c r="N765" s="18" t="str">
        <f t="shared" si="33"/>
        <v>18-30</v>
      </c>
      <c r="O765" s="12">
        <f t="shared" si="34"/>
        <v>395.92</v>
      </c>
      <c r="P765" s="12">
        <f t="shared" si="35"/>
        <v>118.776</v>
      </c>
      <c r="X765" s="14" t="s">
        <v>256</v>
      </c>
      <c r="Y765" s="19">
        <v>181.56</v>
      </c>
    </row>
    <row r="766" spans="1:25" x14ac:dyDescent="0.3">
      <c r="A766">
        <v>76076</v>
      </c>
      <c r="B766" s="1">
        <v>45646</v>
      </c>
      <c r="C766">
        <v>184</v>
      </c>
      <c r="D766">
        <v>10</v>
      </c>
      <c r="E766" t="s">
        <v>13</v>
      </c>
      <c r="F766" t="s">
        <v>47</v>
      </c>
      <c r="G766">
        <v>4</v>
      </c>
      <c r="H766">
        <v>457.54</v>
      </c>
      <c r="I766" t="s">
        <v>26</v>
      </c>
      <c r="J766" t="s">
        <v>975</v>
      </c>
      <c r="K766">
        <v>4</v>
      </c>
      <c r="L766" t="s">
        <v>17</v>
      </c>
      <c r="M766">
        <v>29</v>
      </c>
      <c r="N766" s="18" t="str">
        <f t="shared" si="33"/>
        <v>18-30</v>
      </c>
      <c r="O766" s="12">
        <f t="shared" si="34"/>
        <v>1830.16</v>
      </c>
      <c r="P766" s="12">
        <f t="shared" si="35"/>
        <v>549.048</v>
      </c>
      <c r="X766" s="14" t="s">
        <v>195</v>
      </c>
      <c r="Y766" s="19">
        <v>474.06</v>
      </c>
    </row>
    <row r="767" spans="1:25" x14ac:dyDescent="0.3">
      <c r="A767">
        <v>20025</v>
      </c>
      <c r="B767" s="1">
        <v>45647</v>
      </c>
      <c r="C767">
        <v>681</v>
      </c>
      <c r="D767">
        <v>50</v>
      </c>
      <c r="E767" t="s">
        <v>18</v>
      </c>
      <c r="F767" t="s">
        <v>34</v>
      </c>
      <c r="G767">
        <v>2</v>
      </c>
      <c r="H767">
        <v>68.510000000000005</v>
      </c>
      <c r="I767" t="s">
        <v>35</v>
      </c>
      <c r="J767" t="s">
        <v>555</v>
      </c>
      <c r="K767">
        <v>5</v>
      </c>
      <c r="L767" t="s">
        <v>21</v>
      </c>
      <c r="M767">
        <v>60</v>
      </c>
      <c r="N767" s="18" t="str">
        <f t="shared" si="33"/>
        <v>46-60</v>
      </c>
      <c r="O767" s="12">
        <f t="shared" si="34"/>
        <v>137.02000000000001</v>
      </c>
      <c r="P767" s="12">
        <f t="shared" si="35"/>
        <v>41.106000000000002</v>
      </c>
      <c r="X767" s="14" t="s">
        <v>236</v>
      </c>
      <c r="Y767" s="19">
        <v>1339.04</v>
      </c>
    </row>
    <row r="768" spans="1:25" x14ac:dyDescent="0.3">
      <c r="A768">
        <v>53649</v>
      </c>
      <c r="B768" s="1">
        <v>45648</v>
      </c>
      <c r="C768">
        <v>742</v>
      </c>
      <c r="D768">
        <v>50</v>
      </c>
      <c r="E768" t="s">
        <v>18</v>
      </c>
      <c r="F768" t="s">
        <v>34</v>
      </c>
      <c r="G768">
        <v>1</v>
      </c>
      <c r="H768">
        <v>329.05</v>
      </c>
      <c r="I768" t="s">
        <v>35</v>
      </c>
      <c r="J768" t="s">
        <v>351</v>
      </c>
      <c r="K768">
        <v>4</v>
      </c>
      <c r="L768" t="s">
        <v>17</v>
      </c>
      <c r="M768">
        <v>56</v>
      </c>
      <c r="N768" s="18" t="str">
        <f t="shared" si="33"/>
        <v>46-60</v>
      </c>
      <c r="O768" s="12">
        <f t="shared" si="34"/>
        <v>329.05</v>
      </c>
      <c r="P768" s="12">
        <f t="shared" si="35"/>
        <v>98.715000000000003</v>
      </c>
      <c r="X768" s="14" t="s">
        <v>198</v>
      </c>
      <c r="Y768" s="19">
        <v>436.08000000000004</v>
      </c>
    </row>
    <row r="769" spans="1:25" x14ac:dyDescent="0.3">
      <c r="A769">
        <v>36989</v>
      </c>
      <c r="B769" s="1">
        <v>45648</v>
      </c>
      <c r="C769">
        <v>639</v>
      </c>
      <c r="D769">
        <v>10</v>
      </c>
      <c r="E769" t="s">
        <v>13</v>
      </c>
      <c r="F769" t="s">
        <v>42</v>
      </c>
      <c r="G769">
        <v>3</v>
      </c>
      <c r="H769">
        <v>185.56</v>
      </c>
      <c r="I769" t="s">
        <v>15</v>
      </c>
      <c r="J769" t="s">
        <v>569</v>
      </c>
      <c r="K769">
        <v>4</v>
      </c>
      <c r="L769" t="s">
        <v>17</v>
      </c>
      <c r="M769">
        <v>48</v>
      </c>
      <c r="N769" s="18" t="str">
        <f t="shared" si="33"/>
        <v>46-60</v>
      </c>
      <c r="O769" s="12">
        <f t="shared" si="34"/>
        <v>556.68000000000006</v>
      </c>
      <c r="P769" s="12">
        <f t="shared" si="35"/>
        <v>167.00400000000002</v>
      </c>
      <c r="X769" s="14" t="s">
        <v>759</v>
      </c>
      <c r="Y769" s="19">
        <v>352.08</v>
      </c>
    </row>
    <row r="770" spans="1:25" x14ac:dyDescent="0.3">
      <c r="A770">
        <v>14520</v>
      </c>
      <c r="B770" s="1">
        <v>45648</v>
      </c>
      <c r="C770">
        <v>222</v>
      </c>
      <c r="D770">
        <v>30</v>
      </c>
      <c r="E770" t="s">
        <v>37</v>
      </c>
      <c r="F770" t="s">
        <v>40</v>
      </c>
      <c r="G770">
        <v>3</v>
      </c>
      <c r="H770">
        <v>372.61</v>
      </c>
      <c r="I770" t="s">
        <v>15</v>
      </c>
      <c r="J770" t="s">
        <v>909</v>
      </c>
      <c r="K770">
        <v>1</v>
      </c>
      <c r="L770" t="s">
        <v>17</v>
      </c>
      <c r="M770">
        <v>69</v>
      </c>
      <c r="N770" s="18" t="str">
        <f t="shared" si="33"/>
        <v>60+</v>
      </c>
      <c r="O770" s="12">
        <f t="shared" si="34"/>
        <v>1117.83</v>
      </c>
      <c r="P770" s="12">
        <f t="shared" si="35"/>
        <v>335.34899999999999</v>
      </c>
      <c r="X770" s="14" t="s">
        <v>652</v>
      </c>
      <c r="Y770" s="19">
        <v>274.24</v>
      </c>
    </row>
    <row r="771" spans="1:25" x14ac:dyDescent="0.3">
      <c r="A771">
        <v>44020</v>
      </c>
      <c r="B771" s="1">
        <v>45649</v>
      </c>
      <c r="C771">
        <v>798</v>
      </c>
      <c r="D771">
        <v>10</v>
      </c>
      <c r="E771" t="s">
        <v>13</v>
      </c>
      <c r="F771" t="s">
        <v>47</v>
      </c>
      <c r="G771">
        <v>5</v>
      </c>
      <c r="H771">
        <v>164.62</v>
      </c>
      <c r="I771" t="s">
        <v>35</v>
      </c>
      <c r="J771" t="s">
        <v>164</v>
      </c>
      <c r="K771">
        <v>4</v>
      </c>
      <c r="L771" t="s">
        <v>17</v>
      </c>
      <c r="M771">
        <v>62</v>
      </c>
      <c r="N771" s="18" t="str">
        <f t="shared" ref="N771:N834" si="36">IF(M771&lt;=30,"18-30",IF(M771&lt;=45,"31-45",IF(M771&lt;=60,"46-60","60+")))</f>
        <v>60+</v>
      </c>
      <c r="O771" s="12">
        <f t="shared" ref="O771:O834" si="37">H771*G771</f>
        <v>823.1</v>
      </c>
      <c r="P771" s="12">
        <f t="shared" ref="P771:P834" si="38">O771*0.3</f>
        <v>246.93</v>
      </c>
      <c r="X771" s="14" t="s">
        <v>968</v>
      </c>
      <c r="Y771" s="19">
        <v>979.11</v>
      </c>
    </row>
    <row r="772" spans="1:25" x14ac:dyDescent="0.3">
      <c r="A772">
        <v>81512</v>
      </c>
      <c r="B772" s="1">
        <v>45649</v>
      </c>
      <c r="C772">
        <v>976</v>
      </c>
      <c r="D772">
        <v>50</v>
      </c>
      <c r="E772" t="s">
        <v>18</v>
      </c>
      <c r="F772" t="s">
        <v>19</v>
      </c>
      <c r="G772">
        <v>3</v>
      </c>
      <c r="H772">
        <v>76.44</v>
      </c>
      <c r="I772" t="s">
        <v>26</v>
      </c>
      <c r="J772" t="s">
        <v>516</v>
      </c>
      <c r="K772">
        <v>5</v>
      </c>
      <c r="M772">
        <v>49</v>
      </c>
      <c r="N772" s="18" t="str">
        <f t="shared" si="36"/>
        <v>46-60</v>
      </c>
      <c r="O772" s="12">
        <f t="shared" si="37"/>
        <v>229.32</v>
      </c>
      <c r="P772" s="12">
        <f t="shared" si="38"/>
        <v>68.795999999999992</v>
      </c>
      <c r="X772" s="14" t="s">
        <v>817</v>
      </c>
      <c r="Y772" s="19">
        <v>757.2</v>
      </c>
    </row>
    <row r="773" spans="1:25" x14ac:dyDescent="0.3">
      <c r="A773">
        <v>21745</v>
      </c>
      <c r="B773" s="1">
        <v>45649</v>
      </c>
      <c r="C773">
        <v>560</v>
      </c>
      <c r="D773">
        <v>40</v>
      </c>
      <c r="E773" t="s">
        <v>24</v>
      </c>
      <c r="F773" t="s">
        <v>44</v>
      </c>
      <c r="G773">
        <v>5</v>
      </c>
      <c r="H773">
        <v>124.91</v>
      </c>
      <c r="I773" t="s">
        <v>15</v>
      </c>
      <c r="J773" t="s">
        <v>681</v>
      </c>
      <c r="K773">
        <v>5</v>
      </c>
      <c r="M773">
        <v>54</v>
      </c>
      <c r="N773" s="18" t="str">
        <f t="shared" si="36"/>
        <v>46-60</v>
      </c>
      <c r="O773" s="12">
        <f t="shared" si="37"/>
        <v>624.54999999999995</v>
      </c>
      <c r="P773" s="12">
        <f t="shared" si="38"/>
        <v>187.36499999999998</v>
      </c>
      <c r="X773" s="14" t="s">
        <v>570</v>
      </c>
      <c r="Y773" s="19">
        <v>261.69</v>
      </c>
    </row>
    <row r="774" spans="1:25" x14ac:dyDescent="0.3">
      <c r="A774">
        <v>11645</v>
      </c>
      <c r="B774" s="1">
        <v>45649</v>
      </c>
      <c r="C774">
        <v>642</v>
      </c>
      <c r="D774">
        <v>20</v>
      </c>
      <c r="E774" t="s">
        <v>28</v>
      </c>
      <c r="F774" t="s">
        <v>79</v>
      </c>
      <c r="G774">
        <v>5</v>
      </c>
      <c r="H774">
        <v>367.65</v>
      </c>
      <c r="I774" t="s">
        <v>35</v>
      </c>
      <c r="J774" t="s">
        <v>920</v>
      </c>
      <c r="K774">
        <v>5</v>
      </c>
      <c r="L774" t="s">
        <v>17</v>
      </c>
      <c r="M774">
        <v>65</v>
      </c>
      <c r="N774" s="18" t="str">
        <f t="shared" si="36"/>
        <v>60+</v>
      </c>
      <c r="O774" s="12">
        <f t="shared" si="37"/>
        <v>1838.25</v>
      </c>
      <c r="P774" s="12">
        <f t="shared" si="38"/>
        <v>551.47500000000002</v>
      </c>
      <c r="X774" s="14" t="s">
        <v>810</v>
      </c>
      <c r="Y774" s="19">
        <v>419.8</v>
      </c>
    </row>
    <row r="775" spans="1:25" x14ac:dyDescent="0.3">
      <c r="A775">
        <v>69719</v>
      </c>
      <c r="B775" s="1">
        <v>45650</v>
      </c>
      <c r="C775">
        <v>941</v>
      </c>
      <c r="D775">
        <v>10</v>
      </c>
      <c r="E775" t="s">
        <v>13</v>
      </c>
      <c r="F775" t="s">
        <v>14</v>
      </c>
      <c r="G775">
        <v>2</v>
      </c>
      <c r="H775">
        <v>344.04</v>
      </c>
      <c r="I775" t="s">
        <v>35</v>
      </c>
      <c r="J775" t="s">
        <v>56</v>
      </c>
      <c r="K775">
        <v>5</v>
      </c>
      <c r="L775" t="s">
        <v>17</v>
      </c>
      <c r="M775">
        <v>29</v>
      </c>
      <c r="N775" s="18" t="str">
        <f t="shared" si="36"/>
        <v>18-30</v>
      </c>
      <c r="O775" s="12">
        <f t="shared" si="37"/>
        <v>688.08</v>
      </c>
      <c r="P775" s="12">
        <f t="shared" si="38"/>
        <v>206.42400000000001</v>
      </c>
      <c r="X775" s="14" t="s">
        <v>921</v>
      </c>
      <c r="Y775" s="19">
        <v>383.34000000000003</v>
      </c>
    </row>
    <row r="776" spans="1:25" x14ac:dyDescent="0.3">
      <c r="A776">
        <v>33743</v>
      </c>
      <c r="B776" s="1">
        <v>45650</v>
      </c>
      <c r="C776">
        <v>405</v>
      </c>
      <c r="D776">
        <v>50</v>
      </c>
      <c r="E776" t="s">
        <v>18</v>
      </c>
      <c r="F776" t="s">
        <v>87</v>
      </c>
      <c r="G776">
        <v>3</v>
      </c>
      <c r="H776">
        <v>405.54</v>
      </c>
      <c r="I776" t="s">
        <v>35</v>
      </c>
      <c r="J776" t="s">
        <v>257</v>
      </c>
      <c r="K776">
        <v>5</v>
      </c>
      <c r="L776" t="s">
        <v>17</v>
      </c>
      <c r="M776">
        <v>64</v>
      </c>
      <c r="N776" s="18" t="str">
        <f t="shared" si="36"/>
        <v>60+</v>
      </c>
      <c r="O776" s="12">
        <f t="shared" si="37"/>
        <v>1216.6200000000001</v>
      </c>
      <c r="P776" s="12">
        <f t="shared" si="38"/>
        <v>364.98600000000005</v>
      </c>
      <c r="X776" s="14" t="s">
        <v>775</v>
      </c>
      <c r="Y776" s="19">
        <v>1250.6399999999999</v>
      </c>
    </row>
    <row r="777" spans="1:25" x14ac:dyDescent="0.3">
      <c r="A777">
        <v>63024</v>
      </c>
      <c r="B777" s="1">
        <v>45650</v>
      </c>
      <c r="C777">
        <v>990</v>
      </c>
      <c r="D777">
        <v>30</v>
      </c>
      <c r="E777" t="s">
        <v>37</v>
      </c>
      <c r="F777" t="s">
        <v>40</v>
      </c>
      <c r="G777">
        <v>3</v>
      </c>
      <c r="H777">
        <v>480.65</v>
      </c>
      <c r="I777" t="s">
        <v>15</v>
      </c>
      <c r="J777" t="s">
        <v>334</v>
      </c>
      <c r="K777">
        <v>5</v>
      </c>
      <c r="L777" t="s">
        <v>17</v>
      </c>
      <c r="M777">
        <v>73</v>
      </c>
      <c r="N777" s="18" t="str">
        <f t="shared" si="36"/>
        <v>60+</v>
      </c>
      <c r="O777" s="12">
        <f t="shared" si="37"/>
        <v>1441.9499999999998</v>
      </c>
      <c r="P777" s="12">
        <f t="shared" si="38"/>
        <v>432.58499999999992</v>
      </c>
      <c r="X777" s="14" t="s">
        <v>927</v>
      </c>
      <c r="Y777" s="19">
        <v>681.21</v>
      </c>
    </row>
    <row r="778" spans="1:25" x14ac:dyDescent="0.3">
      <c r="A778">
        <v>84629</v>
      </c>
      <c r="B778" s="1">
        <v>45650</v>
      </c>
      <c r="C778">
        <v>246</v>
      </c>
      <c r="D778">
        <v>30</v>
      </c>
      <c r="E778" t="s">
        <v>37</v>
      </c>
      <c r="F778" t="s">
        <v>38</v>
      </c>
      <c r="G778">
        <v>4</v>
      </c>
      <c r="H778">
        <v>320.72000000000003</v>
      </c>
      <c r="I778" t="s">
        <v>26</v>
      </c>
      <c r="J778" t="s">
        <v>462</v>
      </c>
      <c r="K778">
        <v>4</v>
      </c>
      <c r="L778" t="s">
        <v>21</v>
      </c>
      <c r="M778">
        <v>75</v>
      </c>
      <c r="N778" s="18" t="str">
        <f t="shared" si="36"/>
        <v>60+</v>
      </c>
      <c r="O778" s="12">
        <f t="shared" si="37"/>
        <v>1282.8800000000001</v>
      </c>
      <c r="P778" s="12">
        <f t="shared" si="38"/>
        <v>384.86400000000003</v>
      </c>
      <c r="X778" s="14" t="s">
        <v>802</v>
      </c>
      <c r="Y778" s="19">
        <v>1896.16</v>
      </c>
    </row>
    <row r="779" spans="1:25" x14ac:dyDescent="0.3">
      <c r="A779">
        <v>30444</v>
      </c>
      <c r="B779" s="1">
        <v>45650</v>
      </c>
      <c r="C779">
        <v>651</v>
      </c>
      <c r="D779">
        <v>30</v>
      </c>
      <c r="E779" t="s">
        <v>37</v>
      </c>
      <c r="F779" t="s">
        <v>68</v>
      </c>
      <c r="G779">
        <v>4</v>
      </c>
      <c r="H779">
        <v>61.91</v>
      </c>
      <c r="I779" t="s">
        <v>15</v>
      </c>
      <c r="J779" t="s">
        <v>485</v>
      </c>
      <c r="K779">
        <v>2</v>
      </c>
      <c r="L779" t="s">
        <v>17</v>
      </c>
      <c r="M779">
        <v>38</v>
      </c>
      <c r="N779" s="18" t="str">
        <f t="shared" si="36"/>
        <v>31-45</v>
      </c>
      <c r="O779" s="12">
        <f t="shared" si="37"/>
        <v>247.64</v>
      </c>
      <c r="P779" s="12">
        <f t="shared" si="38"/>
        <v>74.291999999999987</v>
      </c>
      <c r="X779" s="14" t="s">
        <v>799</v>
      </c>
      <c r="Y779" s="19">
        <v>1054.76</v>
      </c>
    </row>
    <row r="780" spans="1:25" x14ac:dyDescent="0.3">
      <c r="A780">
        <v>62824</v>
      </c>
      <c r="B780" s="1">
        <v>45651</v>
      </c>
      <c r="C780">
        <v>629</v>
      </c>
      <c r="D780">
        <v>30</v>
      </c>
      <c r="E780" t="s">
        <v>37</v>
      </c>
      <c r="F780" t="s">
        <v>40</v>
      </c>
      <c r="G780">
        <v>5</v>
      </c>
      <c r="H780">
        <v>321.94</v>
      </c>
      <c r="I780" t="s">
        <v>35</v>
      </c>
      <c r="J780" t="s">
        <v>220</v>
      </c>
      <c r="K780">
        <v>2</v>
      </c>
      <c r="L780" t="s">
        <v>17</v>
      </c>
      <c r="M780">
        <v>63</v>
      </c>
      <c r="N780" s="18" t="str">
        <f t="shared" si="36"/>
        <v>60+</v>
      </c>
      <c r="O780" s="12">
        <f t="shared" si="37"/>
        <v>1609.7</v>
      </c>
      <c r="P780" s="12">
        <f t="shared" si="38"/>
        <v>482.90999999999997</v>
      </c>
      <c r="X780" s="14" t="s">
        <v>763</v>
      </c>
      <c r="Y780" s="19">
        <v>1419.32</v>
      </c>
    </row>
    <row r="781" spans="1:25" x14ac:dyDescent="0.3">
      <c r="A781">
        <v>15824</v>
      </c>
      <c r="B781" s="1">
        <v>45651</v>
      </c>
      <c r="C781">
        <v>119</v>
      </c>
      <c r="D781">
        <v>10</v>
      </c>
      <c r="E781" t="s">
        <v>13</v>
      </c>
      <c r="F781" t="s">
        <v>47</v>
      </c>
      <c r="G781">
        <v>2</v>
      </c>
      <c r="H781">
        <v>256.91000000000003</v>
      </c>
      <c r="I781" t="s">
        <v>26</v>
      </c>
      <c r="J781" t="s">
        <v>423</v>
      </c>
      <c r="K781">
        <v>1</v>
      </c>
      <c r="M781">
        <v>58</v>
      </c>
      <c r="N781" s="18" t="str">
        <f t="shared" si="36"/>
        <v>46-60</v>
      </c>
      <c r="O781" s="12">
        <f t="shared" si="37"/>
        <v>513.82000000000005</v>
      </c>
      <c r="P781" s="12">
        <f t="shared" si="38"/>
        <v>154.14600000000002</v>
      </c>
      <c r="X781" s="14" t="s">
        <v>162</v>
      </c>
      <c r="Y781" s="19">
        <v>483.8</v>
      </c>
    </row>
    <row r="782" spans="1:25" x14ac:dyDescent="0.3">
      <c r="A782">
        <v>49580</v>
      </c>
      <c r="B782" s="1">
        <v>45651</v>
      </c>
      <c r="C782">
        <v>828</v>
      </c>
      <c r="D782">
        <v>40</v>
      </c>
      <c r="E782" t="s">
        <v>24</v>
      </c>
      <c r="F782" t="s">
        <v>65</v>
      </c>
      <c r="G782">
        <v>1</v>
      </c>
      <c r="H782">
        <v>373.83</v>
      </c>
      <c r="I782" t="s">
        <v>26</v>
      </c>
      <c r="J782" t="s">
        <v>508</v>
      </c>
      <c r="K782">
        <v>4</v>
      </c>
      <c r="L782" t="s">
        <v>21</v>
      </c>
      <c r="M782">
        <v>30</v>
      </c>
      <c r="N782" s="18" t="str">
        <f t="shared" si="36"/>
        <v>18-30</v>
      </c>
      <c r="O782" s="12">
        <f t="shared" si="37"/>
        <v>373.83</v>
      </c>
      <c r="P782" s="12">
        <f t="shared" si="38"/>
        <v>112.14899999999999</v>
      </c>
      <c r="X782" s="14" t="s">
        <v>320</v>
      </c>
      <c r="Y782" s="19">
        <v>122.76</v>
      </c>
    </row>
    <row r="783" spans="1:25" x14ac:dyDescent="0.3">
      <c r="A783">
        <v>73507</v>
      </c>
      <c r="B783" s="1">
        <v>45651</v>
      </c>
      <c r="C783">
        <v>133</v>
      </c>
      <c r="D783">
        <v>20</v>
      </c>
      <c r="E783" t="s">
        <v>28</v>
      </c>
      <c r="F783" t="s">
        <v>79</v>
      </c>
      <c r="G783">
        <v>4</v>
      </c>
      <c r="H783">
        <v>54.68</v>
      </c>
      <c r="I783" t="s">
        <v>35</v>
      </c>
      <c r="J783" t="s">
        <v>944</v>
      </c>
      <c r="K783">
        <v>4</v>
      </c>
      <c r="L783" t="s">
        <v>21</v>
      </c>
      <c r="M783">
        <v>74</v>
      </c>
      <c r="N783" s="18" t="str">
        <f t="shared" si="36"/>
        <v>60+</v>
      </c>
      <c r="O783" s="12">
        <f t="shared" si="37"/>
        <v>218.72</v>
      </c>
      <c r="P783" s="12">
        <f t="shared" si="38"/>
        <v>65.616</v>
      </c>
      <c r="X783" s="14" t="s">
        <v>929</v>
      </c>
      <c r="Y783" s="19">
        <v>575.70000000000005</v>
      </c>
    </row>
    <row r="784" spans="1:25" x14ac:dyDescent="0.3">
      <c r="A784">
        <v>39027</v>
      </c>
      <c r="B784" s="1">
        <v>45652</v>
      </c>
      <c r="C784">
        <v>757</v>
      </c>
      <c r="D784">
        <v>30</v>
      </c>
      <c r="E784" t="s">
        <v>37</v>
      </c>
      <c r="F784" t="s">
        <v>58</v>
      </c>
      <c r="G784">
        <v>1</v>
      </c>
      <c r="H784">
        <v>274.58999999999997</v>
      </c>
      <c r="I784" t="s">
        <v>26</v>
      </c>
      <c r="J784" t="s">
        <v>182</v>
      </c>
      <c r="L784" t="s">
        <v>21</v>
      </c>
      <c r="M784">
        <v>23</v>
      </c>
      <c r="N784" s="18" t="str">
        <f t="shared" si="36"/>
        <v>18-30</v>
      </c>
      <c r="O784" s="12">
        <f t="shared" si="37"/>
        <v>274.58999999999997</v>
      </c>
      <c r="P784" s="12">
        <f t="shared" si="38"/>
        <v>82.376999999999995</v>
      </c>
      <c r="X784" s="14" t="s">
        <v>188</v>
      </c>
      <c r="Y784" s="19">
        <v>1004.01</v>
      </c>
    </row>
    <row r="785" spans="1:25" x14ac:dyDescent="0.3">
      <c r="A785">
        <v>80835</v>
      </c>
      <c r="B785" s="1">
        <v>45652</v>
      </c>
      <c r="C785">
        <v>114</v>
      </c>
      <c r="D785">
        <v>20</v>
      </c>
      <c r="E785" t="s">
        <v>28</v>
      </c>
      <c r="F785" t="s">
        <v>79</v>
      </c>
      <c r="G785">
        <v>3</v>
      </c>
      <c r="H785">
        <v>240.05</v>
      </c>
      <c r="I785" t="s">
        <v>26</v>
      </c>
      <c r="J785" t="s">
        <v>206</v>
      </c>
      <c r="K785">
        <v>3</v>
      </c>
      <c r="L785" t="s">
        <v>17</v>
      </c>
      <c r="M785">
        <v>40</v>
      </c>
      <c r="N785" s="18" t="str">
        <f t="shared" si="36"/>
        <v>31-45</v>
      </c>
      <c r="O785" s="12">
        <f t="shared" si="37"/>
        <v>720.15000000000009</v>
      </c>
      <c r="P785" s="12">
        <f t="shared" si="38"/>
        <v>216.04500000000002</v>
      </c>
      <c r="X785" s="14" t="s">
        <v>189</v>
      </c>
      <c r="Y785" s="19">
        <v>328.22</v>
      </c>
    </row>
    <row r="786" spans="1:25" x14ac:dyDescent="0.3">
      <c r="A786">
        <v>72727</v>
      </c>
      <c r="B786" s="1">
        <v>45652</v>
      </c>
      <c r="C786">
        <v>773</v>
      </c>
      <c r="D786">
        <v>20</v>
      </c>
      <c r="E786" t="s">
        <v>28</v>
      </c>
      <c r="F786" t="s">
        <v>51</v>
      </c>
      <c r="G786">
        <v>3</v>
      </c>
      <c r="H786">
        <v>153.94999999999999</v>
      </c>
      <c r="I786" t="s">
        <v>15</v>
      </c>
      <c r="J786" t="s">
        <v>326</v>
      </c>
      <c r="L786" t="s">
        <v>17</v>
      </c>
      <c r="M786">
        <v>42</v>
      </c>
      <c r="N786" s="18" t="str">
        <f t="shared" si="36"/>
        <v>31-45</v>
      </c>
      <c r="O786" s="12">
        <f t="shared" si="37"/>
        <v>461.84999999999997</v>
      </c>
      <c r="P786" s="12">
        <f t="shared" si="38"/>
        <v>138.55499999999998</v>
      </c>
      <c r="X786" s="14" t="s">
        <v>947</v>
      </c>
      <c r="Y786" s="19">
        <v>1307.1600000000001</v>
      </c>
    </row>
    <row r="787" spans="1:25" x14ac:dyDescent="0.3">
      <c r="A787">
        <v>17305</v>
      </c>
      <c r="B787" s="1">
        <v>45652</v>
      </c>
      <c r="C787">
        <v>914</v>
      </c>
      <c r="D787">
        <v>20</v>
      </c>
      <c r="E787" t="s">
        <v>28</v>
      </c>
      <c r="F787" t="s">
        <v>77</v>
      </c>
      <c r="G787">
        <v>5</v>
      </c>
      <c r="H787">
        <v>104.05</v>
      </c>
      <c r="I787" t="s">
        <v>35</v>
      </c>
      <c r="J787" t="s">
        <v>450</v>
      </c>
      <c r="K787">
        <v>2</v>
      </c>
      <c r="L787" t="s">
        <v>21</v>
      </c>
      <c r="M787">
        <v>28</v>
      </c>
      <c r="N787" s="18" t="str">
        <f t="shared" si="36"/>
        <v>18-30</v>
      </c>
      <c r="O787" s="12">
        <f t="shared" si="37"/>
        <v>520.25</v>
      </c>
      <c r="P787" s="12">
        <f t="shared" si="38"/>
        <v>156.07499999999999</v>
      </c>
      <c r="X787" s="14" t="s">
        <v>544</v>
      </c>
      <c r="Y787" s="19">
        <v>1057.0500000000002</v>
      </c>
    </row>
    <row r="788" spans="1:25" x14ac:dyDescent="0.3">
      <c r="A788">
        <v>54917</v>
      </c>
      <c r="B788" s="1">
        <v>45652</v>
      </c>
      <c r="C788">
        <v>405</v>
      </c>
      <c r="D788">
        <v>20</v>
      </c>
      <c r="E788" t="s">
        <v>28</v>
      </c>
      <c r="F788" t="s">
        <v>77</v>
      </c>
      <c r="G788">
        <v>4</v>
      </c>
      <c r="H788">
        <v>157.24</v>
      </c>
      <c r="I788" t="s">
        <v>35</v>
      </c>
      <c r="J788" t="s">
        <v>634</v>
      </c>
      <c r="K788">
        <v>4</v>
      </c>
      <c r="L788" t="s">
        <v>17</v>
      </c>
      <c r="M788">
        <v>62</v>
      </c>
      <c r="N788" s="18" t="str">
        <f t="shared" si="36"/>
        <v>60+</v>
      </c>
      <c r="O788" s="12">
        <f t="shared" si="37"/>
        <v>628.96</v>
      </c>
      <c r="P788" s="12">
        <f t="shared" si="38"/>
        <v>188.68800000000002</v>
      </c>
      <c r="X788" s="14" t="s">
        <v>827</v>
      </c>
      <c r="Y788" s="19">
        <v>169.29</v>
      </c>
    </row>
    <row r="789" spans="1:25" x14ac:dyDescent="0.3">
      <c r="A789">
        <v>27123</v>
      </c>
      <c r="B789" s="1">
        <v>45653</v>
      </c>
      <c r="C789">
        <v>144</v>
      </c>
      <c r="D789">
        <v>20</v>
      </c>
      <c r="E789" t="s">
        <v>28</v>
      </c>
      <c r="F789" t="s">
        <v>72</v>
      </c>
      <c r="G789">
        <v>3</v>
      </c>
      <c r="H789">
        <v>162.69999999999999</v>
      </c>
      <c r="I789" t="s">
        <v>26</v>
      </c>
      <c r="J789" t="s">
        <v>262</v>
      </c>
      <c r="K789">
        <v>5</v>
      </c>
      <c r="L789" t="s">
        <v>17</v>
      </c>
      <c r="M789">
        <v>18</v>
      </c>
      <c r="N789" s="18" t="str">
        <f t="shared" si="36"/>
        <v>18-30</v>
      </c>
      <c r="O789" s="12">
        <f t="shared" si="37"/>
        <v>488.09999999999997</v>
      </c>
      <c r="P789" s="12">
        <f t="shared" si="38"/>
        <v>146.42999999999998</v>
      </c>
      <c r="X789" s="14" t="s">
        <v>558</v>
      </c>
      <c r="Y789" s="19">
        <v>1861.9499999999998</v>
      </c>
    </row>
    <row r="790" spans="1:25" x14ac:dyDescent="0.3">
      <c r="A790">
        <v>56589</v>
      </c>
      <c r="B790" s="1">
        <v>45653</v>
      </c>
      <c r="C790">
        <v>969</v>
      </c>
      <c r="D790">
        <v>20</v>
      </c>
      <c r="E790" t="s">
        <v>28</v>
      </c>
      <c r="F790" t="s">
        <v>51</v>
      </c>
      <c r="G790">
        <v>1</v>
      </c>
      <c r="H790">
        <v>275.82</v>
      </c>
      <c r="I790" t="s">
        <v>35</v>
      </c>
      <c r="J790" t="s">
        <v>715</v>
      </c>
      <c r="K790">
        <v>3</v>
      </c>
      <c r="L790" t="s">
        <v>21</v>
      </c>
      <c r="M790">
        <v>18</v>
      </c>
      <c r="N790" s="18" t="str">
        <f t="shared" si="36"/>
        <v>18-30</v>
      </c>
      <c r="O790" s="12">
        <f t="shared" si="37"/>
        <v>275.82</v>
      </c>
      <c r="P790" s="12">
        <f t="shared" si="38"/>
        <v>82.745999999999995</v>
      </c>
      <c r="X790" s="14" t="s">
        <v>931</v>
      </c>
      <c r="Y790" s="19">
        <v>300.45000000000005</v>
      </c>
    </row>
    <row r="791" spans="1:25" x14ac:dyDescent="0.3">
      <c r="A791">
        <v>13356</v>
      </c>
      <c r="B791" s="1">
        <v>45653</v>
      </c>
      <c r="C791">
        <v>232</v>
      </c>
      <c r="D791">
        <v>50</v>
      </c>
      <c r="E791" t="s">
        <v>18</v>
      </c>
      <c r="F791" t="s">
        <v>87</v>
      </c>
      <c r="G791">
        <v>5</v>
      </c>
      <c r="H791">
        <v>408.95</v>
      </c>
      <c r="I791" t="s">
        <v>35</v>
      </c>
      <c r="J791" t="s">
        <v>819</v>
      </c>
      <c r="K791">
        <v>2</v>
      </c>
      <c r="L791" t="s">
        <v>21</v>
      </c>
      <c r="M791">
        <v>38</v>
      </c>
      <c r="N791" s="18" t="str">
        <f t="shared" si="36"/>
        <v>31-45</v>
      </c>
      <c r="O791" s="12">
        <f t="shared" si="37"/>
        <v>2044.75</v>
      </c>
      <c r="P791" s="12">
        <f t="shared" si="38"/>
        <v>613.42499999999995</v>
      </c>
      <c r="X791" s="14" t="s">
        <v>872</v>
      </c>
      <c r="Y791" s="19">
        <v>627.34</v>
      </c>
    </row>
    <row r="792" spans="1:25" x14ac:dyDescent="0.3">
      <c r="A792">
        <v>43115</v>
      </c>
      <c r="B792" s="1">
        <v>45654</v>
      </c>
      <c r="C792">
        <v>144</v>
      </c>
      <c r="D792">
        <v>50</v>
      </c>
      <c r="E792" t="s">
        <v>18</v>
      </c>
      <c r="F792" t="s">
        <v>19</v>
      </c>
      <c r="G792">
        <v>3</v>
      </c>
      <c r="H792">
        <v>201.32</v>
      </c>
      <c r="I792" t="s">
        <v>26</v>
      </c>
      <c r="J792" t="s">
        <v>316</v>
      </c>
      <c r="L792" t="s">
        <v>21</v>
      </c>
      <c r="M792">
        <v>65</v>
      </c>
      <c r="N792" s="18" t="str">
        <f t="shared" si="36"/>
        <v>60+</v>
      </c>
      <c r="O792" s="12">
        <f t="shared" si="37"/>
        <v>603.96</v>
      </c>
      <c r="P792" s="12">
        <f t="shared" si="38"/>
        <v>181.18800000000002</v>
      </c>
      <c r="X792" s="14" t="s">
        <v>738</v>
      </c>
      <c r="Y792" s="19">
        <v>1503.92</v>
      </c>
    </row>
    <row r="793" spans="1:25" x14ac:dyDescent="0.3">
      <c r="A793">
        <v>99923</v>
      </c>
      <c r="B793" s="1">
        <v>45654</v>
      </c>
      <c r="C793">
        <v>145</v>
      </c>
      <c r="D793">
        <v>20</v>
      </c>
      <c r="E793" t="s">
        <v>28</v>
      </c>
      <c r="F793" t="s">
        <v>79</v>
      </c>
      <c r="G793">
        <v>3</v>
      </c>
      <c r="H793">
        <v>164.64</v>
      </c>
      <c r="I793" t="s">
        <v>26</v>
      </c>
      <c r="J793" t="s">
        <v>321</v>
      </c>
      <c r="K793">
        <v>4</v>
      </c>
      <c r="M793">
        <v>66</v>
      </c>
      <c r="N793" s="18" t="str">
        <f t="shared" si="36"/>
        <v>60+</v>
      </c>
      <c r="O793" s="12">
        <f t="shared" si="37"/>
        <v>493.91999999999996</v>
      </c>
      <c r="P793" s="12">
        <f t="shared" si="38"/>
        <v>148.17599999999999</v>
      </c>
      <c r="X793" s="14" t="s">
        <v>994</v>
      </c>
      <c r="Y793" s="19">
        <v>296.62</v>
      </c>
    </row>
    <row r="794" spans="1:25" x14ac:dyDescent="0.3">
      <c r="A794">
        <v>94597</v>
      </c>
      <c r="B794" s="1">
        <v>45654</v>
      </c>
      <c r="C794">
        <v>241</v>
      </c>
      <c r="D794">
        <v>10</v>
      </c>
      <c r="E794" t="s">
        <v>13</v>
      </c>
      <c r="F794" t="s">
        <v>111</v>
      </c>
      <c r="G794">
        <v>2</v>
      </c>
      <c r="H794">
        <v>302.58999999999997</v>
      </c>
      <c r="I794" t="s">
        <v>15</v>
      </c>
      <c r="J794" t="s">
        <v>585</v>
      </c>
      <c r="K794">
        <v>5</v>
      </c>
      <c r="L794" t="s">
        <v>17</v>
      </c>
      <c r="M794">
        <v>28</v>
      </c>
      <c r="N794" s="18" t="str">
        <f t="shared" si="36"/>
        <v>18-30</v>
      </c>
      <c r="O794" s="12">
        <f t="shared" si="37"/>
        <v>605.17999999999995</v>
      </c>
      <c r="P794" s="12">
        <f t="shared" si="38"/>
        <v>181.55399999999997</v>
      </c>
      <c r="X794" s="14" t="s">
        <v>751</v>
      </c>
      <c r="Y794" s="19">
        <v>149.72</v>
      </c>
    </row>
    <row r="795" spans="1:25" x14ac:dyDescent="0.3">
      <c r="A795">
        <v>73165</v>
      </c>
      <c r="B795" s="1">
        <v>45655</v>
      </c>
      <c r="C795">
        <v>237</v>
      </c>
      <c r="D795">
        <v>40</v>
      </c>
      <c r="E795" t="s">
        <v>24</v>
      </c>
      <c r="F795" t="s">
        <v>65</v>
      </c>
      <c r="G795">
        <v>2</v>
      </c>
      <c r="H795">
        <v>240.26</v>
      </c>
      <c r="I795" t="s">
        <v>15</v>
      </c>
      <c r="J795" t="s">
        <v>177</v>
      </c>
      <c r="K795">
        <v>1</v>
      </c>
      <c r="L795" t="s">
        <v>17</v>
      </c>
      <c r="M795">
        <v>48</v>
      </c>
      <c r="N795" s="18" t="str">
        <f t="shared" si="36"/>
        <v>46-60</v>
      </c>
      <c r="O795" s="12">
        <f t="shared" si="37"/>
        <v>480.52</v>
      </c>
      <c r="P795" s="12">
        <f t="shared" si="38"/>
        <v>144.15599999999998</v>
      </c>
      <c r="X795" s="14" t="s">
        <v>698</v>
      </c>
      <c r="Y795" s="19">
        <v>2581.12</v>
      </c>
    </row>
    <row r="796" spans="1:25" x14ac:dyDescent="0.3">
      <c r="A796">
        <v>95874</v>
      </c>
      <c r="B796" s="1">
        <v>45656</v>
      </c>
      <c r="C796">
        <v>424</v>
      </c>
      <c r="D796">
        <v>50</v>
      </c>
      <c r="E796" t="s">
        <v>18</v>
      </c>
      <c r="F796" t="s">
        <v>19</v>
      </c>
      <c r="G796">
        <v>3</v>
      </c>
      <c r="H796">
        <v>303.48</v>
      </c>
      <c r="I796" t="s">
        <v>26</v>
      </c>
      <c r="J796" t="s">
        <v>61</v>
      </c>
      <c r="M796">
        <v>48</v>
      </c>
      <c r="N796" s="18" t="str">
        <f t="shared" si="36"/>
        <v>46-60</v>
      </c>
      <c r="O796" s="12">
        <f t="shared" si="37"/>
        <v>910.44</v>
      </c>
      <c r="P796" s="12">
        <f t="shared" si="38"/>
        <v>273.13200000000001</v>
      </c>
      <c r="X796" s="14" t="s">
        <v>400</v>
      </c>
      <c r="Y796" s="19">
        <v>2342.75</v>
      </c>
    </row>
    <row r="797" spans="1:25" x14ac:dyDescent="0.3">
      <c r="A797">
        <v>25952</v>
      </c>
      <c r="B797" s="1">
        <v>45656</v>
      </c>
      <c r="C797">
        <v>448</v>
      </c>
      <c r="D797">
        <v>20</v>
      </c>
      <c r="E797" t="s">
        <v>28</v>
      </c>
      <c r="F797" t="s">
        <v>77</v>
      </c>
      <c r="G797">
        <v>5</v>
      </c>
      <c r="H797">
        <v>287.5</v>
      </c>
      <c r="I797" t="s">
        <v>26</v>
      </c>
      <c r="J797" t="s">
        <v>260</v>
      </c>
      <c r="L797" t="s">
        <v>17</v>
      </c>
      <c r="M797">
        <v>73</v>
      </c>
      <c r="N797" s="18" t="str">
        <f t="shared" si="36"/>
        <v>60+</v>
      </c>
      <c r="O797" s="12">
        <f t="shared" si="37"/>
        <v>1437.5</v>
      </c>
      <c r="P797" s="12">
        <f t="shared" si="38"/>
        <v>431.25</v>
      </c>
      <c r="X797" s="14" t="s">
        <v>414</v>
      </c>
      <c r="Y797" s="19">
        <v>127.75</v>
      </c>
    </row>
    <row r="798" spans="1:25" x14ac:dyDescent="0.3">
      <c r="A798">
        <v>71870</v>
      </c>
      <c r="B798" s="1">
        <v>45656</v>
      </c>
      <c r="C798">
        <v>522</v>
      </c>
      <c r="D798">
        <v>10</v>
      </c>
      <c r="E798" t="s">
        <v>13</v>
      </c>
      <c r="F798" t="s">
        <v>42</v>
      </c>
      <c r="G798">
        <v>3</v>
      </c>
      <c r="H798">
        <v>286.01</v>
      </c>
      <c r="I798" t="s">
        <v>35</v>
      </c>
      <c r="J798" t="s">
        <v>531</v>
      </c>
      <c r="K798">
        <v>5</v>
      </c>
      <c r="L798" t="s">
        <v>21</v>
      </c>
      <c r="M798">
        <v>56</v>
      </c>
      <c r="N798" s="18" t="str">
        <f t="shared" si="36"/>
        <v>46-60</v>
      </c>
      <c r="O798" s="12">
        <f t="shared" si="37"/>
        <v>858.03</v>
      </c>
      <c r="P798" s="12">
        <f t="shared" si="38"/>
        <v>257.40899999999999</v>
      </c>
      <c r="X798" s="14" t="s">
        <v>229</v>
      </c>
      <c r="Y798" s="19">
        <v>911.2</v>
      </c>
    </row>
    <row r="799" spans="1:25" x14ac:dyDescent="0.3">
      <c r="A799">
        <v>74218</v>
      </c>
      <c r="B799" s="1">
        <v>45656</v>
      </c>
      <c r="C799">
        <v>631</v>
      </c>
      <c r="D799">
        <v>40</v>
      </c>
      <c r="E799" t="s">
        <v>24</v>
      </c>
      <c r="F799" t="s">
        <v>25</v>
      </c>
      <c r="G799">
        <v>1</v>
      </c>
      <c r="H799">
        <v>309.55</v>
      </c>
      <c r="I799" t="s">
        <v>26</v>
      </c>
      <c r="J799" t="s">
        <v>691</v>
      </c>
      <c r="K799">
        <v>5</v>
      </c>
      <c r="L799" t="s">
        <v>17</v>
      </c>
      <c r="M799">
        <v>52</v>
      </c>
      <c r="N799" s="18" t="str">
        <f t="shared" si="36"/>
        <v>46-60</v>
      </c>
      <c r="O799" s="12">
        <f t="shared" si="37"/>
        <v>309.55</v>
      </c>
      <c r="P799" s="12">
        <f t="shared" si="38"/>
        <v>92.864999999999995</v>
      </c>
      <c r="X799" s="14" t="s">
        <v>811</v>
      </c>
      <c r="Y799" s="19">
        <v>658.2</v>
      </c>
    </row>
    <row r="800" spans="1:25" x14ac:dyDescent="0.3">
      <c r="A800">
        <v>15625</v>
      </c>
      <c r="B800" s="1">
        <v>45657</v>
      </c>
      <c r="C800">
        <v>852</v>
      </c>
      <c r="D800">
        <v>20</v>
      </c>
      <c r="E800" t="s">
        <v>28</v>
      </c>
      <c r="F800" t="s">
        <v>79</v>
      </c>
      <c r="G800">
        <v>4</v>
      </c>
      <c r="H800">
        <v>380.53</v>
      </c>
      <c r="I800" t="s">
        <v>26</v>
      </c>
      <c r="J800" t="s">
        <v>393</v>
      </c>
      <c r="K800">
        <v>4</v>
      </c>
      <c r="L800" t="s">
        <v>17</v>
      </c>
      <c r="M800">
        <v>45</v>
      </c>
      <c r="N800" s="18" t="str">
        <f t="shared" si="36"/>
        <v>31-45</v>
      </c>
      <c r="O800" s="12">
        <f t="shared" si="37"/>
        <v>1522.12</v>
      </c>
      <c r="P800" s="12">
        <f t="shared" si="38"/>
        <v>456.63599999999997</v>
      </c>
      <c r="X800" s="14" t="s">
        <v>208</v>
      </c>
      <c r="Y800" s="19">
        <v>55.18</v>
      </c>
    </row>
    <row r="801" spans="1:25" x14ac:dyDescent="0.3">
      <c r="A801">
        <v>40338</v>
      </c>
      <c r="B801" s="1">
        <v>45657</v>
      </c>
      <c r="C801">
        <v>310</v>
      </c>
      <c r="D801">
        <v>40</v>
      </c>
      <c r="E801" t="s">
        <v>24</v>
      </c>
      <c r="F801" t="s">
        <v>49</v>
      </c>
      <c r="G801">
        <v>5</v>
      </c>
      <c r="H801">
        <v>79.66</v>
      </c>
      <c r="I801" t="s">
        <v>35</v>
      </c>
      <c r="J801" t="s">
        <v>518</v>
      </c>
      <c r="K801">
        <v>2</v>
      </c>
      <c r="L801" t="s">
        <v>21</v>
      </c>
      <c r="M801">
        <v>36</v>
      </c>
      <c r="N801" s="18" t="str">
        <f t="shared" si="36"/>
        <v>31-45</v>
      </c>
      <c r="O801" s="12">
        <f t="shared" si="37"/>
        <v>398.29999999999995</v>
      </c>
      <c r="P801" s="12">
        <f t="shared" si="38"/>
        <v>119.48999999999998</v>
      </c>
      <c r="X801" s="14" t="s">
        <v>424</v>
      </c>
      <c r="Y801" s="19">
        <v>1464.8</v>
      </c>
    </row>
    <row r="802" spans="1:25" x14ac:dyDescent="0.3">
      <c r="A802">
        <v>37729</v>
      </c>
      <c r="B802" s="1">
        <v>45657</v>
      </c>
      <c r="C802">
        <v>180</v>
      </c>
      <c r="D802">
        <v>30</v>
      </c>
      <c r="E802" t="s">
        <v>37</v>
      </c>
      <c r="F802" t="s">
        <v>58</v>
      </c>
      <c r="G802">
        <v>2</v>
      </c>
      <c r="H802">
        <v>127.95</v>
      </c>
      <c r="I802" t="s">
        <v>35</v>
      </c>
      <c r="J802" t="s">
        <v>887</v>
      </c>
      <c r="K802">
        <v>1</v>
      </c>
      <c r="L802" t="s">
        <v>17</v>
      </c>
      <c r="M802">
        <v>48</v>
      </c>
      <c r="N802" s="18" t="str">
        <f t="shared" si="36"/>
        <v>46-60</v>
      </c>
      <c r="O802" s="12">
        <f t="shared" si="37"/>
        <v>255.9</v>
      </c>
      <c r="P802" s="12">
        <f t="shared" si="38"/>
        <v>76.77</v>
      </c>
      <c r="X802" s="14" t="s">
        <v>374</v>
      </c>
      <c r="Y802" s="19">
        <v>412.04999999999995</v>
      </c>
    </row>
    <row r="803" spans="1:25" x14ac:dyDescent="0.3">
      <c r="A803">
        <v>82793</v>
      </c>
      <c r="B803" s="1">
        <v>45658</v>
      </c>
      <c r="C803">
        <v>261</v>
      </c>
      <c r="D803">
        <v>30</v>
      </c>
      <c r="E803" t="s">
        <v>37</v>
      </c>
      <c r="F803" t="s">
        <v>40</v>
      </c>
      <c r="G803">
        <v>4</v>
      </c>
      <c r="H803">
        <v>321.18</v>
      </c>
      <c r="I803" t="s">
        <v>35</v>
      </c>
      <c r="J803" t="s">
        <v>347</v>
      </c>
      <c r="K803">
        <v>2</v>
      </c>
      <c r="L803" t="s">
        <v>17</v>
      </c>
      <c r="M803">
        <v>49</v>
      </c>
      <c r="N803" s="18" t="str">
        <f t="shared" si="36"/>
        <v>46-60</v>
      </c>
      <c r="O803" s="12">
        <f t="shared" si="37"/>
        <v>1284.72</v>
      </c>
      <c r="P803" s="12">
        <f t="shared" si="38"/>
        <v>385.416</v>
      </c>
      <c r="X803" s="14" t="s">
        <v>539</v>
      </c>
      <c r="Y803" s="19">
        <v>431.8</v>
      </c>
    </row>
    <row r="804" spans="1:25" x14ac:dyDescent="0.3">
      <c r="A804">
        <v>73269</v>
      </c>
      <c r="B804" s="1">
        <v>45660</v>
      </c>
      <c r="C804">
        <v>748</v>
      </c>
      <c r="D804">
        <v>10</v>
      </c>
      <c r="E804" t="s">
        <v>13</v>
      </c>
      <c r="F804" t="s">
        <v>42</v>
      </c>
      <c r="G804">
        <v>2</v>
      </c>
      <c r="H804">
        <v>301.10000000000002</v>
      </c>
      <c r="I804" t="s">
        <v>26</v>
      </c>
      <c r="J804" t="s">
        <v>283</v>
      </c>
      <c r="K804">
        <v>4</v>
      </c>
      <c r="L804" t="s">
        <v>17</v>
      </c>
      <c r="M804">
        <v>24</v>
      </c>
      <c r="N804" s="18" t="str">
        <f t="shared" si="36"/>
        <v>18-30</v>
      </c>
      <c r="O804" s="12">
        <f t="shared" si="37"/>
        <v>602.20000000000005</v>
      </c>
      <c r="P804" s="12">
        <f t="shared" si="38"/>
        <v>180.66</v>
      </c>
      <c r="X804" s="14" t="s">
        <v>449</v>
      </c>
      <c r="Y804" s="19">
        <v>1215.06</v>
      </c>
    </row>
    <row r="805" spans="1:25" x14ac:dyDescent="0.3">
      <c r="A805">
        <v>35219</v>
      </c>
      <c r="B805" s="1">
        <v>45660</v>
      </c>
      <c r="C805">
        <v>739</v>
      </c>
      <c r="D805">
        <v>40</v>
      </c>
      <c r="E805" t="s">
        <v>24</v>
      </c>
      <c r="F805" t="s">
        <v>44</v>
      </c>
      <c r="G805">
        <v>4</v>
      </c>
      <c r="H805">
        <v>410.06</v>
      </c>
      <c r="I805" t="s">
        <v>35</v>
      </c>
      <c r="J805" t="s">
        <v>412</v>
      </c>
      <c r="K805">
        <v>1</v>
      </c>
      <c r="L805" t="s">
        <v>21</v>
      </c>
      <c r="M805">
        <v>21</v>
      </c>
      <c r="N805" s="18" t="str">
        <f t="shared" si="36"/>
        <v>18-30</v>
      </c>
      <c r="O805" s="12">
        <f t="shared" si="37"/>
        <v>1640.24</v>
      </c>
      <c r="P805" s="12">
        <f t="shared" si="38"/>
        <v>492.072</v>
      </c>
      <c r="X805" s="14" t="s">
        <v>657</v>
      </c>
      <c r="Y805" s="19">
        <v>864.12</v>
      </c>
    </row>
    <row r="806" spans="1:25" x14ac:dyDescent="0.3">
      <c r="A806">
        <v>59338</v>
      </c>
      <c r="B806" s="1">
        <v>45660</v>
      </c>
      <c r="C806">
        <v>937</v>
      </c>
      <c r="D806">
        <v>30</v>
      </c>
      <c r="E806" t="s">
        <v>37</v>
      </c>
      <c r="F806" t="s">
        <v>95</v>
      </c>
      <c r="G806">
        <v>4</v>
      </c>
      <c r="H806">
        <v>478.94</v>
      </c>
      <c r="I806" t="s">
        <v>15</v>
      </c>
      <c r="J806" t="s">
        <v>434</v>
      </c>
      <c r="K806">
        <v>1</v>
      </c>
      <c r="L806" t="s">
        <v>21</v>
      </c>
      <c r="M806">
        <v>48</v>
      </c>
      <c r="N806" s="18" t="str">
        <f t="shared" si="36"/>
        <v>46-60</v>
      </c>
      <c r="O806" s="12">
        <f t="shared" si="37"/>
        <v>1915.76</v>
      </c>
      <c r="P806" s="12">
        <f t="shared" si="38"/>
        <v>574.72799999999995</v>
      </c>
      <c r="X806" s="14" t="s">
        <v>924</v>
      </c>
      <c r="Y806" s="19">
        <v>497.89</v>
      </c>
    </row>
    <row r="807" spans="1:25" x14ac:dyDescent="0.3">
      <c r="A807">
        <v>40849</v>
      </c>
      <c r="B807" s="1">
        <v>45660</v>
      </c>
      <c r="C807">
        <v>554</v>
      </c>
      <c r="D807">
        <v>10</v>
      </c>
      <c r="E807" t="s">
        <v>13</v>
      </c>
      <c r="F807" t="s">
        <v>32</v>
      </c>
      <c r="G807">
        <v>4</v>
      </c>
      <c r="H807">
        <v>59.93</v>
      </c>
      <c r="I807" t="s">
        <v>15</v>
      </c>
      <c r="J807" t="s">
        <v>574</v>
      </c>
      <c r="L807" t="s">
        <v>21</v>
      </c>
      <c r="M807">
        <v>23</v>
      </c>
      <c r="N807" s="18" t="str">
        <f t="shared" si="36"/>
        <v>18-30</v>
      </c>
      <c r="O807" s="12">
        <f t="shared" si="37"/>
        <v>239.72</v>
      </c>
      <c r="P807" s="12">
        <f t="shared" si="38"/>
        <v>71.915999999999997</v>
      </c>
      <c r="X807" s="14" t="s">
        <v>776</v>
      </c>
      <c r="Y807" s="19">
        <v>1332.92</v>
      </c>
    </row>
    <row r="808" spans="1:25" x14ac:dyDescent="0.3">
      <c r="A808">
        <v>13431</v>
      </c>
      <c r="B808" s="1">
        <v>45660</v>
      </c>
      <c r="C808">
        <v>591</v>
      </c>
      <c r="D808">
        <v>20</v>
      </c>
      <c r="E808" t="s">
        <v>28</v>
      </c>
      <c r="F808" t="s">
        <v>79</v>
      </c>
      <c r="G808">
        <v>3</v>
      </c>
      <c r="H808">
        <v>206.38</v>
      </c>
      <c r="I808" t="s">
        <v>26</v>
      </c>
      <c r="J808" t="s">
        <v>688</v>
      </c>
      <c r="K808">
        <v>2</v>
      </c>
      <c r="L808" t="s">
        <v>21</v>
      </c>
      <c r="M808">
        <v>63</v>
      </c>
      <c r="N808" s="18" t="str">
        <f t="shared" si="36"/>
        <v>60+</v>
      </c>
      <c r="O808" s="12">
        <f t="shared" si="37"/>
        <v>619.14</v>
      </c>
      <c r="P808" s="12">
        <f t="shared" si="38"/>
        <v>185.74199999999999</v>
      </c>
      <c r="X808" s="14" t="s">
        <v>112</v>
      </c>
      <c r="Y808" s="19">
        <v>364.12</v>
      </c>
    </row>
    <row r="809" spans="1:25" x14ac:dyDescent="0.3">
      <c r="A809">
        <v>88937</v>
      </c>
      <c r="B809" s="1">
        <v>45661</v>
      </c>
      <c r="C809">
        <v>504</v>
      </c>
      <c r="D809">
        <v>30</v>
      </c>
      <c r="E809" t="s">
        <v>37</v>
      </c>
      <c r="F809" t="s">
        <v>68</v>
      </c>
      <c r="G809">
        <v>2</v>
      </c>
      <c r="H809">
        <v>240.14</v>
      </c>
      <c r="I809" t="s">
        <v>26</v>
      </c>
      <c r="J809" t="s">
        <v>762</v>
      </c>
      <c r="K809">
        <v>5</v>
      </c>
      <c r="L809" t="s">
        <v>21</v>
      </c>
      <c r="M809">
        <v>34</v>
      </c>
      <c r="N809" s="18" t="str">
        <f t="shared" si="36"/>
        <v>31-45</v>
      </c>
      <c r="O809" s="12">
        <f t="shared" si="37"/>
        <v>480.28</v>
      </c>
      <c r="P809" s="12">
        <f t="shared" si="38"/>
        <v>144.08399999999997</v>
      </c>
      <c r="X809" s="14" t="s">
        <v>779</v>
      </c>
      <c r="Y809" s="19">
        <v>484.7</v>
      </c>
    </row>
    <row r="810" spans="1:25" x14ac:dyDescent="0.3">
      <c r="A810">
        <v>99133</v>
      </c>
      <c r="B810" s="1">
        <v>45662</v>
      </c>
      <c r="C810">
        <v>928</v>
      </c>
      <c r="D810">
        <v>50</v>
      </c>
      <c r="E810" t="s">
        <v>18</v>
      </c>
      <c r="F810" t="s">
        <v>22</v>
      </c>
      <c r="G810">
        <v>1</v>
      </c>
      <c r="H810">
        <v>63.44</v>
      </c>
      <c r="I810" t="s">
        <v>35</v>
      </c>
      <c r="J810" t="s">
        <v>243</v>
      </c>
      <c r="K810">
        <v>1</v>
      </c>
      <c r="L810" t="s">
        <v>17</v>
      </c>
      <c r="M810">
        <v>26</v>
      </c>
      <c r="N810" s="18" t="str">
        <f t="shared" si="36"/>
        <v>18-30</v>
      </c>
      <c r="O810" s="12">
        <f t="shared" si="37"/>
        <v>63.44</v>
      </c>
      <c r="P810" s="12">
        <f t="shared" si="38"/>
        <v>19.032</v>
      </c>
      <c r="X810" s="14" t="s">
        <v>970</v>
      </c>
      <c r="Y810" s="19">
        <v>691.78</v>
      </c>
    </row>
    <row r="811" spans="1:25" x14ac:dyDescent="0.3">
      <c r="A811">
        <v>16865</v>
      </c>
      <c r="B811" s="1">
        <v>45663</v>
      </c>
      <c r="C811">
        <v>991</v>
      </c>
      <c r="D811">
        <v>30</v>
      </c>
      <c r="E811" t="s">
        <v>37</v>
      </c>
      <c r="F811" t="s">
        <v>38</v>
      </c>
      <c r="G811">
        <v>3</v>
      </c>
      <c r="H811">
        <v>208.47</v>
      </c>
      <c r="I811" t="s">
        <v>26</v>
      </c>
      <c r="J811" t="s">
        <v>272</v>
      </c>
      <c r="M811">
        <v>39</v>
      </c>
      <c r="N811" s="18" t="str">
        <f t="shared" si="36"/>
        <v>31-45</v>
      </c>
      <c r="O811" s="12">
        <f t="shared" si="37"/>
        <v>625.41</v>
      </c>
      <c r="P811" s="12">
        <f t="shared" si="38"/>
        <v>187.62299999999999</v>
      </c>
      <c r="X811" s="14" t="s">
        <v>913</v>
      </c>
      <c r="Y811" s="19">
        <v>1002.2</v>
      </c>
    </row>
    <row r="812" spans="1:25" x14ac:dyDescent="0.3">
      <c r="A812">
        <v>24196</v>
      </c>
      <c r="B812" s="1">
        <v>45663</v>
      </c>
      <c r="C812">
        <v>229</v>
      </c>
      <c r="D812">
        <v>10</v>
      </c>
      <c r="E812" t="s">
        <v>13</v>
      </c>
      <c r="F812" t="s">
        <v>14</v>
      </c>
      <c r="G812">
        <v>1</v>
      </c>
      <c r="H812">
        <v>231.51</v>
      </c>
      <c r="I812" t="s">
        <v>15</v>
      </c>
      <c r="J812" t="s">
        <v>663</v>
      </c>
      <c r="K812">
        <v>5</v>
      </c>
      <c r="L812" t="s">
        <v>21</v>
      </c>
      <c r="M812">
        <v>41</v>
      </c>
      <c r="N812" s="18" t="str">
        <f t="shared" si="36"/>
        <v>31-45</v>
      </c>
      <c r="O812" s="12">
        <f t="shared" si="37"/>
        <v>231.51</v>
      </c>
      <c r="P812" s="12">
        <f t="shared" si="38"/>
        <v>69.452999999999989</v>
      </c>
      <c r="X812" s="14" t="s">
        <v>250</v>
      </c>
      <c r="Y812" s="19">
        <v>1102.53</v>
      </c>
    </row>
    <row r="813" spans="1:25" x14ac:dyDescent="0.3">
      <c r="A813">
        <v>93038</v>
      </c>
      <c r="B813" s="1">
        <v>45663</v>
      </c>
      <c r="C813">
        <v>847</v>
      </c>
      <c r="D813">
        <v>40</v>
      </c>
      <c r="E813" t="s">
        <v>24</v>
      </c>
      <c r="F813" t="s">
        <v>25</v>
      </c>
      <c r="G813">
        <v>5</v>
      </c>
      <c r="H813">
        <v>125.08</v>
      </c>
      <c r="I813" t="s">
        <v>15</v>
      </c>
      <c r="J813" t="s">
        <v>809</v>
      </c>
      <c r="K813">
        <v>5</v>
      </c>
      <c r="L813" t="s">
        <v>21</v>
      </c>
      <c r="M813">
        <v>36</v>
      </c>
      <c r="N813" s="18" t="str">
        <f t="shared" si="36"/>
        <v>31-45</v>
      </c>
      <c r="O813" s="12">
        <f t="shared" si="37"/>
        <v>625.4</v>
      </c>
      <c r="P813" s="12">
        <f t="shared" si="38"/>
        <v>187.61999999999998</v>
      </c>
      <c r="X813" s="14" t="s">
        <v>488</v>
      </c>
      <c r="Y813" s="19">
        <v>213.83</v>
      </c>
    </row>
    <row r="814" spans="1:25" x14ac:dyDescent="0.3">
      <c r="A814">
        <v>89875</v>
      </c>
      <c r="B814" s="1">
        <v>45663</v>
      </c>
      <c r="C814">
        <v>759</v>
      </c>
      <c r="D814">
        <v>40</v>
      </c>
      <c r="E814" t="s">
        <v>24</v>
      </c>
      <c r="F814" t="s">
        <v>63</v>
      </c>
      <c r="G814">
        <v>1</v>
      </c>
      <c r="H814">
        <v>233.24</v>
      </c>
      <c r="I814" t="s">
        <v>35</v>
      </c>
      <c r="J814" t="s">
        <v>991</v>
      </c>
      <c r="K814">
        <v>5</v>
      </c>
      <c r="L814" t="s">
        <v>17</v>
      </c>
      <c r="M814">
        <v>30</v>
      </c>
      <c r="N814" s="18" t="str">
        <f t="shared" si="36"/>
        <v>18-30</v>
      </c>
      <c r="O814" s="12">
        <f t="shared" si="37"/>
        <v>233.24</v>
      </c>
      <c r="P814" s="12">
        <f t="shared" si="38"/>
        <v>69.971999999999994</v>
      </c>
      <c r="X814" s="14" t="s">
        <v>995</v>
      </c>
      <c r="Y814" s="19">
        <v>2053</v>
      </c>
    </row>
    <row r="815" spans="1:25" x14ac:dyDescent="0.3">
      <c r="A815">
        <v>60807</v>
      </c>
      <c r="B815" s="1">
        <v>45664</v>
      </c>
      <c r="C815">
        <v>798</v>
      </c>
      <c r="D815">
        <v>20</v>
      </c>
      <c r="E815" t="s">
        <v>28</v>
      </c>
      <c r="F815" t="s">
        <v>29</v>
      </c>
      <c r="G815">
        <v>1</v>
      </c>
      <c r="H815">
        <v>280.12</v>
      </c>
      <c r="I815" t="s">
        <v>26</v>
      </c>
      <c r="J815" t="s">
        <v>197</v>
      </c>
      <c r="L815" t="s">
        <v>17</v>
      </c>
      <c r="M815">
        <v>39</v>
      </c>
      <c r="N815" s="18" t="str">
        <f t="shared" si="36"/>
        <v>31-45</v>
      </c>
      <c r="O815" s="12">
        <f t="shared" si="37"/>
        <v>280.12</v>
      </c>
      <c r="P815" s="12">
        <f t="shared" si="38"/>
        <v>84.036000000000001</v>
      </c>
      <c r="X815" s="14" t="s">
        <v>932</v>
      </c>
      <c r="Y815" s="19">
        <v>77.37</v>
      </c>
    </row>
    <row r="816" spans="1:25" x14ac:dyDescent="0.3">
      <c r="A816">
        <v>57585</v>
      </c>
      <c r="B816" s="1">
        <v>45664</v>
      </c>
      <c r="C816">
        <v>394</v>
      </c>
      <c r="D816">
        <v>40</v>
      </c>
      <c r="E816" t="s">
        <v>24</v>
      </c>
      <c r="F816" t="s">
        <v>49</v>
      </c>
      <c r="G816">
        <v>4</v>
      </c>
      <c r="H816">
        <v>494.32</v>
      </c>
      <c r="I816" t="s">
        <v>35</v>
      </c>
      <c r="J816" t="s">
        <v>203</v>
      </c>
      <c r="K816">
        <v>5</v>
      </c>
      <c r="L816" t="s">
        <v>17</v>
      </c>
      <c r="M816">
        <v>50</v>
      </c>
      <c r="N816" s="18" t="str">
        <f t="shared" si="36"/>
        <v>46-60</v>
      </c>
      <c r="O816" s="12">
        <f t="shared" si="37"/>
        <v>1977.28</v>
      </c>
      <c r="P816" s="12">
        <f t="shared" si="38"/>
        <v>593.18399999999997</v>
      </c>
      <c r="X816" s="14" t="s">
        <v>770</v>
      </c>
      <c r="Y816" s="19">
        <v>226.48</v>
      </c>
    </row>
    <row r="817" spans="1:25" x14ac:dyDescent="0.3">
      <c r="A817">
        <v>51301</v>
      </c>
      <c r="B817" s="1">
        <v>45664</v>
      </c>
      <c r="C817">
        <v>398</v>
      </c>
      <c r="D817">
        <v>30</v>
      </c>
      <c r="E817" t="s">
        <v>37</v>
      </c>
      <c r="F817" t="s">
        <v>68</v>
      </c>
      <c r="G817">
        <v>5</v>
      </c>
      <c r="H817">
        <v>73.19</v>
      </c>
      <c r="I817" t="s">
        <v>35</v>
      </c>
      <c r="J817" t="s">
        <v>291</v>
      </c>
      <c r="K817">
        <v>5</v>
      </c>
      <c r="L817" t="s">
        <v>21</v>
      </c>
      <c r="M817">
        <v>43</v>
      </c>
      <c r="N817" s="18" t="str">
        <f t="shared" si="36"/>
        <v>31-45</v>
      </c>
      <c r="O817" s="12">
        <f t="shared" si="37"/>
        <v>365.95</v>
      </c>
      <c r="P817" s="12">
        <f t="shared" si="38"/>
        <v>109.785</v>
      </c>
      <c r="X817" s="14" t="s">
        <v>518</v>
      </c>
      <c r="Y817" s="19">
        <v>398.29999999999995</v>
      </c>
    </row>
    <row r="818" spans="1:25" x14ac:dyDescent="0.3">
      <c r="A818">
        <v>77157</v>
      </c>
      <c r="B818" s="1">
        <v>45664</v>
      </c>
      <c r="C818">
        <v>635</v>
      </c>
      <c r="D818">
        <v>30</v>
      </c>
      <c r="E818" t="s">
        <v>37</v>
      </c>
      <c r="F818" t="s">
        <v>95</v>
      </c>
      <c r="G818">
        <v>4</v>
      </c>
      <c r="H818">
        <v>323.89</v>
      </c>
      <c r="I818" t="s">
        <v>26</v>
      </c>
      <c r="J818" t="s">
        <v>650</v>
      </c>
      <c r="K818">
        <v>2</v>
      </c>
      <c r="L818" t="s">
        <v>17</v>
      </c>
      <c r="M818">
        <v>61</v>
      </c>
      <c r="N818" s="18" t="str">
        <f t="shared" si="36"/>
        <v>60+</v>
      </c>
      <c r="O818" s="12">
        <f t="shared" si="37"/>
        <v>1295.56</v>
      </c>
      <c r="P818" s="12">
        <f t="shared" si="38"/>
        <v>388.66799999999995</v>
      </c>
      <c r="X818" s="14" t="s">
        <v>787</v>
      </c>
      <c r="Y818" s="19">
        <v>1087.75</v>
      </c>
    </row>
    <row r="819" spans="1:25" x14ac:dyDescent="0.3">
      <c r="A819">
        <v>27148</v>
      </c>
      <c r="B819" s="1">
        <v>45664</v>
      </c>
      <c r="C819">
        <v>635</v>
      </c>
      <c r="D819">
        <v>30</v>
      </c>
      <c r="E819" t="s">
        <v>37</v>
      </c>
      <c r="F819" t="s">
        <v>58</v>
      </c>
      <c r="G819">
        <v>1</v>
      </c>
      <c r="H819">
        <v>235.88</v>
      </c>
      <c r="I819" t="s">
        <v>35</v>
      </c>
      <c r="J819" t="s">
        <v>996</v>
      </c>
      <c r="K819">
        <v>4</v>
      </c>
      <c r="L819" t="s">
        <v>17</v>
      </c>
      <c r="M819">
        <v>40</v>
      </c>
      <c r="N819" s="18" t="str">
        <f t="shared" si="36"/>
        <v>31-45</v>
      </c>
      <c r="O819" s="12">
        <f t="shared" si="37"/>
        <v>235.88</v>
      </c>
      <c r="P819" s="12">
        <f t="shared" si="38"/>
        <v>70.763999999999996</v>
      </c>
      <c r="X819" s="14" t="s">
        <v>690</v>
      </c>
      <c r="Y819" s="19">
        <v>304.10000000000002</v>
      </c>
    </row>
    <row r="820" spans="1:25" x14ac:dyDescent="0.3">
      <c r="A820">
        <v>60808</v>
      </c>
      <c r="B820" s="1">
        <v>45665</v>
      </c>
      <c r="C820">
        <v>424</v>
      </c>
      <c r="D820">
        <v>50</v>
      </c>
      <c r="E820" t="s">
        <v>18</v>
      </c>
      <c r="F820" t="s">
        <v>19</v>
      </c>
      <c r="G820">
        <v>3</v>
      </c>
      <c r="H820">
        <v>63.59</v>
      </c>
      <c r="I820" t="s">
        <v>15</v>
      </c>
      <c r="J820" t="s">
        <v>483</v>
      </c>
      <c r="K820">
        <v>5</v>
      </c>
      <c r="L820" t="s">
        <v>21</v>
      </c>
      <c r="M820">
        <v>19</v>
      </c>
      <c r="N820" s="18" t="str">
        <f t="shared" si="36"/>
        <v>18-30</v>
      </c>
      <c r="O820" s="12">
        <f t="shared" si="37"/>
        <v>190.77</v>
      </c>
      <c r="P820" s="12">
        <f t="shared" si="38"/>
        <v>57.231000000000002</v>
      </c>
      <c r="X820" s="14" t="s">
        <v>169</v>
      </c>
      <c r="Y820" s="19">
        <v>1165.1600000000001</v>
      </c>
    </row>
    <row r="821" spans="1:25" x14ac:dyDescent="0.3">
      <c r="A821">
        <v>32947</v>
      </c>
      <c r="B821" s="1">
        <v>45667</v>
      </c>
      <c r="C821">
        <v>387</v>
      </c>
      <c r="D821">
        <v>40</v>
      </c>
      <c r="E821" t="s">
        <v>24</v>
      </c>
      <c r="F821" t="s">
        <v>25</v>
      </c>
      <c r="G821">
        <v>2</v>
      </c>
      <c r="H821">
        <v>308.41000000000003</v>
      </c>
      <c r="I821" t="s">
        <v>26</v>
      </c>
      <c r="J821" t="s">
        <v>679</v>
      </c>
      <c r="K821">
        <v>5</v>
      </c>
      <c r="M821">
        <v>41</v>
      </c>
      <c r="N821" s="18" t="str">
        <f t="shared" si="36"/>
        <v>31-45</v>
      </c>
      <c r="O821" s="12">
        <f t="shared" si="37"/>
        <v>616.82000000000005</v>
      </c>
      <c r="P821" s="12">
        <f t="shared" si="38"/>
        <v>185.04600000000002</v>
      </c>
      <c r="X821" s="14" t="s">
        <v>513</v>
      </c>
      <c r="Y821" s="19">
        <v>1832.44</v>
      </c>
    </row>
    <row r="822" spans="1:25" x14ac:dyDescent="0.3">
      <c r="A822">
        <v>27584</v>
      </c>
      <c r="B822" s="1">
        <v>45667</v>
      </c>
      <c r="C822">
        <v>366</v>
      </c>
      <c r="D822">
        <v>40</v>
      </c>
      <c r="E822" t="s">
        <v>24</v>
      </c>
      <c r="F822" t="s">
        <v>65</v>
      </c>
      <c r="G822">
        <v>1</v>
      </c>
      <c r="H822">
        <v>79.8</v>
      </c>
      <c r="I822" t="s">
        <v>15</v>
      </c>
      <c r="J822" t="s">
        <v>747</v>
      </c>
      <c r="K822">
        <v>1</v>
      </c>
      <c r="L822" t="s">
        <v>17</v>
      </c>
      <c r="M822">
        <v>51</v>
      </c>
      <c r="N822" s="18" t="str">
        <f t="shared" si="36"/>
        <v>46-60</v>
      </c>
      <c r="O822" s="12">
        <f t="shared" si="37"/>
        <v>79.8</v>
      </c>
      <c r="P822" s="12">
        <f t="shared" si="38"/>
        <v>23.939999999999998</v>
      </c>
      <c r="X822" s="14" t="s">
        <v>900</v>
      </c>
      <c r="Y822" s="19">
        <v>822.4</v>
      </c>
    </row>
    <row r="823" spans="1:25" x14ac:dyDescent="0.3">
      <c r="A823">
        <v>71289</v>
      </c>
      <c r="B823" s="1">
        <v>45668</v>
      </c>
      <c r="C823">
        <v>815</v>
      </c>
      <c r="D823">
        <v>30</v>
      </c>
      <c r="E823" t="s">
        <v>37</v>
      </c>
      <c r="F823" t="s">
        <v>68</v>
      </c>
      <c r="G823">
        <v>1</v>
      </c>
      <c r="H823">
        <v>450.81</v>
      </c>
      <c r="I823" t="s">
        <v>26</v>
      </c>
      <c r="J823" t="s">
        <v>69</v>
      </c>
      <c r="L823" t="s">
        <v>21</v>
      </c>
      <c r="M823">
        <v>50</v>
      </c>
      <c r="N823" s="18" t="str">
        <f t="shared" si="36"/>
        <v>46-60</v>
      </c>
      <c r="O823" s="12">
        <f t="shared" si="37"/>
        <v>450.81</v>
      </c>
      <c r="P823" s="12">
        <f t="shared" si="38"/>
        <v>135.24299999999999</v>
      </c>
      <c r="X823" s="14" t="s">
        <v>814</v>
      </c>
      <c r="Y823" s="19">
        <v>1953.96</v>
      </c>
    </row>
    <row r="824" spans="1:25" x14ac:dyDescent="0.3">
      <c r="A824">
        <v>19238</v>
      </c>
      <c r="B824" s="1">
        <v>45668</v>
      </c>
      <c r="C824">
        <v>517</v>
      </c>
      <c r="D824">
        <v>10</v>
      </c>
      <c r="E824" t="s">
        <v>13</v>
      </c>
      <c r="F824" t="s">
        <v>111</v>
      </c>
      <c r="G824">
        <v>2</v>
      </c>
      <c r="H824">
        <v>108.34</v>
      </c>
      <c r="I824" t="s">
        <v>35</v>
      </c>
      <c r="J824" t="s">
        <v>912</v>
      </c>
      <c r="K824">
        <v>5</v>
      </c>
      <c r="L824" t="s">
        <v>21</v>
      </c>
      <c r="M824">
        <v>70</v>
      </c>
      <c r="N824" s="18" t="str">
        <f t="shared" si="36"/>
        <v>60+</v>
      </c>
      <c r="O824" s="12">
        <f t="shared" si="37"/>
        <v>216.68</v>
      </c>
      <c r="P824" s="12">
        <f t="shared" si="38"/>
        <v>65.004000000000005</v>
      </c>
      <c r="X824" s="14" t="s">
        <v>145</v>
      </c>
      <c r="Y824" s="19">
        <v>2376.5500000000002</v>
      </c>
    </row>
    <row r="825" spans="1:25" x14ac:dyDescent="0.3">
      <c r="A825">
        <v>21391</v>
      </c>
      <c r="B825" s="1">
        <v>45668</v>
      </c>
      <c r="C825">
        <v>143</v>
      </c>
      <c r="D825">
        <v>10</v>
      </c>
      <c r="E825" t="s">
        <v>13</v>
      </c>
      <c r="F825" t="s">
        <v>42</v>
      </c>
      <c r="G825">
        <v>1</v>
      </c>
      <c r="H825">
        <v>63.56</v>
      </c>
      <c r="I825" t="s">
        <v>26</v>
      </c>
      <c r="J825" t="s">
        <v>936</v>
      </c>
      <c r="K825">
        <v>5</v>
      </c>
      <c r="L825" t="s">
        <v>21</v>
      </c>
      <c r="M825">
        <v>28</v>
      </c>
      <c r="N825" s="18" t="str">
        <f t="shared" si="36"/>
        <v>18-30</v>
      </c>
      <c r="O825" s="12">
        <f t="shared" si="37"/>
        <v>63.56</v>
      </c>
      <c r="P825" s="12">
        <f t="shared" si="38"/>
        <v>19.068000000000001</v>
      </c>
      <c r="X825" s="14" t="s">
        <v>130</v>
      </c>
      <c r="Y825" s="19">
        <v>2046.75</v>
      </c>
    </row>
    <row r="826" spans="1:25" x14ac:dyDescent="0.3">
      <c r="A826">
        <v>36732</v>
      </c>
      <c r="B826" s="1">
        <v>45669</v>
      </c>
      <c r="C826">
        <v>704</v>
      </c>
      <c r="D826">
        <v>40</v>
      </c>
      <c r="E826" t="s">
        <v>24</v>
      </c>
      <c r="F826" t="s">
        <v>65</v>
      </c>
      <c r="G826">
        <v>3</v>
      </c>
      <c r="H826">
        <v>90.91</v>
      </c>
      <c r="I826" t="s">
        <v>35</v>
      </c>
      <c r="J826" t="s">
        <v>66</v>
      </c>
      <c r="K826">
        <v>5</v>
      </c>
      <c r="L826" t="s">
        <v>21</v>
      </c>
      <c r="M826">
        <v>42</v>
      </c>
      <c r="N826" s="18" t="str">
        <f t="shared" si="36"/>
        <v>31-45</v>
      </c>
      <c r="O826" s="12">
        <f t="shared" si="37"/>
        <v>272.73</v>
      </c>
      <c r="P826" s="12">
        <f t="shared" si="38"/>
        <v>81.819000000000003</v>
      </c>
      <c r="X826" s="14" t="s">
        <v>457</v>
      </c>
      <c r="Y826" s="19">
        <v>80.650000000000006</v>
      </c>
    </row>
    <row r="827" spans="1:25" x14ac:dyDescent="0.3">
      <c r="A827">
        <v>76569</v>
      </c>
      <c r="B827" s="1">
        <v>45669</v>
      </c>
      <c r="C827">
        <v>447</v>
      </c>
      <c r="D827">
        <v>30</v>
      </c>
      <c r="E827" t="s">
        <v>37</v>
      </c>
      <c r="F827" t="s">
        <v>95</v>
      </c>
      <c r="G827">
        <v>1</v>
      </c>
      <c r="H827">
        <v>428.62</v>
      </c>
      <c r="I827" t="s">
        <v>26</v>
      </c>
      <c r="J827" t="s">
        <v>818</v>
      </c>
      <c r="K827">
        <v>4</v>
      </c>
      <c r="L827" t="s">
        <v>17</v>
      </c>
      <c r="M827">
        <v>56</v>
      </c>
      <c r="N827" s="18" t="str">
        <f t="shared" si="36"/>
        <v>46-60</v>
      </c>
      <c r="O827" s="12">
        <f t="shared" si="37"/>
        <v>428.62</v>
      </c>
      <c r="P827" s="12">
        <f t="shared" si="38"/>
        <v>128.58599999999998</v>
      </c>
      <c r="X827" s="14" t="s">
        <v>675</v>
      </c>
      <c r="Y827" s="19">
        <v>455.42</v>
      </c>
    </row>
    <row r="828" spans="1:25" x14ac:dyDescent="0.3">
      <c r="A828">
        <v>18860</v>
      </c>
      <c r="B828" s="1">
        <v>45670</v>
      </c>
      <c r="C828">
        <v>860</v>
      </c>
      <c r="D828">
        <v>20</v>
      </c>
      <c r="E828" t="s">
        <v>28</v>
      </c>
      <c r="F828" t="s">
        <v>29</v>
      </c>
      <c r="G828">
        <v>1</v>
      </c>
      <c r="H828">
        <v>145.57</v>
      </c>
      <c r="I828" t="s">
        <v>26</v>
      </c>
      <c r="J828" t="s">
        <v>754</v>
      </c>
      <c r="L828" t="s">
        <v>17</v>
      </c>
      <c r="M828">
        <v>61</v>
      </c>
      <c r="N828" s="18" t="str">
        <f t="shared" si="36"/>
        <v>60+</v>
      </c>
      <c r="O828" s="12">
        <f t="shared" si="37"/>
        <v>145.57</v>
      </c>
      <c r="P828" s="12">
        <f t="shared" si="38"/>
        <v>43.670999999999999</v>
      </c>
      <c r="X828" s="14" t="s">
        <v>840</v>
      </c>
      <c r="Y828" s="19">
        <v>799.5</v>
      </c>
    </row>
    <row r="829" spans="1:25" x14ac:dyDescent="0.3">
      <c r="A829">
        <v>81507</v>
      </c>
      <c r="B829" s="1">
        <v>45670</v>
      </c>
      <c r="C829">
        <v>611</v>
      </c>
      <c r="D829">
        <v>20</v>
      </c>
      <c r="E829" t="s">
        <v>28</v>
      </c>
      <c r="F829" t="s">
        <v>29</v>
      </c>
      <c r="G829">
        <v>1</v>
      </c>
      <c r="H829">
        <v>124.01</v>
      </c>
      <c r="I829" t="s">
        <v>35</v>
      </c>
      <c r="J829" t="s">
        <v>866</v>
      </c>
      <c r="K829">
        <v>5</v>
      </c>
      <c r="L829" t="s">
        <v>17</v>
      </c>
      <c r="M829">
        <v>58</v>
      </c>
      <c r="N829" s="18" t="str">
        <f t="shared" si="36"/>
        <v>46-60</v>
      </c>
      <c r="O829" s="12">
        <f t="shared" si="37"/>
        <v>124.01</v>
      </c>
      <c r="P829" s="12">
        <f t="shared" si="38"/>
        <v>37.203000000000003</v>
      </c>
      <c r="X829" s="14" t="s">
        <v>225</v>
      </c>
      <c r="Y829" s="19">
        <v>404.07</v>
      </c>
    </row>
    <row r="830" spans="1:25" x14ac:dyDescent="0.3">
      <c r="A830">
        <v>48551</v>
      </c>
      <c r="B830" s="1">
        <v>45671</v>
      </c>
      <c r="C830">
        <v>374</v>
      </c>
      <c r="D830">
        <v>40</v>
      </c>
      <c r="E830" t="s">
        <v>24</v>
      </c>
      <c r="F830" t="s">
        <v>25</v>
      </c>
      <c r="G830">
        <v>3</v>
      </c>
      <c r="H830">
        <v>215.43</v>
      </c>
      <c r="I830" t="s">
        <v>35</v>
      </c>
      <c r="J830" t="s">
        <v>582</v>
      </c>
      <c r="K830">
        <v>5</v>
      </c>
      <c r="L830" t="s">
        <v>17</v>
      </c>
      <c r="M830">
        <v>69</v>
      </c>
      <c r="N830" s="18" t="str">
        <f t="shared" si="36"/>
        <v>60+</v>
      </c>
      <c r="O830" s="12">
        <f t="shared" si="37"/>
        <v>646.29</v>
      </c>
      <c r="P830" s="12">
        <f t="shared" si="38"/>
        <v>193.88699999999997</v>
      </c>
      <c r="X830" s="14" t="s">
        <v>404</v>
      </c>
      <c r="Y830" s="19">
        <v>117.37</v>
      </c>
    </row>
    <row r="831" spans="1:25" x14ac:dyDescent="0.3">
      <c r="A831">
        <v>45242</v>
      </c>
      <c r="B831" s="1">
        <v>45671</v>
      </c>
      <c r="C831">
        <v>471</v>
      </c>
      <c r="D831">
        <v>20</v>
      </c>
      <c r="E831" t="s">
        <v>28</v>
      </c>
      <c r="F831" t="s">
        <v>77</v>
      </c>
      <c r="G831">
        <v>4</v>
      </c>
      <c r="H831">
        <v>375.91</v>
      </c>
      <c r="I831" t="s">
        <v>35</v>
      </c>
      <c r="J831" t="s">
        <v>564</v>
      </c>
      <c r="K831">
        <v>2</v>
      </c>
      <c r="L831" t="s">
        <v>17</v>
      </c>
      <c r="M831">
        <v>73</v>
      </c>
      <c r="N831" s="18" t="str">
        <f t="shared" si="36"/>
        <v>60+</v>
      </c>
      <c r="O831" s="12">
        <f t="shared" si="37"/>
        <v>1503.64</v>
      </c>
      <c r="P831" s="12">
        <f t="shared" si="38"/>
        <v>451.09200000000004</v>
      </c>
      <c r="X831" s="14" t="s">
        <v>904</v>
      </c>
      <c r="Y831" s="19">
        <v>361.34</v>
      </c>
    </row>
    <row r="832" spans="1:25" x14ac:dyDescent="0.3">
      <c r="A832">
        <v>45307</v>
      </c>
      <c r="B832" s="1">
        <v>45671</v>
      </c>
      <c r="C832">
        <v>162</v>
      </c>
      <c r="D832">
        <v>40</v>
      </c>
      <c r="E832" t="s">
        <v>24</v>
      </c>
      <c r="F832" t="s">
        <v>63</v>
      </c>
      <c r="G832">
        <v>1</v>
      </c>
      <c r="H832">
        <v>69.760000000000005</v>
      </c>
      <c r="I832" t="s">
        <v>35</v>
      </c>
      <c r="J832" t="s">
        <v>856</v>
      </c>
      <c r="K832">
        <v>1</v>
      </c>
      <c r="L832" t="s">
        <v>17</v>
      </c>
      <c r="M832">
        <v>68</v>
      </c>
      <c r="N832" s="18" t="str">
        <f t="shared" si="36"/>
        <v>60+</v>
      </c>
      <c r="O832" s="12">
        <f t="shared" si="37"/>
        <v>69.760000000000005</v>
      </c>
      <c r="P832" s="12">
        <f t="shared" si="38"/>
        <v>20.928000000000001</v>
      </c>
      <c r="X832" s="14" t="s">
        <v>50</v>
      </c>
      <c r="Y832" s="19">
        <v>1326.94</v>
      </c>
    </row>
    <row r="833" spans="1:25" x14ac:dyDescent="0.3">
      <c r="A833">
        <v>54476</v>
      </c>
      <c r="B833" s="1">
        <v>45671</v>
      </c>
      <c r="C833">
        <v>678</v>
      </c>
      <c r="D833">
        <v>10</v>
      </c>
      <c r="E833" t="s">
        <v>13</v>
      </c>
      <c r="F833" t="s">
        <v>14</v>
      </c>
      <c r="G833">
        <v>2</v>
      </c>
      <c r="H833">
        <v>184.2</v>
      </c>
      <c r="I833" t="s">
        <v>15</v>
      </c>
      <c r="J833" t="s">
        <v>865</v>
      </c>
      <c r="K833">
        <v>5</v>
      </c>
      <c r="L833" t="s">
        <v>17</v>
      </c>
      <c r="M833">
        <v>21</v>
      </c>
      <c r="N833" s="18" t="str">
        <f t="shared" si="36"/>
        <v>18-30</v>
      </c>
      <c r="O833" s="12">
        <f t="shared" si="37"/>
        <v>368.4</v>
      </c>
      <c r="P833" s="12">
        <f t="shared" si="38"/>
        <v>110.52</v>
      </c>
      <c r="X833" s="14" t="s">
        <v>782</v>
      </c>
      <c r="Y833" s="19">
        <v>597.26</v>
      </c>
    </row>
    <row r="834" spans="1:25" x14ac:dyDescent="0.3">
      <c r="A834">
        <v>65284</v>
      </c>
      <c r="B834" s="1">
        <v>45671</v>
      </c>
      <c r="C834">
        <v>290</v>
      </c>
      <c r="D834">
        <v>20</v>
      </c>
      <c r="E834" t="s">
        <v>28</v>
      </c>
      <c r="F834" t="s">
        <v>29</v>
      </c>
      <c r="G834">
        <v>3</v>
      </c>
      <c r="H834">
        <v>127.78</v>
      </c>
      <c r="I834" t="s">
        <v>15</v>
      </c>
      <c r="J834" t="s">
        <v>921</v>
      </c>
      <c r="K834">
        <v>4</v>
      </c>
      <c r="L834" t="s">
        <v>21</v>
      </c>
      <c r="M834">
        <v>75</v>
      </c>
      <c r="N834" s="18" t="str">
        <f t="shared" si="36"/>
        <v>60+</v>
      </c>
      <c r="O834" s="12">
        <f t="shared" si="37"/>
        <v>383.34000000000003</v>
      </c>
      <c r="P834" s="12">
        <f t="shared" si="38"/>
        <v>115.00200000000001</v>
      </c>
      <c r="X834" s="14" t="s">
        <v>670</v>
      </c>
      <c r="Y834" s="19">
        <v>1780.44</v>
      </c>
    </row>
    <row r="835" spans="1:25" x14ac:dyDescent="0.3">
      <c r="A835">
        <v>62821</v>
      </c>
      <c r="B835" s="1">
        <v>45672</v>
      </c>
      <c r="C835">
        <v>146</v>
      </c>
      <c r="D835">
        <v>10</v>
      </c>
      <c r="E835" t="s">
        <v>13</v>
      </c>
      <c r="F835" t="s">
        <v>32</v>
      </c>
      <c r="G835">
        <v>5</v>
      </c>
      <c r="H835">
        <v>184.27</v>
      </c>
      <c r="I835" t="s">
        <v>15</v>
      </c>
      <c r="J835" t="s">
        <v>891</v>
      </c>
      <c r="K835">
        <v>2</v>
      </c>
      <c r="L835" t="s">
        <v>17</v>
      </c>
      <c r="M835">
        <v>36</v>
      </c>
      <c r="N835" s="18" t="str">
        <f t="shared" ref="N835:N898" si="39">IF(M835&lt;=30,"18-30",IF(M835&lt;=45,"31-45",IF(M835&lt;=60,"46-60","60+")))</f>
        <v>31-45</v>
      </c>
      <c r="O835" s="12">
        <f t="shared" ref="O835:O898" si="40">H835*G835</f>
        <v>921.35</v>
      </c>
      <c r="P835" s="12">
        <f t="shared" ref="P835:P898" si="41">O835*0.3</f>
        <v>276.40499999999997</v>
      </c>
      <c r="X835" s="14" t="s">
        <v>443</v>
      </c>
      <c r="Y835" s="19">
        <v>100.18</v>
      </c>
    </row>
    <row r="836" spans="1:25" x14ac:dyDescent="0.3">
      <c r="A836">
        <v>45059</v>
      </c>
      <c r="B836" s="1">
        <v>45672</v>
      </c>
      <c r="C836">
        <v>856</v>
      </c>
      <c r="D836">
        <v>50</v>
      </c>
      <c r="E836" t="s">
        <v>18</v>
      </c>
      <c r="F836" t="s">
        <v>34</v>
      </c>
      <c r="G836">
        <v>1</v>
      </c>
      <c r="H836">
        <v>230.09</v>
      </c>
      <c r="I836" t="s">
        <v>15</v>
      </c>
      <c r="J836" t="s">
        <v>922</v>
      </c>
      <c r="K836">
        <v>1</v>
      </c>
      <c r="L836" t="s">
        <v>21</v>
      </c>
      <c r="M836">
        <v>49</v>
      </c>
      <c r="N836" s="18" t="str">
        <f t="shared" si="39"/>
        <v>46-60</v>
      </c>
      <c r="O836" s="12">
        <f t="shared" si="40"/>
        <v>230.09</v>
      </c>
      <c r="P836" s="12">
        <f t="shared" si="41"/>
        <v>69.027000000000001</v>
      </c>
      <c r="X836" s="14" t="s">
        <v>981</v>
      </c>
      <c r="Y836" s="19">
        <v>293</v>
      </c>
    </row>
    <row r="837" spans="1:25" x14ac:dyDescent="0.3">
      <c r="A837">
        <v>34358</v>
      </c>
      <c r="B837" s="1">
        <v>45673</v>
      </c>
      <c r="C837">
        <v>945</v>
      </c>
      <c r="D837">
        <v>20</v>
      </c>
      <c r="E837" t="s">
        <v>28</v>
      </c>
      <c r="F837" t="s">
        <v>51</v>
      </c>
      <c r="G837">
        <v>1</v>
      </c>
      <c r="H837">
        <v>27.65</v>
      </c>
      <c r="I837" t="s">
        <v>26</v>
      </c>
      <c r="J837" t="s">
        <v>103</v>
      </c>
      <c r="K837">
        <v>4</v>
      </c>
      <c r="L837" t="s">
        <v>21</v>
      </c>
      <c r="M837">
        <v>50</v>
      </c>
      <c r="N837" s="18" t="str">
        <f t="shared" si="39"/>
        <v>46-60</v>
      </c>
      <c r="O837" s="12">
        <f t="shared" si="40"/>
        <v>27.65</v>
      </c>
      <c r="P837" s="12">
        <f t="shared" si="41"/>
        <v>8.2949999999999999</v>
      </c>
      <c r="X837" s="14" t="s">
        <v>121</v>
      </c>
      <c r="Y837" s="19">
        <v>476.70000000000005</v>
      </c>
    </row>
    <row r="838" spans="1:25" x14ac:dyDescent="0.3">
      <c r="A838">
        <v>77934</v>
      </c>
      <c r="B838" s="1">
        <v>45673</v>
      </c>
      <c r="C838">
        <v>695</v>
      </c>
      <c r="D838">
        <v>20</v>
      </c>
      <c r="E838" t="s">
        <v>28</v>
      </c>
      <c r="F838" t="s">
        <v>29</v>
      </c>
      <c r="G838">
        <v>1</v>
      </c>
      <c r="H838">
        <v>66.239999999999995</v>
      </c>
      <c r="I838" t="s">
        <v>15</v>
      </c>
      <c r="J838" t="s">
        <v>179</v>
      </c>
      <c r="K838">
        <v>5</v>
      </c>
      <c r="M838">
        <v>27</v>
      </c>
      <c r="N838" s="18" t="str">
        <f t="shared" si="39"/>
        <v>18-30</v>
      </c>
      <c r="O838" s="12">
        <f t="shared" si="40"/>
        <v>66.239999999999995</v>
      </c>
      <c r="P838" s="12">
        <f t="shared" si="41"/>
        <v>19.871999999999996</v>
      </c>
      <c r="X838" s="14" t="s">
        <v>138</v>
      </c>
      <c r="Y838" s="19">
        <v>1128.8399999999999</v>
      </c>
    </row>
    <row r="839" spans="1:25" x14ac:dyDescent="0.3">
      <c r="A839">
        <v>47485</v>
      </c>
      <c r="B839" s="1">
        <v>45673</v>
      </c>
      <c r="C839">
        <v>868</v>
      </c>
      <c r="D839">
        <v>30</v>
      </c>
      <c r="E839" t="s">
        <v>37</v>
      </c>
      <c r="F839" t="s">
        <v>58</v>
      </c>
      <c r="G839">
        <v>1</v>
      </c>
      <c r="H839">
        <v>55.6</v>
      </c>
      <c r="I839" t="s">
        <v>35</v>
      </c>
      <c r="J839" t="s">
        <v>467</v>
      </c>
      <c r="K839">
        <v>5</v>
      </c>
      <c r="L839" t="s">
        <v>17</v>
      </c>
      <c r="M839">
        <v>55</v>
      </c>
      <c r="N839" s="18" t="str">
        <f t="shared" si="39"/>
        <v>46-60</v>
      </c>
      <c r="O839" s="12">
        <f t="shared" si="40"/>
        <v>55.6</v>
      </c>
      <c r="P839" s="12">
        <f t="shared" si="41"/>
        <v>16.68</v>
      </c>
      <c r="X839" s="14" t="s">
        <v>161</v>
      </c>
      <c r="Y839" s="19">
        <v>55.6</v>
      </c>
    </row>
    <row r="840" spans="1:25" x14ac:dyDescent="0.3">
      <c r="A840">
        <v>86737</v>
      </c>
      <c r="B840" s="1">
        <v>45673</v>
      </c>
      <c r="C840">
        <v>352</v>
      </c>
      <c r="D840">
        <v>20</v>
      </c>
      <c r="E840" t="s">
        <v>28</v>
      </c>
      <c r="F840" t="s">
        <v>51</v>
      </c>
      <c r="G840">
        <v>1</v>
      </c>
      <c r="H840">
        <v>424.55</v>
      </c>
      <c r="I840" t="s">
        <v>15</v>
      </c>
      <c r="J840" t="s">
        <v>20</v>
      </c>
      <c r="K840">
        <v>3</v>
      </c>
      <c r="L840" t="s">
        <v>17</v>
      </c>
      <c r="M840">
        <v>24</v>
      </c>
      <c r="N840" s="18" t="str">
        <f t="shared" si="39"/>
        <v>18-30</v>
      </c>
      <c r="O840" s="12">
        <f t="shared" si="40"/>
        <v>424.55</v>
      </c>
      <c r="P840" s="12">
        <f t="shared" si="41"/>
        <v>127.36499999999999</v>
      </c>
      <c r="X840" s="14" t="s">
        <v>903</v>
      </c>
      <c r="Y840" s="19">
        <v>168.47</v>
      </c>
    </row>
    <row r="841" spans="1:25" x14ac:dyDescent="0.3">
      <c r="A841">
        <v>23094</v>
      </c>
      <c r="B841" s="1">
        <v>45674</v>
      </c>
      <c r="C841">
        <v>658</v>
      </c>
      <c r="D841">
        <v>10</v>
      </c>
      <c r="E841" t="s">
        <v>13</v>
      </c>
      <c r="F841" t="s">
        <v>47</v>
      </c>
      <c r="G841">
        <v>2</v>
      </c>
      <c r="H841">
        <v>43.03</v>
      </c>
      <c r="I841" t="s">
        <v>15</v>
      </c>
      <c r="J841" t="s">
        <v>71</v>
      </c>
      <c r="K841">
        <v>5</v>
      </c>
      <c r="L841" t="s">
        <v>21</v>
      </c>
      <c r="M841">
        <v>56</v>
      </c>
      <c r="N841" s="18" t="str">
        <f t="shared" si="39"/>
        <v>46-60</v>
      </c>
      <c r="O841" s="12">
        <f t="shared" si="40"/>
        <v>86.06</v>
      </c>
      <c r="P841" s="12">
        <f t="shared" si="41"/>
        <v>25.818000000000001</v>
      </c>
      <c r="X841" s="14" t="s">
        <v>286</v>
      </c>
      <c r="Y841" s="19">
        <v>257.23</v>
      </c>
    </row>
    <row r="842" spans="1:25" x14ac:dyDescent="0.3">
      <c r="A842">
        <v>49956</v>
      </c>
      <c r="B842" s="1">
        <v>45674</v>
      </c>
      <c r="C842">
        <v>675</v>
      </c>
      <c r="D842">
        <v>30</v>
      </c>
      <c r="E842" t="s">
        <v>37</v>
      </c>
      <c r="F842" t="s">
        <v>40</v>
      </c>
      <c r="G842">
        <v>5</v>
      </c>
      <c r="H842">
        <v>63.52</v>
      </c>
      <c r="I842" t="s">
        <v>35</v>
      </c>
      <c r="J842" t="s">
        <v>386</v>
      </c>
      <c r="K842">
        <v>4</v>
      </c>
      <c r="L842" t="s">
        <v>21</v>
      </c>
      <c r="M842">
        <v>24</v>
      </c>
      <c r="N842" s="18" t="str">
        <f t="shared" si="39"/>
        <v>18-30</v>
      </c>
      <c r="O842" s="12">
        <f t="shared" si="40"/>
        <v>317.60000000000002</v>
      </c>
      <c r="P842" s="12">
        <f t="shared" si="41"/>
        <v>95.28</v>
      </c>
      <c r="X842" s="14" t="s">
        <v>572</v>
      </c>
      <c r="Y842" s="19">
        <v>261.60000000000002</v>
      </c>
    </row>
    <row r="843" spans="1:25" x14ac:dyDescent="0.3">
      <c r="A843">
        <v>79582</v>
      </c>
      <c r="B843" s="1">
        <v>45674</v>
      </c>
      <c r="C843">
        <v>388</v>
      </c>
      <c r="D843">
        <v>40</v>
      </c>
      <c r="E843" t="s">
        <v>24</v>
      </c>
      <c r="F843" t="s">
        <v>49</v>
      </c>
      <c r="G843">
        <v>1</v>
      </c>
      <c r="H843">
        <v>78.2</v>
      </c>
      <c r="I843" t="s">
        <v>26</v>
      </c>
      <c r="J843" t="s">
        <v>480</v>
      </c>
      <c r="K843">
        <v>1</v>
      </c>
      <c r="L843" t="s">
        <v>17</v>
      </c>
      <c r="M843">
        <v>66</v>
      </c>
      <c r="N843" s="18" t="str">
        <f t="shared" si="39"/>
        <v>60+</v>
      </c>
      <c r="O843" s="12">
        <f t="shared" si="40"/>
        <v>78.2</v>
      </c>
      <c r="P843" s="12">
        <f t="shared" si="41"/>
        <v>23.46</v>
      </c>
      <c r="X843" s="14" t="s">
        <v>147</v>
      </c>
      <c r="Y843" s="19">
        <v>92.22</v>
      </c>
    </row>
    <row r="844" spans="1:25" x14ac:dyDescent="0.3">
      <c r="A844">
        <v>78277</v>
      </c>
      <c r="B844" s="1">
        <v>45674</v>
      </c>
      <c r="C844">
        <v>157</v>
      </c>
      <c r="D844">
        <v>30</v>
      </c>
      <c r="E844" t="s">
        <v>37</v>
      </c>
      <c r="F844" t="s">
        <v>38</v>
      </c>
      <c r="G844">
        <v>4</v>
      </c>
      <c r="H844">
        <v>406.99</v>
      </c>
      <c r="I844" t="s">
        <v>15</v>
      </c>
      <c r="J844" t="s">
        <v>491</v>
      </c>
      <c r="L844" t="s">
        <v>21</v>
      </c>
      <c r="M844">
        <v>38</v>
      </c>
      <c r="N844" s="18" t="str">
        <f t="shared" si="39"/>
        <v>31-45</v>
      </c>
      <c r="O844" s="12">
        <f t="shared" si="40"/>
        <v>1627.96</v>
      </c>
      <c r="P844" s="12">
        <f t="shared" si="41"/>
        <v>488.38799999999998</v>
      </c>
      <c r="X844" s="14" t="s">
        <v>831</v>
      </c>
      <c r="Y844" s="19">
        <v>1061.04</v>
      </c>
    </row>
    <row r="845" spans="1:25" x14ac:dyDescent="0.3">
      <c r="A845">
        <v>21298</v>
      </c>
      <c r="B845" s="1">
        <v>45674</v>
      </c>
      <c r="C845">
        <v>479</v>
      </c>
      <c r="D845">
        <v>30</v>
      </c>
      <c r="E845" t="s">
        <v>37</v>
      </c>
      <c r="F845" t="s">
        <v>58</v>
      </c>
      <c r="G845">
        <v>4</v>
      </c>
      <c r="H845">
        <v>276.73</v>
      </c>
      <c r="I845" t="s">
        <v>15</v>
      </c>
      <c r="J845" t="s">
        <v>764</v>
      </c>
      <c r="K845">
        <v>3</v>
      </c>
      <c r="L845" t="s">
        <v>21</v>
      </c>
      <c r="M845">
        <v>55</v>
      </c>
      <c r="N845" s="18" t="str">
        <f t="shared" si="39"/>
        <v>46-60</v>
      </c>
      <c r="O845" s="12">
        <f t="shared" si="40"/>
        <v>1106.92</v>
      </c>
      <c r="P845" s="12">
        <f t="shared" si="41"/>
        <v>332.07600000000002</v>
      </c>
      <c r="X845" s="14" t="s">
        <v>975</v>
      </c>
      <c r="Y845" s="19">
        <v>1830.16</v>
      </c>
    </row>
    <row r="846" spans="1:25" x14ac:dyDescent="0.3">
      <c r="A846">
        <v>92942</v>
      </c>
      <c r="B846" s="1">
        <v>45674</v>
      </c>
      <c r="C846">
        <v>489</v>
      </c>
      <c r="D846">
        <v>20</v>
      </c>
      <c r="E846" t="s">
        <v>28</v>
      </c>
      <c r="F846" t="s">
        <v>77</v>
      </c>
      <c r="G846">
        <v>3</v>
      </c>
      <c r="H846">
        <v>171.95</v>
      </c>
      <c r="I846" t="s">
        <v>26</v>
      </c>
      <c r="J846" t="s">
        <v>967</v>
      </c>
      <c r="K846">
        <v>5</v>
      </c>
      <c r="L846" t="s">
        <v>17</v>
      </c>
      <c r="M846">
        <v>29</v>
      </c>
      <c r="N846" s="18" t="str">
        <f t="shared" si="39"/>
        <v>18-30</v>
      </c>
      <c r="O846" s="12">
        <f t="shared" si="40"/>
        <v>515.84999999999991</v>
      </c>
      <c r="P846" s="12">
        <f t="shared" si="41"/>
        <v>154.75499999999997</v>
      </c>
      <c r="X846" s="14" t="s">
        <v>304</v>
      </c>
      <c r="Y846" s="19">
        <v>51.1</v>
      </c>
    </row>
    <row r="847" spans="1:25" x14ac:dyDescent="0.3">
      <c r="A847">
        <v>14911</v>
      </c>
      <c r="B847" s="1">
        <v>45675</v>
      </c>
      <c r="C847">
        <v>589</v>
      </c>
      <c r="D847">
        <v>30</v>
      </c>
      <c r="E847" t="s">
        <v>37</v>
      </c>
      <c r="F847" t="s">
        <v>95</v>
      </c>
      <c r="G847">
        <v>2</v>
      </c>
      <c r="H847">
        <v>231.85</v>
      </c>
      <c r="I847" t="s">
        <v>15</v>
      </c>
      <c r="J847" t="s">
        <v>567</v>
      </c>
      <c r="L847" t="s">
        <v>21</v>
      </c>
      <c r="M847">
        <v>74</v>
      </c>
      <c r="N847" s="18" t="str">
        <f t="shared" si="39"/>
        <v>60+</v>
      </c>
      <c r="O847" s="12">
        <f t="shared" si="40"/>
        <v>463.7</v>
      </c>
      <c r="P847" s="12">
        <f t="shared" si="41"/>
        <v>139.10999999999999</v>
      </c>
      <c r="X847" s="14" t="s">
        <v>557</v>
      </c>
      <c r="Y847" s="19">
        <v>52.33</v>
      </c>
    </row>
    <row r="848" spans="1:25" x14ac:dyDescent="0.3">
      <c r="A848">
        <v>91976</v>
      </c>
      <c r="B848" s="1">
        <v>45676</v>
      </c>
      <c r="C848">
        <v>321</v>
      </c>
      <c r="D848">
        <v>10</v>
      </c>
      <c r="E848" t="s">
        <v>13</v>
      </c>
      <c r="F848" t="s">
        <v>111</v>
      </c>
      <c r="G848">
        <v>2</v>
      </c>
      <c r="H848">
        <v>143.88</v>
      </c>
      <c r="I848" t="s">
        <v>26</v>
      </c>
      <c r="J848" t="s">
        <v>323</v>
      </c>
      <c r="K848">
        <v>4</v>
      </c>
      <c r="L848" t="s">
        <v>21</v>
      </c>
      <c r="M848">
        <v>74</v>
      </c>
      <c r="N848" s="18" t="str">
        <f t="shared" si="39"/>
        <v>60+</v>
      </c>
      <c r="O848" s="12">
        <f t="shared" si="40"/>
        <v>287.76</v>
      </c>
      <c r="P848" s="12">
        <f t="shared" si="41"/>
        <v>86.327999999999989</v>
      </c>
      <c r="X848" s="14" t="s">
        <v>467</v>
      </c>
      <c r="Y848" s="19">
        <v>55.6</v>
      </c>
    </row>
    <row r="849" spans="1:25" x14ac:dyDescent="0.3">
      <c r="A849">
        <v>94108</v>
      </c>
      <c r="B849" s="1">
        <v>45677</v>
      </c>
      <c r="C849">
        <v>837</v>
      </c>
      <c r="D849">
        <v>30</v>
      </c>
      <c r="E849" t="s">
        <v>37</v>
      </c>
      <c r="F849" t="s">
        <v>95</v>
      </c>
      <c r="G849">
        <v>2</v>
      </c>
      <c r="H849">
        <v>87.3</v>
      </c>
      <c r="I849" t="s">
        <v>35</v>
      </c>
      <c r="J849" t="s">
        <v>96</v>
      </c>
      <c r="K849">
        <v>5</v>
      </c>
      <c r="L849" t="s">
        <v>17</v>
      </c>
      <c r="M849">
        <v>72</v>
      </c>
      <c r="N849" s="18" t="str">
        <f t="shared" si="39"/>
        <v>60+</v>
      </c>
      <c r="O849" s="12">
        <f t="shared" si="40"/>
        <v>174.6</v>
      </c>
      <c r="P849" s="12">
        <f t="shared" si="41"/>
        <v>52.379999999999995</v>
      </c>
      <c r="X849" s="14" t="s">
        <v>808</v>
      </c>
      <c r="Y849" s="19">
        <v>398.24</v>
      </c>
    </row>
    <row r="850" spans="1:25" x14ac:dyDescent="0.3">
      <c r="A850">
        <v>84063</v>
      </c>
      <c r="B850" s="1">
        <v>45677</v>
      </c>
      <c r="C850">
        <v>744</v>
      </c>
      <c r="D850">
        <v>50</v>
      </c>
      <c r="E850" t="s">
        <v>18</v>
      </c>
      <c r="F850" t="s">
        <v>84</v>
      </c>
      <c r="G850">
        <v>5</v>
      </c>
      <c r="H850">
        <v>321.04000000000002</v>
      </c>
      <c r="I850" t="s">
        <v>26</v>
      </c>
      <c r="J850" t="s">
        <v>186</v>
      </c>
      <c r="K850">
        <v>5</v>
      </c>
      <c r="L850" t="s">
        <v>17</v>
      </c>
      <c r="M850">
        <v>43</v>
      </c>
      <c r="N850" s="18" t="str">
        <f t="shared" si="39"/>
        <v>31-45</v>
      </c>
      <c r="O850" s="12">
        <f t="shared" si="40"/>
        <v>1605.2</v>
      </c>
      <c r="P850" s="12">
        <f t="shared" si="41"/>
        <v>481.56</v>
      </c>
      <c r="X850" s="14" t="s">
        <v>251</v>
      </c>
      <c r="Y850" s="19">
        <v>1386.16</v>
      </c>
    </row>
    <row r="851" spans="1:25" x14ac:dyDescent="0.3">
      <c r="A851">
        <v>81896</v>
      </c>
      <c r="B851" s="1">
        <v>45677</v>
      </c>
      <c r="C851">
        <v>105</v>
      </c>
      <c r="D851">
        <v>40</v>
      </c>
      <c r="E851" t="s">
        <v>24</v>
      </c>
      <c r="F851" t="s">
        <v>25</v>
      </c>
      <c r="G851">
        <v>2</v>
      </c>
      <c r="H851">
        <v>307.58999999999997</v>
      </c>
      <c r="I851" t="s">
        <v>26</v>
      </c>
      <c r="J851" t="s">
        <v>610</v>
      </c>
      <c r="L851" t="s">
        <v>21</v>
      </c>
      <c r="M851">
        <v>21</v>
      </c>
      <c r="N851" s="18" t="str">
        <f t="shared" si="39"/>
        <v>18-30</v>
      </c>
      <c r="O851" s="12">
        <f t="shared" si="40"/>
        <v>615.17999999999995</v>
      </c>
      <c r="P851" s="12">
        <f t="shared" si="41"/>
        <v>184.55399999999997</v>
      </c>
      <c r="X851" s="14" t="s">
        <v>484</v>
      </c>
      <c r="Y851" s="19">
        <v>571.96</v>
      </c>
    </row>
    <row r="852" spans="1:25" x14ac:dyDescent="0.3">
      <c r="A852">
        <v>54625</v>
      </c>
      <c r="B852" s="1">
        <v>45678</v>
      </c>
      <c r="C852">
        <v>539</v>
      </c>
      <c r="D852">
        <v>50</v>
      </c>
      <c r="E852" t="s">
        <v>18</v>
      </c>
      <c r="F852" t="s">
        <v>22</v>
      </c>
      <c r="G852">
        <v>3</v>
      </c>
      <c r="H852">
        <v>99.16</v>
      </c>
      <c r="I852" t="s">
        <v>15</v>
      </c>
      <c r="J852" t="s">
        <v>344</v>
      </c>
      <c r="K852">
        <v>4</v>
      </c>
      <c r="M852">
        <v>70</v>
      </c>
      <c r="N852" s="18" t="str">
        <f t="shared" si="39"/>
        <v>60+</v>
      </c>
      <c r="O852" s="12">
        <f t="shared" si="40"/>
        <v>297.48</v>
      </c>
      <c r="P852" s="12">
        <f t="shared" si="41"/>
        <v>89.244</v>
      </c>
      <c r="X852" s="14" t="s">
        <v>92</v>
      </c>
      <c r="Y852" s="19">
        <v>815.76</v>
      </c>
    </row>
    <row r="853" spans="1:25" x14ac:dyDescent="0.3">
      <c r="A853">
        <v>12572</v>
      </c>
      <c r="B853" s="1">
        <v>45679</v>
      </c>
      <c r="C853">
        <v>656</v>
      </c>
      <c r="D853">
        <v>20</v>
      </c>
      <c r="E853" t="s">
        <v>28</v>
      </c>
      <c r="F853" t="s">
        <v>79</v>
      </c>
      <c r="G853">
        <v>4</v>
      </c>
      <c r="H853">
        <v>226.45</v>
      </c>
      <c r="I853" t="s">
        <v>26</v>
      </c>
      <c r="J853" t="s">
        <v>215</v>
      </c>
      <c r="K853">
        <v>5</v>
      </c>
      <c r="L853" t="s">
        <v>21</v>
      </c>
      <c r="M853">
        <v>46</v>
      </c>
      <c r="N853" s="18" t="str">
        <f t="shared" si="39"/>
        <v>46-60</v>
      </c>
      <c r="O853" s="12">
        <f t="shared" si="40"/>
        <v>905.8</v>
      </c>
      <c r="P853" s="12">
        <f t="shared" si="41"/>
        <v>271.73999999999995</v>
      </c>
      <c r="X853" s="14" t="s">
        <v>806</v>
      </c>
      <c r="Y853" s="19">
        <v>603.08000000000004</v>
      </c>
    </row>
    <row r="854" spans="1:25" x14ac:dyDescent="0.3">
      <c r="A854">
        <v>71609</v>
      </c>
      <c r="B854" s="1">
        <v>45679</v>
      </c>
      <c r="C854">
        <v>510</v>
      </c>
      <c r="D854">
        <v>20</v>
      </c>
      <c r="E854" t="s">
        <v>28</v>
      </c>
      <c r="F854" t="s">
        <v>51</v>
      </c>
      <c r="G854">
        <v>2</v>
      </c>
      <c r="H854">
        <v>345.89</v>
      </c>
      <c r="I854" t="s">
        <v>26</v>
      </c>
      <c r="J854" t="s">
        <v>970</v>
      </c>
      <c r="L854" t="s">
        <v>21</v>
      </c>
      <c r="M854">
        <v>24</v>
      </c>
      <c r="N854" s="18" t="str">
        <f t="shared" si="39"/>
        <v>18-30</v>
      </c>
      <c r="O854" s="12">
        <f t="shared" si="40"/>
        <v>691.78</v>
      </c>
      <c r="P854" s="12">
        <f t="shared" si="41"/>
        <v>207.53399999999999</v>
      </c>
      <c r="X854" s="14" t="s">
        <v>830</v>
      </c>
      <c r="Y854" s="19">
        <v>89.38</v>
      </c>
    </row>
    <row r="855" spans="1:25" x14ac:dyDescent="0.3">
      <c r="A855">
        <v>82168</v>
      </c>
      <c r="B855" s="1">
        <v>45680</v>
      </c>
      <c r="C855">
        <v>653</v>
      </c>
      <c r="D855">
        <v>40</v>
      </c>
      <c r="E855" t="s">
        <v>24</v>
      </c>
      <c r="F855" t="s">
        <v>65</v>
      </c>
      <c r="G855">
        <v>2</v>
      </c>
      <c r="H855">
        <v>473.57</v>
      </c>
      <c r="I855" t="s">
        <v>15</v>
      </c>
      <c r="J855" t="s">
        <v>136</v>
      </c>
      <c r="K855">
        <v>5</v>
      </c>
      <c r="L855" t="s">
        <v>17</v>
      </c>
      <c r="M855">
        <v>44</v>
      </c>
      <c r="N855" s="18" t="str">
        <f t="shared" si="39"/>
        <v>31-45</v>
      </c>
      <c r="O855" s="12">
        <f t="shared" si="40"/>
        <v>947.14</v>
      </c>
      <c r="P855" s="12">
        <f t="shared" si="41"/>
        <v>284.142</v>
      </c>
      <c r="X855" s="14" t="s">
        <v>865</v>
      </c>
      <c r="Y855" s="19">
        <v>368.4</v>
      </c>
    </row>
    <row r="856" spans="1:25" x14ac:dyDescent="0.3">
      <c r="A856">
        <v>60144</v>
      </c>
      <c r="B856" s="1">
        <v>45680</v>
      </c>
      <c r="C856">
        <v>287</v>
      </c>
      <c r="D856">
        <v>10</v>
      </c>
      <c r="E856" t="s">
        <v>13</v>
      </c>
      <c r="F856" t="s">
        <v>14</v>
      </c>
      <c r="G856">
        <v>4</v>
      </c>
      <c r="H856">
        <v>86.23</v>
      </c>
      <c r="I856" t="s">
        <v>35</v>
      </c>
      <c r="J856" t="s">
        <v>263</v>
      </c>
      <c r="L856" t="s">
        <v>21</v>
      </c>
      <c r="M856">
        <v>65</v>
      </c>
      <c r="N856" s="18" t="str">
        <f t="shared" si="39"/>
        <v>60+</v>
      </c>
      <c r="O856" s="12">
        <f t="shared" si="40"/>
        <v>344.92</v>
      </c>
      <c r="P856" s="12">
        <f t="shared" si="41"/>
        <v>103.476</v>
      </c>
      <c r="X856" s="14" t="s">
        <v>926</v>
      </c>
      <c r="Y856" s="19">
        <v>366.27</v>
      </c>
    </row>
    <row r="857" spans="1:25" x14ac:dyDescent="0.3">
      <c r="A857">
        <v>32331</v>
      </c>
      <c r="B857" s="1">
        <v>45680</v>
      </c>
      <c r="C857">
        <v>241</v>
      </c>
      <c r="D857">
        <v>30</v>
      </c>
      <c r="E857" t="s">
        <v>37</v>
      </c>
      <c r="F857" t="s">
        <v>95</v>
      </c>
      <c r="G857">
        <v>2</v>
      </c>
      <c r="H857">
        <v>487.93</v>
      </c>
      <c r="I857" t="s">
        <v>15</v>
      </c>
      <c r="J857" t="s">
        <v>355</v>
      </c>
      <c r="K857">
        <v>5</v>
      </c>
      <c r="L857" t="s">
        <v>17</v>
      </c>
      <c r="M857">
        <v>61</v>
      </c>
      <c r="N857" s="18" t="str">
        <f t="shared" si="39"/>
        <v>60+</v>
      </c>
      <c r="O857" s="12">
        <f t="shared" si="40"/>
        <v>975.86</v>
      </c>
      <c r="P857" s="12">
        <f t="shared" si="41"/>
        <v>292.75799999999998</v>
      </c>
      <c r="X857" s="14" t="s">
        <v>654</v>
      </c>
      <c r="Y857" s="19">
        <v>1362.6</v>
      </c>
    </row>
    <row r="858" spans="1:25" x14ac:dyDescent="0.3">
      <c r="A858">
        <v>85009</v>
      </c>
      <c r="B858" s="1">
        <v>45680</v>
      </c>
      <c r="C858">
        <v>260</v>
      </c>
      <c r="D858">
        <v>50</v>
      </c>
      <c r="E858" t="s">
        <v>18</v>
      </c>
      <c r="F858" t="s">
        <v>22</v>
      </c>
      <c r="G858">
        <v>4</v>
      </c>
      <c r="H858">
        <v>109.06</v>
      </c>
      <c r="I858" t="s">
        <v>35</v>
      </c>
      <c r="J858" t="s">
        <v>408</v>
      </c>
      <c r="L858" t="s">
        <v>21</v>
      </c>
      <c r="M858">
        <v>21</v>
      </c>
      <c r="N858" s="18" t="str">
        <f t="shared" si="39"/>
        <v>18-30</v>
      </c>
      <c r="O858" s="12">
        <f t="shared" si="40"/>
        <v>436.24</v>
      </c>
      <c r="P858" s="12">
        <f t="shared" si="41"/>
        <v>130.87199999999999</v>
      </c>
      <c r="X858" s="14" t="s">
        <v>663</v>
      </c>
      <c r="Y858" s="19">
        <v>231.51</v>
      </c>
    </row>
    <row r="859" spans="1:25" x14ac:dyDescent="0.3">
      <c r="A859">
        <v>21063</v>
      </c>
      <c r="B859" s="1">
        <v>45680</v>
      </c>
      <c r="C859">
        <v>327</v>
      </c>
      <c r="D859">
        <v>20</v>
      </c>
      <c r="E859" t="s">
        <v>28</v>
      </c>
      <c r="F859" t="s">
        <v>51</v>
      </c>
      <c r="G859">
        <v>2</v>
      </c>
      <c r="H859">
        <v>499.5</v>
      </c>
      <c r="I859" t="s">
        <v>26</v>
      </c>
      <c r="J859" t="s">
        <v>963</v>
      </c>
      <c r="L859" t="s">
        <v>21</v>
      </c>
      <c r="M859">
        <v>66</v>
      </c>
      <c r="N859" s="18" t="str">
        <f t="shared" si="39"/>
        <v>60+</v>
      </c>
      <c r="O859" s="12">
        <f t="shared" si="40"/>
        <v>999</v>
      </c>
      <c r="P859" s="12">
        <f t="shared" si="41"/>
        <v>299.7</v>
      </c>
      <c r="X859" s="14" t="s">
        <v>689</v>
      </c>
      <c r="Y859" s="19">
        <v>1639.65</v>
      </c>
    </row>
    <row r="860" spans="1:25" x14ac:dyDescent="0.3">
      <c r="A860">
        <v>98627</v>
      </c>
      <c r="B860" s="1">
        <v>45681</v>
      </c>
      <c r="C860">
        <v>886</v>
      </c>
      <c r="D860">
        <v>30</v>
      </c>
      <c r="E860" t="s">
        <v>37</v>
      </c>
      <c r="F860" t="s">
        <v>40</v>
      </c>
      <c r="G860">
        <v>4</v>
      </c>
      <c r="H860">
        <v>346.54</v>
      </c>
      <c r="I860" t="s">
        <v>26</v>
      </c>
      <c r="J860" t="s">
        <v>251</v>
      </c>
      <c r="L860" t="s">
        <v>17</v>
      </c>
      <c r="M860">
        <v>25</v>
      </c>
      <c r="N860" s="18" t="str">
        <f t="shared" si="39"/>
        <v>18-30</v>
      </c>
      <c r="O860" s="12">
        <f t="shared" si="40"/>
        <v>1386.16</v>
      </c>
      <c r="P860" s="12">
        <f t="shared" si="41"/>
        <v>415.84800000000001</v>
      </c>
      <c r="X860" s="14" t="s">
        <v>372</v>
      </c>
      <c r="Y860" s="19">
        <v>604.98</v>
      </c>
    </row>
    <row r="861" spans="1:25" x14ac:dyDescent="0.3">
      <c r="A861">
        <v>52566</v>
      </c>
      <c r="B861" s="1">
        <v>45681</v>
      </c>
      <c r="C861">
        <v>799</v>
      </c>
      <c r="D861">
        <v>30</v>
      </c>
      <c r="E861" t="s">
        <v>37</v>
      </c>
      <c r="F861" t="s">
        <v>68</v>
      </c>
      <c r="G861">
        <v>4</v>
      </c>
      <c r="H861">
        <v>114.85</v>
      </c>
      <c r="I861" t="s">
        <v>35</v>
      </c>
      <c r="J861" t="s">
        <v>385</v>
      </c>
      <c r="K861">
        <v>2</v>
      </c>
      <c r="L861" t="s">
        <v>17</v>
      </c>
      <c r="M861">
        <v>31</v>
      </c>
      <c r="N861" s="18" t="str">
        <f t="shared" si="39"/>
        <v>31-45</v>
      </c>
      <c r="O861" s="12">
        <f t="shared" si="40"/>
        <v>459.4</v>
      </c>
      <c r="P861" s="12">
        <f t="shared" si="41"/>
        <v>137.82</v>
      </c>
      <c r="X861" s="14" t="s">
        <v>722</v>
      </c>
      <c r="Y861" s="19">
        <v>1369.8899999999999</v>
      </c>
    </row>
    <row r="862" spans="1:25" x14ac:dyDescent="0.3">
      <c r="A862">
        <v>51729</v>
      </c>
      <c r="B862" s="1">
        <v>45681</v>
      </c>
      <c r="C862">
        <v>713</v>
      </c>
      <c r="D862">
        <v>50</v>
      </c>
      <c r="E862" t="s">
        <v>18</v>
      </c>
      <c r="F862" t="s">
        <v>22</v>
      </c>
      <c r="G862">
        <v>3</v>
      </c>
      <c r="H862">
        <v>318.44</v>
      </c>
      <c r="I862" t="s">
        <v>35</v>
      </c>
      <c r="J862" t="s">
        <v>988</v>
      </c>
      <c r="K862">
        <v>5</v>
      </c>
      <c r="L862" t="s">
        <v>17</v>
      </c>
      <c r="M862">
        <v>23</v>
      </c>
      <c r="N862" s="18" t="str">
        <f t="shared" si="39"/>
        <v>18-30</v>
      </c>
      <c r="O862" s="12">
        <f t="shared" si="40"/>
        <v>955.31999999999994</v>
      </c>
      <c r="P862" s="12">
        <f t="shared" si="41"/>
        <v>286.59599999999995</v>
      </c>
      <c r="X862" s="14" t="s">
        <v>915</v>
      </c>
      <c r="Y862" s="19">
        <v>1358.6999999999998</v>
      </c>
    </row>
    <row r="863" spans="1:25" x14ac:dyDescent="0.3">
      <c r="A863">
        <v>58283</v>
      </c>
      <c r="B863" s="1">
        <v>45682</v>
      </c>
      <c r="C863">
        <v>787</v>
      </c>
      <c r="D863">
        <v>30</v>
      </c>
      <c r="E863" t="s">
        <v>37</v>
      </c>
      <c r="F863" t="s">
        <v>95</v>
      </c>
      <c r="G863">
        <v>3</v>
      </c>
      <c r="H863">
        <v>138.16999999999999</v>
      </c>
      <c r="I863" t="s">
        <v>35</v>
      </c>
      <c r="J863" t="s">
        <v>437</v>
      </c>
      <c r="K863">
        <v>5</v>
      </c>
      <c r="L863" t="s">
        <v>17</v>
      </c>
      <c r="M863">
        <v>22</v>
      </c>
      <c r="N863" s="18" t="str">
        <f t="shared" si="39"/>
        <v>18-30</v>
      </c>
      <c r="O863" s="12">
        <f t="shared" si="40"/>
        <v>414.51</v>
      </c>
      <c r="P863" s="12">
        <f t="shared" si="41"/>
        <v>124.35299999999999</v>
      </c>
      <c r="X863" s="14" t="s">
        <v>487</v>
      </c>
      <c r="Y863" s="19">
        <v>1044.93</v>
      </c>
    </row>
    <row r="864" spans="1:25" x14ac:dyDescent="0.3">
      <c r="A864">
        <v>99243</v>
      </c>
      <c r="B864" s="1">
        <v>45682</v>
      </c>
      <c r="C864">
        <v>739</v>
      </c>
      <c r="D864">
        <v>10</v>
      </c>
      <c r="E864" t="s">
        <v>13</v>
      </c>
      <c r="F864" t="s">
        <v>111</v>
      </c>
      <c r="G864">
        <v>2</v>
      </c>
      <c r="H864">
        <v>10.72</v>
      </c>
      <c r="I864" t="s">
        <v>35</v>
      </c>
      <c r="J864" t="s">
        <v>561</v>
      </c>
      <c r="K864">
        <v>3</v>
      </c>
      <c r="L864" t="s">
        <v>17</v>
      </c>
      <c r="M864">
        <v>55</v>
      </c>
      <c r="N864" s="18" t="str">
        <f t="shared" si="39"/>
        <v>46-60</v>
      </c>
      <c r="O864" s="12">
        <f t="shared" si="40"/>
        <v>21.44</v>
      </c>
      <c r="P864" s="12">
        <f t="shared" si="41"/>
        <v>6.4320000000000004</v>
      </c>
      <c r="X864" s="14" t="s">
        <v>956</v>
      </c>
      <c r="Y864" s="19">
        <v>111.26</v>
      </c>
    </row>
    <row r="865" spans="1:25" x14ac:dyDescent="0.3">
      <c r="A865">
        <v>41567</v>
      </c>
      <c r="B865" s="1">
        <v>45682</v>
      </c>
      <c r="C865">
        <v>292</v>
      </c>
      <c r="D865">
        <v>20</v>
      </c>
      <c r="E865" t="s">
        <v>28</v>
      </c>
      <c r="F865" t="s">
        <v>72</v>
      </c>
      <c r="G865">
        <v>4</v>
      </c>
      <c r="H865">
        <v>256.18</v>
      </c>
      <c r="I865" t="s">
        <v>15</v>
      </c>
      <c r="J865" t="s">
        <v>897</v>
      </c>
      <c r="L865" t="s">
        <v>17</v>
      </c>
      <c r="M865">
        <v>32</v>
      </c>
      <c r="N865" s="18" t="str">
        <f t="shared" si="39"/>
        <v>31-45</v>
      </c>
      <c r="O865" s="12">
        <f t="shared" si="40"/>
        <v>1024.72</v>
      </c>
      <c r="P865" s="12">
        <f t="shared" si="41"/>
        <v>307.416</v>
      </c>
      <c r="X865" s="14" t="s">
        <v>149</v>
      </c>
      <c r="Y865" s="19">
        <v>1413.96</v>
      </c>
    </row>
    <row r="866" spans="1:25" x14ac:dyDescent="0.3">
      <c r="A866">
        <v>47349</v>
      </c>
      <c r="B866" s="1">
        <v>45683</v>
      </c>
      <c r="C866">
        <v>517</v>
      </c>
      <c r="D866">
        <v>40</v>
      </c>
      <c r="E866" t="s">
        <v>24</v>
      </c>
      <c r="F866" t="s">
        <v>49</v>
      </c>
      <c r="G866">
        <v>2</v>
      </c>
      <c r="H866">
        <v>382.15</v>
      </c>
      <c r="I866" t="s">
        <v>26</v>
      </c>
      <c r="J866" t="s">
        <v>636</v>
      </c>
      <c r="K866">
        <v>5</v>
      </c>
      <c r="L866" t="s">
        <v>17</v>
      </c>
      <c r="M866">
        <v>47</v>
      </c>
      <c r="N866" s="18" t="str">
        <f t="shared" si="39"/>
        <v>46-60</v>
      </c>
      <c r="O866" s="12">
        <f t="shared" si="40"/>
        <v>764.3</v>
      </c>
      <c r="P866" s="12">
        <f t="shared" si="41"/>
        <v>229.29</v>
      </c>
      <c r="X866" s="14" t="s">
        <v>310</v>
      </c>
      <c r="Y866" s="19">
        <v>557.82000000000005</v>
      </c>
    </row>
    <row r="867" spans="1:25" x14ac:dyDescent="0.3">
      <c r="A867">
        <v>46239</v>
      </c>
      <c r="B867" s="1">
        <v>45683</v>
      </c>
      <c r="C867">
        <v>413</v>
      </c>
      <c r="D867">
        <v>50</v>
      </c>
      <c r="E867" t="s">
        <v>18</v>
      </c>
      <c r="F867" t="s">
        <v>19</v>
      </c>
      <c r="G867">
        <v>2</v>
      </c>
      <c r="H867">
        <v>433.67</v>
      </c>
      <c r="I867" t="s">
        <v>35</v>
      </c>
      <c r="J867" t="s">
        <v>644</v>
      </c>
      <c r="M867">
        <v>52</v>
      </c>
      <c r="N867" s="18" t="str">
        <f t="shared" si="39"/>
        <v>46-60</v>
      </c>
      <c r="O867" s="12">
        <f t="shared" si="40"/>
        <v>867.34</v>
      </c>
      <c r="P867" s="12">
        <f t="shared" si="41"/>
        <v>260.202</v>
      </c>
      <c r="X867" s="14" t="s">
        <v>857</v>
      </c>
      <c r="Y867" s="19">
        <v>1114.29</v>
      </c>
    </row>
    <row r="868" spans="1:25" x14ac:dyDescent="0.3">
      <c r="A868">
        <v>94304</v>
      </c>
      <c r="B868" s="1">
        <v>45683</v>
      </c>
      <c r="C868">
        <v>701</v>
      </c>
      <c r="D868">
        <v>30</v>
      </c>
      <c r="E868" t="s">
        <v>37</v>
      </c>
      <c r="F868" t="s">
        <v>68</v>
      </c>
      <c r="G868">
        <v>5</v>
      </c>
      <c r="H868">
        <v>248.88</v>
      </c>
      <c r="I868" t="s">
        <v>15</v>
      </c>
      <c r="J868" t="s">
        <v>985</v>
      </c>
      <c r="K868">
        <v>4</v>
      </c>
      <c r="L868" t="s">
        <v>21</v>
      </c>
      <c r="M868">
        <v>56</v>
      </c>
      <c r="N868" s="18" t="str">
        <f t="shared" si="39"/>
        <v>46-60</v>
      </c>
      <c r="O868" s="12">
        <f t="shared" si="40"/>
        <v>1244.4000000000001</v>
      </c>
      <c r="P868" s="12">
        <f t="shared" si="41"/>
        <v>373.32</v>
      </c>
      <c r="X868" s="14" t="s">
        <v>222</v>
      </c>
      <c r="Y868" s="19">
        <v>566.34</v>
      </c>
    </row>
    <row r="869" spans="1:25" x14ac:dyDescent="0.3">
      <c r="A869">
        <v>33859</v>
      </c>
      <c r="B869" s="1">
        <v>45683</v>
      </c>
      <c r="C869">
        <v>712</v>
      </c>
      <c r="D869">
        <v>20</v>
      </c>
      <c r="E869" t="s">
        <v>28</v>
      </c>
      <c r="F869" t="s">
        <v>77</v>
      </c>
      <c r="G869">
        <v>4</v>
      </c>
      <c r="H869">
        <v>334.68</v>
      </c>
      <c r="I869" t="s">
        <v>15</v>
      </c>
      <c r="J869" t="s">
        <v>998</v>
      </c>
      <c r="K869">
        <v>5</v>
      </c>
      <c r="L869" t="s">
        <v>17</v>
      </c>
      <c r="M869">
        <v>25</v>
      </c>
      <c r="N869" s="18" t="str">
        <f t="shared" si="39"/>
        <v>18-30</v>
      </c>
      <c r="O869" s="12">
        <f t="shared" si="40"/>
        <v>1338.72</v>
      </c>
      <c r="P869" s="12">
        <f t="shared" si="41"/>
        <v>401.61599999999999</v>
      </c>
      <c r="X869" s="14" t="s">
        <v>745</v>
      </c>
      <c r="Y869" s="19">
        <v>62.300000000000004</v>
      </c>
    </row>
    <row r="870" spans="1:25" x14ac:dyDescent="0.3">
      <c r="A870">
        <v>51458</v>
      </c>
      <c r="B870" s="1">
        <v>45684</v>
      </c>
      <c r="C870">
        <v>400</v>
      </c>
      <c r="D870">
        <v>40</v>
      </c>
      <c r="E870" t="s">
        <v>24</v>
      </c>
      <c r="F870" t="s">
        <v>49</v>
      </c>
      <c r="G870">
        <v>1</v>
      </c>
      <c r="H870">
        <v>389.49</v>
      </c>
      <c r="I870" t="s">
        <v>35</v>
      </c>
      <c r="J870" t="s">
        <v>288</v>
      </c>
      <c r="K870">
        <v>4</v>
      </c>
      <c r="L870" t="s">
        <v>17</v>
      </c>
      <c r="M870">
        <v>19</v>
      </c>
      <c r="N870" s="18" t="str">
        <f t="shared" si="39"/>
        <v>18-30</v>
      </c>
      <c r="O870" s="12">
        <f t="shared" si="40"/>
        <v>389.49</v>
      </c>
      <c r="P870" s="12">
        <f t="shared" si="41"/>
        <v>116.84699999999999</v>
      </c>
      <c r="X870" s="14" t="s">
        <v>307</v>
      </c>
      <c r="Y870" s="19">
        <v>600.1</v>
      </c>
    </row>
    <row r="871" spans="1:25" x14ac:dyDescent="0.3">
      <c r="A871">
        <v>96947</v>
      </c>
      <c r="B871" s="1">
        <v>45684</v>
      </c>
      <c r="C871">
        <v>148</v>
      </c>
      <c r="D871">
        <v>40</v>
      </c>
      <c r="E871" t="s">
        <v>24</v>
      </c>
      <c r="F871" t="s">
        <v>63</v>
      </c>
      <c r="G871">
        <v>5</v>
      </c>
      <c r="H871">
        <v>291.22000000000003</v>
      </c>
      <c r="I871" t="s">
        <v>35</v>
      </c>
      <c r="J871" t="s">
        <v>333</v>
      </c>
      <c r="K871">
        <v>3</v>
      </c>
      <c r="L871" t="s">
        <v>21</v>
      </c>
      <c r="M871">
        <v>35</v>
      </c>
      <c r="N871" s="18" t="str">
        <f t="shared" si="39"/>
        <v>31-45</v>
      </c>
      <c r="O871" s="12">
        <f t="shared" si="40"/>
        <v>1456.1000000000001</v>
      </c>
      <c r="P871" s="12">
        <f t="shared" si="41"/>
        <v>436.83000000000004</v>
      </c>
      <c r="X871" s="14" t="s">
        <v>422</v>
      </c>
      <c r="Y871" s="19">
        <v>900.36</v>
      </c>
    </row>
    <row r="872" spans="1:25" x14ac:dyDescent="0.3">
      <c r="A872">
        <v>46059</v>
      </c>
      <c r="B872" s="1">
        <v>45684</v>
      </c>
      <c r="C872">
        <v>266</v>
      </c>
      <c r="D872">
        <v>20</v>
      </c>
      <c r="E872" t="s">
        <v>28</v>
      </c>
      <c r="F872" t="s">
        <v>72</v>
      </c>
      <c r="G872">
        <v>4</v>
      </c>
      <c r="H872">
        <v>474.27</v>
      </c>
      <c r="I872" t="s">
        <v>35</v>
      </c>
      <c r="J872" t="s">
        <v>346</v>
      </c>
      <c r="K872">
        <v>5</v>
      </c>
      <c r="L872" t="s">
        <v>17</v>
      </c>
      <c r="M872">
        <v>40</v>
      </c>
      <c r="N872" s="18" t="str">
        <f t="shared" si="39"/>
        <v>31-45</v>
      </c>
      <c r="O872" s="12">
        <f t="shared" si="40"/>
        <v>1897.08</v>
      </c>
      <c r="P872" s="12">
        <f t="shared" si="41"/>
        <v>569.12399999999991</v>
      </c>
      <c r="X872" s="14" t="s">
        <v>423</v>
      </c>
      <c r="Y872" s="19">
        <v>513.82000000000005</v>
      </c>
    </row>
    <row r="873" spans="1:25" x14ac:dyDescent="0.3">
      <c r="A873">
        <v>34224</v>
      </c>
      <c r="B873" s="1">
        <v>45684</v>
      </c>
      <c r="C873">
        <v>347</v>
      </c>
      <c r="D873">
        <v>10</v>
      </c>
      <c r="E873" t="s">
        <v>13</v>
      </c>
      <c r="F873" t="s">
        <v>111</v>
      </c>
      <c r="G873">
        <v>5</v>
      </c>
      <c r="H873">
        <v>410.38</v>
      </c>
      <c r="I873" t="s">
        <v>26</v>
      </c>
      <c r="J873" t="s">
        <v>528</v>
      </c>
      <c r="K873">
        <v>5</v>
      </c>
      <c r="L873" t="s">
        <v>17</v>
      </c>
      <c r="M873">
        <v>35</v>
      </c>
      <c r="N873" s="18" t="str">
        <f t="shared" si="39"/>
        <v>31-45</v>
      </c>
      <c r="O873" s="12">
        <f t="shared" si="40"/>
        <v>2051.9</v>
      </c>
      <c r="P873" s="12">
        <f t="shared" si="41"/>
        <v>615.57000000000005</v>
      </c>
      <c r="X873" s="14" t="s">
        <v>97</v>
      </c>
      <c r="Y873" s="19">
        <v>674.5</v>
      </c>
    </row>
    <row r="874" spans="1:25" x14ac:dyDescent="0.3">
      <c r="A874">
        <v>77523</v>
      </c>
      <c r="B874" s="1">
        <v>45685</v>
      </c>
      <c r="C874">
        <v>543</v>
      </c>
      <c r="D874">
        <v>30</v>
      </c>
      <c r="E874" t="s">
        <v>37</v>
      </c>
      <c r="F874" t="s">
        <v>58</v>
      </c>
      <c r="G874">
        <v>5</v>
      </c>
      <c r="H874">
        <v>355.65</v>
      </c>
      <c r="I874" t="s">
        <v>26</v>
      </c>
      <c r="J874" t="s">
        <v>196</v>
      </c>
      <c r="K874">
        <v>5</v>
      </c>
      <c r="M874">
        <v>21</v>
      </c>
      <c r="N874" s="18" t="str">
        <f t="shared" si="39"/>
        <v>18-30</v>
      </c>
      <c r="O874" s="12">
        <f t="shared" si="40"/>
        <v>1778.25</v>
      </c>
      <c r="P874" s="12">
        <f t="shared" si="41"/>
        <v>533.47500000000002</v>
      </c>
      <c r="X874" s="14" t="s">
        <v>780</v>
      </c>
      <c r="Y874" s="19">
        <v>415.49</v>
      </c>
    </row>
    <row r="875" spans="1:25" x14ac:dyDescent="0.3">
      <c r="A875">
        <v>26392</v>
      </c>
      <c r="B875" s="1">
        <v>45685</v>
      </c>
      <c r="C875">
        <v>282</v>
      </c>
      <c r="D875">
        <v>20</v>
      </c>
      <c r="E875" t="s">
        <v>28</v>
      </c>
      <c r="F875" t="s">
        <v>72</v>
      </c>
      <c r="G875">
        <v>1</v>
      </c>
      <c r="H875">
        <v>467.54</v>
      </c>
      <c r="I875" t="s">
        <v>35</v>
      </c>
      <c r="J875" t="s">
        <v>358</v>
      </c>
      <c r="K875">
        <v>3</v>
      </c>
      <c r="L875" t="s">
        <v>17</v>
      </c>
      <c r="M875">
        <v>73</v>
      </c>
      <c r="N875" s="18" t="str">
        <f t="shared" si="39"/>
        <v>60+</v>
      </c>
      <c r="O875" s="12">
        <f t="shared" si="40"/>
        <v>467.54</v>
      </c>
      <c r="P875" s="12">
        <f t="shared" si="41"/>
        <v>140.262</v>
      </c>
      <c r="X875" s="14" t="s">
        <v>661</v>
      </c>
      <c r="Y875" s="19">
        <v>447.49</v>
      </c>
    </row>
    <row r="876" spans="1:25" x14ac:dyDescent="0.3">
      <c r="A876">
        <v>22599</v>
      </c>
      <c r="B876" s="1">
        <v>45685</v>
      </c>
      <c r="C876">
        <v>888</v>
      </c>
      <c r="D876">
        <v>40</v>
      </c>
      <c r="E876" t="s">
        <v>24</v>
      </c>
      <c r="F876" t="s">
        <v>65</v>
      </c>
      <c r="G876">
        <v>4</v>
      </c>
      <c r="H876">
        <v>36.270000000000003</v>
      </c>
      <c r="I876" t="s">
        <v>26</v>
      </c>
      <c r="J876" t="s">
        <v>504</v>
      </c>
      <c r="K876">
        <v>5</v>
      </c>
      <c r="L876" t="s">
        <v>17</v>
      </c>
      <c r="M876">
        <v>18</v>
      </c>
      <c r="N876" s="18" t="str">
        <f t="shared" si="39"/>
        <v>18-30</v>
      </c>
      <c r="O876" s="12">
        <f t="shared" si="40"/>
        <v>145.08000000000001</v>
      </c>
      <c r="P876" s="12">
        <f t="shared" si="41"/>
        <v>43.524000000000001</v>
      </c>
      <c r="X876" s="14" t="s">
        <v>508</v>
      </c>
      <c r="Y876" s="19">
        <v>373.83</v>
      </c>
    </row>
    <row r="877" spans="1:25" x14ac:dyDescent="0.3">
      <c r="A877">
        <v>56948</v>
      </c>
      <c r="B877" s="1">
        <v>45685</v>
      </c>
      <c r="C877">
        <v>349</v>
      </c>
      <c r="D877">
        <v>20</v>
      </c>
      <c r="E877" t="s">
        <v>28</v>
      </c>
      <c r="F877" t="s">
        <v>77</v>
      </c>
      <c r="G877">
        <v>3</v>
      </c>
      <c r="H877">
        <v>350.64</v>
      </c>
      <c r="I877" t="s">
        <v>35</v>
      </c>
      <c r="J877" t="s">
        <v>676</v>
      </c>
      <c r="L877" t="s">
        <v>21</v>
      </c>
      <c r="M877">
        <v>55</v>
      </c>
      <c r="N877" s="18" t="str">
        <f t="shared" si="39"/>
        <v>46-60</v>
      </c>
      <c r="O877" s="12">
        <f t="shared" si="40"/>
        <v>1051.92</v>
      </c>
      <c r="P877" s="12">
        <f t="shared" si="41"/>
        <v>315.57600000000002</v>
      </c>
      <c r="X877" s="14" t="s">
        <v>764</v>
      </c>
      <c r="Y877" s="19">
        <v>1106.92</v>
      </c>
    </row>
    <row r="878" spans="1:25" x14ac:dyDescent="0.3">
      <c r="A878">
        <v>54453</v>
      </c>
      <c r="B878" s="1">
        <v>45685</v>
      </c>
      <c r="C878">
        <v>246</v>
      </c>
      <c r="D878">
        <v>30</v>
      </c>
      <c r="E878" t="s">
        <v>37</v>
      </c>
      <c r="F878" t="s">
        <v>58</v>
      </c>
      <c r="G878">
        <v>2</v>
      </c>
      <c r="H878">
        <v>117.78</v>
      </c>
      <c r="I878" t="s">
        <v>15</v>
      </c>
      <c r="J878" t="s">
        <v>728</v>
      </c>
      <c r="K878">
        <v>4</v>
      </c>
      <c r="L878" t="s">
        <v>17</v>
      </c>
      <c r="M878">
        <v>19</v>
      </c>
      <c r="N878" s="18" t="str">
        <f t="shared" si="39"/>
        <v>18-30</v>
      </c>
      <c r="O878" s="12">
        <f t="shared" si="40"/>
        <v>235.56</v>
      </c>
      <c r="P878" s="12">
        <f t="shared" si="41"/>
        <v>70.667999999999992</v>
      </c>
      <c r="X878" s="14" t="s">
        <v>828</v>
      </c>
      <c r="Y878" s="19">
        <v>932.09999999999991</v>
      </c>
    </row>
    <row r="879" spans="1:25" x14ac:dyDescent="0.3">
      <c r="A879">
        <v>93036</v>
      </c>
      <c r="B879" s="1">
        <v>45685</v>
      </c>
      <c r="C879">
        <v>964</v>
      </c>
      <c r="D879">
        <v>50</v>
      </c>
      <c r="E879" t="s">
        <v>18</v>
      </c>
      <c r="F879" t="s">
        <v>34</v>
      </c>
      <c r="G879">
        <v>4</v>
      </c>
      <c r="H879">
        <v>189.3</v>
      </c>
      <c r="I879" t="s">
        <v>26</v>
      </c>
      <c r="J879" t="s">
        <v>817</v>
      </c>
      <c r="K879">
        <v>4</v>
      </c>
      <c r="L879" t="s">
        <v>21</v>
      </c>
      <c r="M879">
        <v>30</v>
      </c>
      <c r="N879" s="18" t="str">
        <f t="shared" si="39"/>
        <v>18-30</v>
      </c>
      <c r="O879" s="12">
        <f t="shared" si="40"/>
        <v>757.2</v>
      </c>
      <c r="P879" s="12">
        <f t="shared" si="41"/>
        <v>227.16</v>
      </c>
      <c r="X879" s="14" t="s">
        <v>955</v>
      </c>
      <c r="Y879" s="19">
        <v>1978.8999999999999</v>
      </c>
    </row>
    <row r="880" spans="1:25" x14ac:dyDescent="0.3">
      <c r="A880">
        <v>43949</v>
      </c>
      <c r="B880" s="1">
        <v>45685</v>
      </c>
      <c r="C880">
        <v>346</v>
      </c>
      <c r="D880">
        <v>30</v>
      </c>
      <c r="E880" t="s">
        <v>37</v>
      </c>
      <c r="F880" t="s">
        <v>40</v>
      </c>
      <c r="G880">
        <v>3</v>
      </c>
      <c r="H880">
        <v>158.75</v>
      </c>
      <c r="I880" t="s">
        <v>15</v>
      </c>
      <c r="J880" t="s">
        <v>842</v>
      </c>
      <c r="K880">
        <v>4</v>
      </c>
      <c r="L880" t="s">
        <v>17</v>
      </c>
      <c r="M880">
        <v>27</v>
      </c>
      <c r="N880" s="18" t="str">
        <f t="shared" si="39"/>
        <v>18-30</v>
      </c>
      <c r="O880" s="12">
        <f t="shared" si="40"/>
        <v>476.25</v>
      </c>
      <c r="P880" s="12">
        <f t="shared" si="41"/>
        <v>142.875</v>
      </c>
      <c r="X880" s="14" t="s">
        <v>833</v>
      </c>
      <c r="Y880" s="19">
        <v>275.37</v>
      </c>
    </row>
    <row r="881" spans="1:25" x14ac:dyDescent="0.3">
      <c r="A881">
        <v>11479</v>
      </c>
      <c r="B881" s="1">
        <v>45685</v>
      </c>
      <c r="C881">
        <v>331</v>
      </c>
      <c r="D881">
        <v>20</v>
      </c>
      <c r="E881" t="s">
        <v>28</v>
      </c>
      <c r="F881" t="s">
        <v>51</v>
      </c>
      <c r="G881">
        <v>2</v>
      </c>
      <c r="H881">
        <v>452.6</v>
      </c>
      <c r="I881" t="s">
        <v>35</v>
      </c>
      <c r="J881" t="s">
        <v>1002</v>
      </c>
      <c r="K881">
        <v>5</v>
      </c>
      <c r="L881" t="s">
        <v>17</v>
      </c>
      <c r="M881">
        <v>48</v>
      </c>
      <c r="N881" s="18" t="str">
        <f t="shared" si="39"/>
        <v>46-60</v>
      </c>
      <c r="O881" s="12">
        <f t="shared" si="40"/>
        <v>905.2</v>
      </c>
      <c r="P881" s="12">
        <f t="shared" si="41"/>
        <v>271.56</v>
      </c>
      <c r="X881" s="14" t="s">
        <v>507</v>
      </c>
      <c r="Y881" s="19">
        <v>459.36</v>
      </c>
    </row>
    <row r="882" spans="1:25" x14ac:dyDescent="0.3">
      <c r="A882">
        <v>58103</v>
      </c>
      <c r="B882" s="1">
        <v>45686</v>
      </c>
      <c r="C882">
        <v>389</v>
      </c>
      <c r="D882">
        <v>30</v>
      </c>
      <c r="E882" t="s">
        <v>37</v>
      </c>
      <c r="F882" t="s">
        <v>68</v>
      </c>
      <c r="G882">
        <v>3</v>
      </c>
      <c r="H882">
        <v>435.37</v>
      </c>
      <c r="I882" t="s">
        <v>35</v>
      </c>
      <c r="J882" t="s">
        <v>254</v>
      </c>
      <c r="L882" t="s">
        <v>21</v>
      </c>
      <c r="M882">
        <v>18</v>
      </c>
      <c r="N882" s="18" t="str">
        <f t="shared" si="39"/>
        <v>18-30</v>
      </c>
      <c r="O882" s="12">
        <f t="shared" si="40"/>
        <v>1306.1100000000001</v>
      </c>
      <c r="P882" s="12">
        <f t="shared" si="41"/>
        <v>391.83300000000003</v>
      </c>
      <c r="X882" s="14" t="s">
        <v>756</v>
      </c>
      <c r="Y882" s="19">
        <v>386.91</v>
      </c>
    </row>
    <row r="883" spans="1:25" x14ac:dyDescent="0.3">
      <c r="A883">
        <v>50813</v>
      </c>
      <c r="B883" s="1">
        <v>45686</v>
      </c>
      <c r="C883">
        <v>481</v>
      </c>
      <c r="D883">
        <v>50</v>
      </c>
      <c r="E883" t="s">
        <v>18</v>
      </c>
      <c r="F883" t="s">
        <v>87</v>
      </c>
      <c r="G883">
        <v>4</v>
      </c>
      <c r="H883">
        <v>173.35</v>
      </c>
      <c r="I883" t="s">
        <v>35</v>
      </c>
      <c r="J883" t="s">
        <v>290</v>
      </c>
      <c r="K883">
        <v>5</v>
      </c>
      <c r="M883">
        <v>70</v>
      </c>
      <c r="N883" s="18" t="str">
        <f t="shared" si="39"/>
        <v>60+</v>
      </c>
      <c r="O883" s="12">
        <f t="shared" si="40"/>
        <v>693.4</v>
      </c>
      <c r="P883" s="12">
        <f t="shared" si="41"/>
        <v>208.01999999999998</v>
      </c>
      <c r="X883" s="14" t="s">
        <v>499</v>
      </c>
      <c r="Y883" s="19">
        <v>283.62</v>
      </c>
    </row>
    <row r="884" spans="1:25" x14ac:dyDescent="0.3">
      <c r="A884">
        <v>19925</v>
      </c>
      <c r="B884" s="1">
        <v>45686</v>
      </c>
      <c r="C884">
        <v>747</v>
      </c>
      <c r="D884">
        <v>20</v>
      </c>
      <c r="E884" t="s">
        <v>28</v>
      </c>
      <c r="F884" t="s">
        <v>79</v>
      </c>
      <c r="G884">
        <v>3</v>
      </c>
      <c r="H884">
        <v>364.55</v>
      </c>
      <c r="I884" t="s">
        <v>26</v>
      </c>
      <c r="J884" t="s">
        <v>892</v>
      </c>
      <c r="L884" t="s">
        <v>17</v>
      </c>
      <c r="M884">
        <v>51</v>
      </c>
      <c r="N884" s="18" t="str">
        <f t="shared" si="39"/>
        <v>46-60</v>
      </c>
      <c r="O884" s="12">
        <f t="shared" si="40"/>
        <v>1093.6500000000001</v>
      </c>
      <c r="P884" s="12">
        <f t="shared" si="41"/>
        <v>328.09500000000003</v>
      </c>
      <c r="X884" s="14" t="s">
        <v>278</v>
      </c>
      <c r="Y884" s="19">
        <v>1904.52</v>
      </c>
    </row>
    <row r="885" spans="1:25" x14ac:dyDescent="0.3">
      <c r="A885">
        <v>91017</v>
      </c>
      <c r="B885" s="1">
        <v>45686</v>
      </c>
      <c r="C885">
        <v>408</v>
      </c>
      <c r="D885">
        <v>40</v>
      </c>
      <c r="E885" t="s">
        <v>24</v>
      </c>
      <c r="F885" t="s">
        <v>63</v>
      </c>
      <c r="G885">
        <v>2</v>
      </c>
      <c r="H885">
        <v>436.2</v>
      </c>
      <c r="I885" t="s">
        <v>15</v>
      </c>
      <c r="J885" t="s">
        <v>895</v>
      </c>
      <c r="K885">
        <v>5</v>
      </c>
      <c r="L885" t="s">
        <v>17</v>
      </c>
      <c r="M885">
        <v>26</v>
      </c>
      <c r="N885" s="18" t="str">
        <f t="shared" si="39"/>
        <v>18-30</v>
      </c>
      <c r="O885" s="12">
        <f t="shared" si="40"/>
        <v>872.4</v>
      </c>
      <c r="P885" s="12">
        <f t="shared" si="41"/>
        <v>261.71999999999997</v>
      </c>
      <c r="X885" s="14" t="s">
        <v>643</v>
      </c>
      <c r="Y885" s="19">
        <v>654.44000000000005</v>
      </c>
    </row>
    <row r="886" spans="1:25" x14ac:dyDescent="0.3">
      <c r="A886">
        <v>66073</v>
      </c>
      <c r="B886" s="1">
        <v>45687</v>
      </c>
      <c r="C886">
        <v>983</v>
      </c>
      <c r="D886">
        <v>30</v>
      </c>
      <c r="E886" t="s">
        <v>37</v>
      </c>
      <c r="F886" t="s">
        <v>40</v>
      </c>
      <c r="G886">
        <v>2</v>
      </c>
      <c r="H886">
        <v>469.33</v>
      </c>
      <c r="I886" t="s">
        <v>35</v>
      </c>
      <c r="J886" t="s">
        <v>419</v>
      </c>
      <c r="K886">
        <v>5</v>
      </c>
      <c r="L886" t="s">
        <v>21</v>
      </c>
      <c r="M886">
        <v>40</v>
      </c>
      <c r="N886" s="18" t="str">
        <f t="shared" si="39"/>
        <v>31-45</v>
      </c>
      <c r="O886" s="12">
        <f t="shared" si="40"/>
        <v>938.66</v>
      </c>
      <c r="P886" s="12">
        <f t="shared" si="41"/>
        <v>281.59799999999996</v>
      </c>
      <c r="X886" s="14" t="s">
        <v>986</v>
      </c>
      <c r="Y886" s="19">
        <v>682.17</v>
      </c>
    </row>
    <row r="887" spans="1:25" x14ac:dyDescent="0.3">
      <c r="A887">
        <v>25091</v>
      </c>
      <c r="B887" s="1">
        <v>45687</v>
      </c>
      <c r="C887">
        <v>766</v>
      </c>
      <c r="D887">
        <v>50</v>
      </c>
      <c r="E887" t="s">
        <v>18</v>
      </c>
      <c r="F887" t="s">
        <v>22</v>
      </c>
      <c r="G887">
        <v>5</v>
      </c>
      <c r="H887">
        <v>119.75</v>
      </c>
      <c r="I887" t="s">
        <v>35</v>
      </c>
      <c r="J887" t="s">
        <v>694</v>
      </c>
      <c r="K887">
        <v>5</v>
      </c>
      <c r="L887" t="s">
        <v>17</v>
      </c>
      <c r="M887">
        <v>20</v>
      </c>
      <c r="N887" s="18" t="str">
        <f t="shared" si="39"/>
        <v>18-30</v>
      </c>
      <c r="O887" s="12">
        <f t="shared" si="40"/>
        <v>598.75</v>
      </c>
      <c r="P887" s="12">
        <f t="shared" si="41"/>
        <v>179.625</v>
      </c>
      <c r="X887" s="14" t="s">
        <v>724</v>
      </c>
      <c r="Y887" s="19">
        <v>387.76</v>
      </c>
    </row>
    <row r="888" spans="1:25" x14ac:dyDescent="0.3">
      <c r="A888">
        <v>98363</v>
      </c>
      <c r="B888" s="1">
        <v>45687</v>
      </c>
      <c r="C888">
        <v>332</v>
      </c>
      <c r="D888">
        <v>40</v>
      </c>
      <c r="E888" t="s">
        <v>24</v>
      </c>
      <c r="F888" t="s">
        <v>25</v>
      </c>
      <c r="G888">
        <v>2</v>
      </c>
      <c r="H888">
        <v>160.94</v>
      </c>
      <c r="I888" t="s">
        <v>26</v>
      </c>
      <c r="J888" t="s">
        <v>1000</v>
      </c>
      <c r="L888" t="s">
        <v>21</v>
      </c>
      <c r="M888">
        <v>27</v>
      </c>
      <c r="N888" s="18" t="str">
        <f t="shared" si="39"/>
        <v>18-30</v>
      </c>
      <c r="O888" s="12">
        <f t="shared" si="40"/>
        <v>321.88</v>
      </c>
      <c r="P888" s="12">
        <f t="shared" si="41"/>
        <v>96.563999999999993</v>
      </c>
      <c r="X888" s="14" t="s">
        <v>873</v>
      </c>
      <c r="Y888" s="19">
        <v>822.66</v>
      </c>
    </row>
    <row r="889" spans="1:25" x14ac:dyDescent="0.3">
      <c r="A889">
        <v>27389</v>
      </c>
      <c r="B889" s="1">
        <v>45688</v>
      </c>
      <c r="C889">
        <v>549</v>
      </c>
      <c r="D889">
        <v>10</v>
      </c>
      <c r="E889" t="s">
        <v>13</v>
      </c>
      <c r="F889" t="s">
        <v>42</v>
      </c>
      <c r="G889">
        <v>2</v>
      </c>
      <c r="H889">
        <v>321.14</v>
      </c>
      <c r="I889" t="s">
        <v>35</v>
      </c>
      <c r="J889" t="s">
        <v>43</v>
      </c>
      <c r="K889">
        <v>5</v>
      </c>
      <c r="L889" t="s">
        <v>21</v>
      </c>
      <c r="M889">
        <v>26</v>
      </c>
      <c r="N889" s="18" t="str">
        <f t="shared" si="39"/>
        <v>18-30</v>
      </c>
      <c r="O889" s="12">
        <f t="shared" si="40"/>
        <v>642.28</v>
      </c>
      <c r="P889" s="12">
        <f t="shared" si="41"/>
        <v>192.684</v>
      </c>
      <c r="X889" s="14" t="s">
        <v>218</v>
      </c>
      <c r="Y889" s="19">
        <v>489.19</v>
      </c>
    </row>
    <row r="890" spans="1:25" x14ac:dyDescent="0.3">
      <c r="A890">
        <v>47548</v>
      </c>
      <c r="B890" s="1">
        <v>45688</v>
      </c>
      <c r="C890">
        <v>381</v>
      </c>
      <c r="D890">
        <v>30</v>
      </c>
      <c r="E890" t="s">
        <v>37</v>
      </c>
      <c r="F890" t="s">
        <v>68</v>
      </c>
      <c r="G890">
        <v>2</v>
      </c>
      <c r="H890">
        <v>226.48</v>
      </c>
      <c r="I890" t="s">
        <v>35</v>
      </c>
      <c r="J890" t="s">
        <v>122</v>
      </c>
      <c r="K890">
        <v>1</v>
      </c>
      <c r="L890" t="s">
        <v>17</v>
      </c>
      <c r="M890">
        <v>36</v>
      </c>
      <c r="N890" s="18" t="str">
        <f t="shared" si="39"/>
        <v>31-45</v>
      </c>
      <c r="O890" s="12">
        <f t="shared" si="40"/>
        <v>452.96</v>
      </c>
      <c r="P890" s="12">
        <f t="shared" si="41"/>
        <v>135.88799999999998</v>
      </c>
      <c r="X890" s="14" t="s">
        <v>303</v>
      </c>
      <c r="Y890" s="19">
        <v>281.72000000000003</v>
      </c>
    </row>
    <row r="891" spans="1:25" x14ac:dyDescent="0.3">
      <c r="A891">
        <v>93644</v>
      </c>
      <c r="B891" s="1">
        <v>45688</v>
      </c>
      <c r="C891">
        <v>734</v>
      </c>
      <c r="D891">
        <v>20</v>
      </c>
      <c r="E891" t="s">
        <v>28</v>
      </c>
      <c r="F891" t="s">
        <v>51</v>
      </c>
      <c r="G891">
        <v>2</v>
      </c>
      <c r="H891">
        <v>361.74</v>
      </c>
      <c r="I891" t="s">
        <v>15</v>
      </c>
      <c r="J891" t="s">
        <v>878</v>
      </c>
      <c r="K891">
        <v>5</v>
      </c>
      <c r="L891" t="s">
        <v>21</v>
      </c>
      <c r="M891">
        <v>33</v>
      </c>
      <c r="N891" s="18" t="str">
        <f t="shared" si="39"/>
        <v>31-45</v>
      </c>
      <c r="O891" s="12">
        <f t="shared" si="40"/>
        <v>723.48</v>
      </c>
      <c r="P891" s="12">
        <f t="shared" si="41"/>
        <v>217.04400000000001</v>
      </c>
      <c r="X891" s="14" t="s">
        <v>856</v>
      </c>
      <c r="Y891" s="19">
        <v>69.760000000000005</v>
      </c>
    </row>
    <row r="892" spans="1:25" x14ac:dyDescent="0.3">
      <c r="A892">
        <v>67837</v>
      </c>
      <c r="B892" s="1">
        <v>45690</v>
      </c>
      <c r="C892">
        <v>671</v>
      </c>
      <c r="D892">
        <v>40</v>
      </c>
      <c r="E892" t="s">
        <v>24</v>
      </c>
      <c r="F892" t="s">
        <v>44</v>
      </c>
      <c r="G892">
        <v>1</v>
      </c>
      <c r="H892">
        <v>281.72000000000003</v>
      </c>
      <c r="I892" t="s">
        <v>15</v>
      </c>
      <c r="J892" t="s">
        <v>303</v>
      </c>
      <c r="K892">
        <v>5</v>
      </c>
      <c r="L892" t="s">
        <v>17</v>
      </c>
      <c r="M892">
        <v>39</v>
      </c>
      <c r="N892" s="18" t="str">
        <f t="shared" si="39"/>
        <v>31-45</v>
      </c>
      <c r="O892" s="12">
        <f t="shared" si="40"/>
        <v>281.72000000000003</v>
      </c>
      <c r="P892" s="12">
        <f t="shared" si="41"/>
        <v>84.516000000000005</v>
      </c>
      <c r="X892" s="14" t="s">
        <v>760</v>
      </c>
      <c r="Y892" s="19">
        <v>2351</v>
      </c>
    </row>
    <row r="893" spans="1:25" x14ac:dyDescent="0.3">
      <c r="A893">
        <v>45699</v>
      </c>
      <c r="B893" s="1">
        <v>45691</v>
      </c>
      <c r="C893">
        <v>200</v>
      </c>
      <c r="D893">
        <v>20</v>
      </c>
      <c r="E893" t="s">
        <v>28</v>
      </c>
      <c r="F893" t="s">
        <v>77</v>
      </c>
      <c r="G893">
        <v>3</v>
      </c>
      <c r="H893">
        <v>17.95</v>
      </c>
      <c r="I893" t="s">
        <v>35</v>
      </c>
      <c r="J893" t="s">
        <v>439</v>
      </c>
      <c r="K893">
        <v>5</v>
      </c>
      <c r="L893" t="s">
        <v>17</v>
      </c>
      <c r="M893">
        <v>26</v>
      </c>
      <c r="N893" s="18" t="str">
        <f t="shared" si="39"/>
        <v>18-30</v>
      </c>
      <c r="O893" s="12">
        <f t="shared" si="40"/>
        <v>53.849999999999994</v>
      </c>
      <c r="P893" s="12">
        <f t="shared" si="41"/>
        <v>16.154999999999998</v>
      </c>
      <c r="X893" s="14" t="s">
        <v>949</v>
      </c>
      <c r="Y893" s="19">
        <v>405.65</v>
      </c>
    </row>
    <row r="894" spans="1:25" x14ac:dyDescent="0.3">
      <c r="A894">
        <v>55098</v>
      </c>
      <c r="B894" s="1">
        <v>45692</v>
      </c>
      <c r="C894">
        <v>684</v>
      </c>
      <c r="D894">
        <v>50</v>
      </c>
      <c r="E894" t="s">
        <v>18</v>
      </c>
      <c r="F894" t="s">
        <v>22</v>
      </c>
      <c r="G894">
        <v>5</v>
      </c>
      <c r="H894">
        <v>23</v>
      </c>
      <c r="I894" t="s">
        <v>15</v>
      </c>
      <c r="J894" t="s">
        <v>23</v>
      </c>
      <c r="K894">
        <v>5</v>
      </c>
      <c r="L894" t="s">
        <v>17</v>
      </c>
      <c r="M894">
        <v>64</v>
      </c>
      <c r="N894" s="18" t="str">
        <f t="shared" si="39"/>
        <v>60+</v>
      </c>
      <c r="O894" s="12">
        <f t="shared" si="40"/>
        <v>115</v>
      </c>
      <c r="P894" s="12">
        <f t="shared" si="41"/>
        <v>34.5</v>
      </c>
      <c r="X894" s="14" t="s">
        <v>754</v>
      </c>
      <c r="Y894" s="19">
        <v>145.57</v>
      </c>
    </row>
    <row r="895" spans="1:25" x14ac:dyDescent="0.3">
      <c r="A895">
        <v>66682</v>
      </c>
      <c r="B895" s="1">
        <v>45692</v>
      </c>
      <c r="C895">
        <v>632</v>
      </c>
      <c r="D895">
        <v>50</v>
      </c>
      <c r="E895" t="s">
        <v>18</v>
      </c>
      <c r="F895" t="s">
        <v>34</v>
      </c>
      <c r="G895">
        <v>1</v>
      </c>
      <c r="H895">
        <v>315.08999999999997</v>
      </c>
      <c r="I895" t="s">
        <v>26</v>
      </c>
      <c r="J895" t="s">
        <v>191</v>
      </c>
      <c r="K895">
        <v>5</v>
      </c>
      <c r="L895" t="s">
        <v>17</v>
      </c>
      <c r="M895">
        <v>42</v>
      </c>
      <c r="N895" s="18" t="str">
        <f t="shared" si="39"/>
        <v>31-45</v>
      </c>
      <c r="O895" s="12">
        <f t="shared" si="40"/>
        <v>315.08999999999997</v>
      </c>
      <c r="P895" s="12">
        <f t="shared" si="41"/>
        <v>94.526999999999987</v>
      </c>
      <c r="X895" s="14" t="s">
        <v>804</v>
      </c>
      <c r="Y895" s="19">
        <v>1031.94</v>
      </c>
    </row>
    <row r="896" spans="1:25" x14ac:dyDescent="0.3">
      <c r="A896">
        <v>25852</v>
      </c>
      <c r="B896" s="1">
        <v>45692</v>
      </c>
      <c r="C896">
        <v>544</v>
      </c>
      <c r="D896">
        <v>20</v>
      </c>
      <c r="E896" t="s">
        <v>28</v>
      </c>
      <c r="F896" t="s">
        <v>79</v>
      </c>
      <c r="G896">
        <v>3</v>
      </c>
      <c r="H896">
        <v>79.959999999999994</v>
      </c>
      <c r="I896" t="s">
        <v>35</v>
      </c>
      <c r="J896" t="s">
        <v>330</v>
      </c>
      <c r="K896">
        <v>5</v>
      </c>
      <c r="L896" t="s">
        <v>21</v>
      </c>
      <c r="M896">
        <v>21</v>
      </c>
      <c r="N896" s="18" t="str">
        <f t="shared" si="39"/>
        <v>18-30</v>
      </c>
      <c r="O896" s="12">
        <f t="shared" si="40"/>
        <v>239.88</v>
      </c>
      <c r="P896" s="12">
        <f t="shared" si="41"/>
        <v>71.963999999999999</v>
      </c>
      <c r="X896" s="14" t="s">
        <v>823</v>
      </c>
      <c r="Y896" s="19">
        <v>577.9</v>
      </c>
    </row>
    <row r="897" spans="1:25" x14ac:dyDescent="0.3">
      <c r="A897">
        <v>88218</v>
      </c>
      <c r="B897" s="1">
        <v>45692</v>
      </c>
      <c r="C897">
        <v>299</v>
      </c>
      <c r="D897">
        <v>20</v>
      </c>
      <c r="E897" t="s">
        <v>28</v>
      </c>
      <c r="F897" t="s">
        <v>29</v>
      </c>
      <c r="G897">
        <v>3</v>
      </c>
      <c r="H897">
        <v>225.1</v>
      </c>
      <c r="I897" t="s">
        <v>15</v>
      </c>
      <c r="J897" t="s">
        <v>795</v>
      </c>
      <c r="K897">
        <v>5</v>
      </c>
      <c r="M897">
        <v>40</v>
      </c>
      <c r="N897" s="18" t="str">
        <f t="shared" si="39"/>
        <v>31-45</v>
      </c>
      <c r="O897" s="12">
        <f t="shared" si="40"/>
        <v>675.3</v>
      </c>
      <c r="P897" s="12">
        <f t="shared" si="41"/>
        <v>202.58999999999997</v>
      </c>
      <c r="X897" s="14" t="s">
        <v>460</v>
      </c>
      <c r="Y897" s="19">
        <v>1876.35</v>
      </c>
    </row>
    <row r="898" spans="1:25" x14ac:dyDescent="0.3">
      <c r="A898">
        <v>45081</v>
      </c>
      <c r="B898" s="1">
        <v>45693</v>
      </c>
      <c r="C898">
        <v>721</v>
      </c>
      <c r="D898">
        <v>20</v>
      </c>
      <c r="E898" t="s">
        <v>28</v>
      </c>
      <c r="F898" t="s">
        <v>72</v>
      </c>
      <c r="G898">
        <v>4</v>
      </c>
      <c r="H898">
        <v>31.75</v>
      </c>
      <c r="I898" t="s">
        <v>26</v>
      </c>
      <c r="J898" t="s">
        <v>116</v>
      </c>
      <c r="M898">
        <v>55</v>
      </c>
      <c r="N898" s="18" t="str">
        <f t="shared" si="39"/>
        <v>46-60</v>
      </c>
      <c r="O898" s="12">
        <f t="shared" si="40"/>
        <v>127</v>
      </c>
      <c r="P898" s="12">
        <f t="shared" si="41"/>
        <v>38.1</v>
      </c>
      <c r="X898" s="14" t="s">
        <v>475</v>
      </c>
      <c r="Y898" s="19">
        <v>1422.51</v>
      </c>
    </row>
    <row r="899" spans="1:25" x14ac:dyDescent="0.3">
      <c r="A899">
        <v>54630</v>
      </c>
      <c r="B899" s="1">
        <v>45693</v>
      </c>
      <c r="C899">
        <v>967</v>
      </c>
      <c r="D899">
        <v>30</v>
      </c>
      <c r="E899" t="s">
        <v>37</v>
      </c>
      <c r="F899" t="s">
        <v>40</v>
      </c>
      <c r="G899">
        <v>4</v>
      </c>
      <c r="H899">
        <v>416.89</v>
      </c>
      <c r="I899" t="s">
        <v>35</v>
      </c>
      <c r="J899" t="s">
        <v>319</v>
      </c>
      <c r="K899">
        <v>4</v>
      </c>
      <c r="L899" t="s">
        <v>17</v>
      </c>
      <c r="M899">
        <v>64</v>
      </c>
      <c r="N899" s="18" t="str">
        <f t="shared" ref="N899:N962" si="42">IF(M899&lt;=30,"18-30",IF(M899&lt;=45,"31-45",IF(M899&lt;=60,"46-60","60+")))</f>
        <v>60+</v>
      </c>
      <c r="O899" s="12">
        <f t="shared" ref="O899:O962" si="43">H899*G899</f>
        <v>1667.56</v>
      </c>
      <c r="P899" s="12">
        <f t="shared" ref="P899:P962" si="44">O899*0.3</f>
        <v>500.26799999999997</v>
      </c>
      <c r="X899" s="14" t="s">
        <v>733</v>
      </c>
      <c r="Y899" s="19">
        <v>984.35</v>
      </c>
    </row>
    <row r="900" spans="1:25" x14ac:dyDescent="0.3">
      <c r="A900">
        <v>98713</v>
      </c>
      <c r="B900" s="1">
        <v>45693</v>
      </c>
      <c r="C900">
        <v>260</v>
      </c>
      <c r="D900">
        <v>20</v>
      </c>
      <c r="E900" t="s">
        <v>28</v>
      </c>
      <c r="F900" t="s">
        <v>29</v>
      </c>
      <c r="G900">
        <v>1</v>
      </c>
      <c r="H900">
        <v>463.67</v>
      </c>
      <c r="I900" t="s">
        <v>26</v>
      </c>
      <c r="J900" t="s">
        <v>792</v>
      </c>
      <c r="L900" t="s">
        <v>21</v>
      </c>
      <c r="M900">
        <v>37</v>
      </c>
      <c r="N900" s="18" t="str">
        <f t="shared" si="42"/>
        <v>31-45</v>
      </c>
      <c r="O900" s="12">
        <f t="shared" si="43"/>
        <v>463.67</v>
      </c>
      <c r="P900" s="12">
        <f t="shared" si="44"/>
        <v>139.101</v>
      </c>
      <c r="X900" s="14" t="s">
        <v>57</v>
      </c>
      <c r="Y900" s="19">
        <v>153.82</v>
      </c>
    </row>
    <row r="901" spans="1:25" x14ac:dyDescent="0.3">
      <c r="A901">
        <v>54371</v>
      </c>
      <c r="B901" s="1">
        <v>45693</v>
      </c>
      <c r="C901">
        <v>325</v>
      </c>
      <c r="D901">
        <v>20</v>
      </c>
      <c r="E901" t="s">
        <v>28</v>
      </c>
      <c r="F901" t="s">
        <v>72</v>
      </c>
      <c r="G901">
        <v>4</v>
      </c>
      <c r="H901">
        <v>156.87</v>
      </c>
      <c r="I901" t="s">
        <v>35</v>
      </c>
      <c r="J901" t="s">
        <v>1004</v>
      </c>
      <c r="K901">
        <v>3</v>
      </c>
      <c r="M901">
        <v>37</v>
      </c>
      <c r="N901" s="18" t="str">
        <f t="shared" si="42"/>
        <v>31-45</v>
      </c>
      <c r="O901" s="12">
        <f t="shared" si="43"/>
        <v>627.48</v>
      </c>
      <c r="P901" s="12">
        <f t="shared" si="44"/>
        <v>188.244</v>
      </c>
      <c r="X901" s="14" t="s">
        <v>769</v>
      </c>
      <c r="Y901" s="19">
        <v>639.48</v>
      </c>
    </row>
    <row r="902" spans="1:25" x14ac:dyDescent="0.3">
      <c r="A902">
        <v>59944</v>
      </c>
      <c r="B902" s="1">
        <v>45694</v>
      </c>
      <c r="C902">
        <v>293</v>
      </c>
      <c r="D902">
        <v>50</v>
      </c>
      <c r="E902" t="s">
        <v>18</v>
      </c>
      <c r="F902" t="s">
        <v>87</v>
      </c>
      <c r="G902">
        <v>2</v>
      </c>
      <c r="H902">
        <v>361.99</v>
      </c>
      <c r="I902" t="s">
        <v>26</v>
      </c>
      <c r="J902" t="s">
        <v>126</v>
      </c>
      <c r="K902">
        <v>4</v>
      </c>
      <c r="L902" t="s">
        <v>21</v>
      </c>
      <c r="M902">
        <v>51</v>
      </c>
      <c r="N902" s="18" t="str">
        <f t="shared" si="42"/>
        <v>46-60</v>
      </c>
      <c r="O902" s="12">
        <f t="shared" si="43"/>
        <v>723.98</v>
      </c>
      <c r="P902" s="12">
        <f t="shared" si="44"/>
        <v>217.19399999999999</v>
      </c>
      <c r="X902" s="14" t="s">
        <v>176</v>
      </c>
      <c r="Y902" s="19">
        <v>127.53</v>
      </c>
    </row>
    <row r="903" spans="1:25" x14ac:dyDescent="0.3">
      <c r="A903">
        <v>32569</v>
      </c>
      <c r="B903" s="1">
        <v>45694</v>
      </c>
      <c r="C903">
        <v>336</v>
      </c>
      <c r="D903">
        <v>40</v>
      </c>
      <c r="E903" t="s">
        <v>24</v>
      </c>
      <c r="F903" t="s">
        <v>65</v>
      </c>
      <c r="G903">
        <v>2</v>
      </c>
      <c r="H903">
        <v>336.89</v>
      </c>
      <c r="I903" t="s">
        <v>15</v>
      </c>
      <c r="J903" t="s">
        <v>266</v>
      </c>
      <c r="K903">
        <v>1</v>
      </c>
      <c r="M903">
        <v>26</v>
      </c>
      <c r="N903" s="18" t="str">
        <f t="shared" si="42"/>
        <v>18-30</v>
      </c>
      <c r="O903" s="12">
        <f t="shared" si="43"/>
        <v>673.78</v>
      </c>
      <c r="P903" s="12">
        <f t="shared" si="44"/>
        <v>202.13399999999999</v>
      </c>
      <c r="X903" s="14" t="s">
        <v>934</v>
      </c>
      <c r="Y903" s="19">
        <v>390.35</v>
      </c>
    </row>
    <row r="904" spans="1:25" x14ac:dyDescent="0.3">
      <c r="A904">
        <v>84328</v>
      </c>
      <c r="B904" s="1">
        <v>45694</v>
      </c>
      <c r="C904">
        <v>122</v>
      </c>
      <c r="D904">
        <v>10</v>
      </c>
      <c r="E904" t="s">
        <v>13</v>
      </c>
      <c r="F904" t="s">
        <v>42</v>
      </c>
      <c r="G904">
        <v>1</v>
      </c>
      <c r="H904">
        <v>420.63</v>
      </c>
      <c r="I904" t="s">
        <v>26</v>
      </c>
      <c r="J904" t="s">
        <v>953</v>
      </c>
      <c r="K904">
        <v>3</v>
      </c>
      <c r="L904" t="s">
        <v>21</v>
      </c>
      <c r="M904">
        <v>54</v>
      </c>
      <c r="N904" s="18" t="str">
        <f t="shared" si="42"/>
        <v>46-60</v>
      </c>
      <c r="O904" s="12">
        <f t="shared" si="43"/>
        <v>420.63</v>
      </c>
      <c r="P904" s="12">
        <f t="shared" si="44"/>
        <v>126.18899999999999</v>
      </c>
      <c r="X904" s="14" t="s">
        <v>878</v>
      </c>
      <c r="Y904" s="19">
        <v>723.48</v>
      </c>
    </row>
    <row r="905" spans="1:25" x14ac:dyDescent="0.3">
      <c r="A905">
        <v>24426</v>
      </c>
      <c r="B905" s="1">
        <v>45695</v>
      </c>
      <c r="C905">
        <v>943</v>
      </c>
      <c r="D905">
        <v>40</v>
      </c>
      <c r="E905" t="s">
        <v>24</v>
      </c>
      <c r="F905" t="s">
        <v>49</v>
      </c>
      <c r="G905">
        <v>2</v>
      </c>
      <c r="H905">
        <v>443.49</v>
      </c>
      <c r="I905" t="s">
        <v>35</v>
      </c>
      <c r="J905" t="s">
        <v>50</v>
      </c>
      <c r="K905">
        <v>4</v>
      </c>
      <c r="L905" t="s">
        <v>21</v>
      </c>
      <c r="M905">
        <v>67</v>
      </c>
      <c r="N905" s="18" t="str">
        <f t="shared" si="42"/>
        <v>60+</v>
      </c>
      <c r="O905" s="12">
        <f t="shared" si="43"/>
        <v>886.98</v>
      </c>
      <c r="P905" s="12">
        <f t="shared" si="44"/>
        <v>266.09399999999999</v>
      </c>
      <c r="X905" s="14" t="s">
        <v>205</v>
      </c>
      <c r="Y905" s="19">
        <v>1070.8800000000001</v>
      </c>
    </row>
    <row r="906" spans="1:25" x14ac:dyDescent="0.3">
      <c r="A906">
        <v>58706</v>
      </c>
      <c r="B906" s="1">
        <v>45695</v>
      </c>
      <c r="C906">
        <v>613</v>
      </c>
      <c r="D906">
        <v>20</v>
      </c>
      <c r="E906" t="s">
        <v>28</v>
      </c>
      <c r="F906" t="s">
        <v>79</v>
      </c>
      <c r="G906">
        <v>4</v>
      </c>
      <c r="H906">
        <v>351.62</v>
      </c>
      <c r="I906" t="s">
        <v>26</v>
      </c>
      <c r="J906" t="s">
        <v>150</v>
      </c>
      <c r="K906">
        <v>5</v>
      </c>
      <c r="L906" t="s">
        <v>17</v>
      </c>
      <c r="M906">
        <v>65</v>
      </c>
      <c r="N906" s="18" t="str">
        <f t="shared" si="42"/>
        <v>60+</v>
      </c>
      <c r="O906" s="12">
        <f t="shared" si="43"/>
        <v>1406.48</v>
      </c>
      <c r="P906" s="12">
        <f t="shared" si="44"/>
        <v>421.94400000000002</v>
      </c>
      <c r="X906" s="14" t="s">
        <v>94</v>
      </c>
      <c r="Y906" s="19">
        <v>419.84999999999997</v>
      </c>
    </row>
    <row r="907" spans="1:25" x14ac:dyDescent="0.3">
      <c r="A907">
        <v>68850</v>
      </c>
      <c r="B907" s="1">
        <v>45695</v>
      </c>
      <c r="C907">
        <v>484</v>
      </c>
      <c r="D907">
        <v>40</v>
      </c>
      <c r="E907" t="s">
        <v>24</v>
      </c>
      <c r="F907" t="s">
        <v>44</v>
      </c>
      <c r="G907">
        <v>1</v>
      </c>
      <c r="H907">
        <v>53.18</v>
      </c>
      <c r="I907" t="s">
        <v>15</v>
      </c>
      <c r="J907" t="s">
        <v>273</v>
      </c>
      <c r="K907">
        <v>1</v>
      </c>
      <c r="L907" t="s">
        <v>17</v>
      </c>
      <c r="M907">
        <v>58</v>
      </c>
      <c r="N907" s="18" t="str">
        <f t="shared" si="42"/>
        <v>46-60</v>
      </c>
      <c r="O907" s="12">
        <f t="shared" si="43"/>
        <v>53.18</v>
      </c>
      <c r="P907" s="12">
        <f t="shared" si="44"/>
        <v>15.953999999999999</v>
      </c>
      <c r="X907" s="14" t="s">
        <v>122</v>
      </c>
      <c r="Y907" s="19">
        <v>452.96</v>
      </c>
    </row>
    <row r="908" spans="1:25" x14ac:dyDescent="0.3">
      <c r="A908">
        <v>45831</v>
      </c>
      <c r="B908" s="1">
        <v>45695</v>
      </c>
      <c r="C908">
        <v>685</v>
      </c>
      <c r="D908">
        <v>40</v>
      </c>
      <c r="E908" t="s">
        <v>24</v>
      </c>
      <c r="F908" t="s">
        <v>65</v>
      </c>
      <c r="G908">
        <v>1</v>
      </c>
      <c r="H908">
        <v>151.94</v>
      </c>
      <c r="I908" t="s">
        <v>26</v>
      </c>
      <c r="J908" t="s">
        <v>352</v>
      </c>
      <c r="K908">
        <v>4</v>
      </c>
      <c r="L908" t="s">
        <v>17</v>
      </c>
      <c r="M908">
        <v>74</v>
      </c>
      <c r="N908" s="18" t="str">
        <f t="shared" si="42"/>
        <v>60+</v>
      </c>
      <c r="O908" s="12">
        <f t="shared" si="43"/>
        <v>151.94</v>
      </c>
      <c r="P908" s="12">
        <f t="shared" si="44"/>
        <v>45.582000000000001</v>
      </c>
      <c r="X908" s="14" t="s">
        <v>761</v>
      </c>
      <c r="Y908" s="19">
        <v>191.02</v>
      </c>
    </row>
    <row r="909" spans="1:25" x14ac:dyDescent="0.3">
      <c r="A909">
        <v>72286</v>
      </c>
      <c r="B909" s="1">
        <v>45695</v>
      </c>
      <c r="C909">
        <v>702</v>
      </c>
      <c r="D909">
        <v>10</v>
      </c>
      <c r="E909" t="s">
        <v>13</v>
      </c>
      <c r="F909" t="s">
        <v>111</v>
      </c>
      <c r="G909">
        <v>5</v>
      </c>
      <c r="H909">
        <v>128.44999999999999</v>
      </c>
      <c r="I909" t="s">
        <v>15</v>
      </c>
      <c r="J909" t="s">
        <v>356</v>
      </c>
      <c r="K909">
        <v>2</v>
      </c>
      <c r="L909" t="s">
        <v>21</v>
      </c>
      <c r="M909">
        <v>58</v>
      </c>
      <c r="N909" s="18" t="str">
        <f t="shared" si="42"/>
        <v>46-60</v>
      </c>
      <c r="O909" s="12">
        <f t="shared" si="43"/>
        <v>642.25</v>
      </c>
      <c r="P909" s="12">
        <f t="shared" si="44"/>
        <v>192.67499999999998</v>
      </c>
      <c r="X909" s="14" t="s">
        <v>786</v>
      </c>
      <c r="Y909" s="19">
        <v>187.51</v>
      </c>
    </row>
    <row r="910" spans="1:25" x14ac:dyDescent="0.3">
      <c r="A910">
        <v>48904</v>
      </c>
      <c r="B910" s="1">
        <v>45695</v>
      </c>
      <c r="C910">
        <v>931</v>
      </c>
      <c r="D910">
        <v>10</v>
      </c>
      <c r="E910" t="s">
        <v>13</v>
      </c>
      <c r="F910" t="s">
        <v>32</v>
      </c>
      <c r="G910">
        <v>3</v>
      </c>
      <c r="H910">
        <v>439.51</v>
      </c>
      <c r="I910" t="s">
        <v>26</v>
      </c>
      <c r="J910" t="s">
        <v>673</v>
      </c>
      <c r="K910">
        <v>5</v>
      </c>
      <c r="L910" t="s">
        <v>17</v>
      </c>
      <c r="M910">
        <v>63</v>
      </c>
      <c r="N910" s="18" t="str">
        <f t="shared" si="42"/>
        <v>60+</v>
      </c>
      <c r="O910" s="12">
        <f t="shared" si="43"/>
        <v>1318.53</v>
      </c>
      <c r="P910" s="12">
        <f t="shared" si="44"/>
        <v>395.55899999999997</v>
      </c>
      <c r="X910" s="14" t="s">
        <v>602</v>
      </c>
      <c r="Y910" s="19">
        <v>719.76</v>
      </c>
    </row>
    <row r="911" spans="1:25" x14ac:dyDescent="0.3">
      <c r="A911">
        <v>25985</v>
      </c>
      <c r="B911" s="1">
        <v>45695</v>
      </c>
      <c r="C911">
        <v>480</v>
      </c>
      <c r="D911">
        <v>40</v>
      </c>
      <c r="E911" t="s">
        <v>24</v>
      </c>
      <c r="F911" t="s">
        <v>44</v>
      </c>
      <c r="G911">
        <v>2</v>
      </c>
      <c r="H911">
        <v>353.23</v>
      </c>
      <c r="I911" t="s">
        <v>26</v>
      </c>
      <c r="J911" t="s">
        <v>850</v>
      </c>
      <c r="L911" t="s">
        <v>21</v>
      </c>
      <c r="M911">
        <v>65</v>
      </c>
      <c r="N911" s="18" t="str">
        <f t="shared" si="42"/>
        <v>60+</v>
      </c>
      <c r="O911" s="12">
        <f t="shared" si="43"/>
        <v>706.46</v>
      </c>
      <c r="P911" s="12">
        <f t="shared" si="44"/>
        <v>211.93800000000002</v>
      </c>
      <c r="X911" s="14" t="s">
        <v>436</v>
      </c>
      <c r="Y911" s="19">
        <v>335.18</v>
      </c>
    </row>
    <row r="912" spans="1:25" x14ac:dyDescent="0.3">
      <c r="A912">
        <v>22604</v>
      </c>
      <c r="B912" s="1">
        <v>45696</v>
      </c>
      <c r="C912">
        <v>351</v>
      </c>
      <c r="D912">
        <v>30</v>
      </c>
      <c r="E912" t="s">
        <v>37</v>
      </c>
      <c r="F912" t="s">
        <v>58</v>
      </c>
      <c r="G912">
        <v>1</v>
      </c>
      <c r="H912">
        <v>247.45</v>
      </c>
      <c r="I912" t="s">
        <v>15</v>
      </c>
      <c r="J912" t="s">
        <v>132</v>
      </c>
      <c r="K912">
        <v>2</v>
      </c>
      <c r="L912" t="s">
        <v>21</v>
      </c>
      <c r="M912">
        <v>47</v>
      </c>
      <c r="N912" s="18" t="str">
        <f t="shared" si="42"/>
        <v>46-60</v>
      </c>
      <c r="O912" s="12">
        <f t="shared" si="43"/>
        <v>247.45</v>
      </c>
      <c r="P912" s="12">
        <f t="shared" si="44"/>
        <v>74.234999999999999</v>
      </c>
      <c r="X912" s="14" t="s">
        <v>845</v>
      </c>
      <c r="Y912" s="19">
        <v>965.45</v>
      </c>
    </row>
    <row r="913" spans="1:25" x14ac:dyDescent="0.3">
      <c r="A913">
        <v>22228</v>
      </c>
      <c r="B913" s="1">
        <v>45696</v>
      </c>
      <c r="C913">
        <v>789</v>
      </c>
      <c r="D913">
        <v>20</v>
      </c>
      <c r="E913" t="s">
        <v>28</v>
      </c>
      <c r="F913" t="s">
        <v>29</v>
      </c>
      <c r="G913">
        <v>1</v>
      </c>
      <c r="H913">
        <v>54.94</v>
      </c>
      <c r="I913" t="s">
        <v>15</v>
      </c>
      <c r="J913" t="s">
        <v>305</v>
      </c>
      <c r="K913">
        <v>5</v>
      </c>
      <c r="L913" t="s">
        <v>17</v>
      </c>
      <c r="M913">
        <v>62</v>
      </c>
      <c r="N913" s="18" t="str">
        <f t="shared" si="42"/>
        <v>60+</v>
      </c>
      <c r="O913" s="12">
        <f t="shared" si="43"/>
        <v>54.94</v>
      </c>
      <c r="P913" s="12">
        <f t="shared" si="44"/>
        <v>16.481999999999999</v>
      </c>
      <c r="X913" s="14" t="s">
        <v>385</v>
      </c>
      <c r="Y913" s="19">
        <v>459.4</v>
      </c>
    </row>
    <row r="914" spans="1:25" x14ac:dyDescent="0.3">
      <c r="A914">
        <v>45679</v>
      </c>
      <c r="B914" s="1">
        <v>45696</v>
      </c>
      <c r="C914">
        <v>470</v>
      </c>
      <c r="D914">
        <v>10</v>
      </c>
      <c r="E914" t="s">
        <v>13</v>
      </c>
      <c r="F914" t="s">
        <v>42</v>
      </c>
      <c r="G914">
        <v>4</v>
      </c>
      <c r="H914">
        <v>431.73</v>
      </c>
      <c r="I914" t="s">
        <v>15</v>
      </c>
      <c r="J914" t="s">
        <v>595</v>
      </c>
      <c r="K914">
        <v>3</v>
      </c>
      <c r="M914">
        <v>75</v>
      </c>
      <c r="N914" s="18" t="str">
        <f t="shared" si="42"/>
        <v>60+</v>
      </c>
      <c r="O914" s="12">
        <f t="shared" si="43"/>
        <v>1726.92</v>
      </c>
      <c r="P914" s="12">
        <f t="shared" si="44"/>
        <v>518.07600000000002</v>
      </c>
      <c r="X914" s="14" t="s">
        <v>542</v>
      </c>
      <c r="Y914" s="19">
        <v>1247.44</v>
      </c>
    </row>
    <row r="915" spans="1:25" x14ac:dyDescent="0.3">
      <c r="A915">
        <v>60712</v>
      </c>
      <c r="B915" s="1">
        <v>45697</v>
      </c>
      <c r="C915">
        <v>775</v>
      </c>
      <c r="D915">
        <v>50</v>
      </c>
      <c r="E915" t="s">
        <v>18</v>
      </c>
      <c r="F915" t="s">
        <v>22</v>
      </c>
      <c r="G915">
        <v>5</v>
      </c>
      <c r="H915">
        <v>24.18</v>
      </c>
      <c r="I915" t="s">
        <v>15</v>
      </c>
      <c r="J915" t="s">
        <v>638</v>
      </c>
      <c r="K915">
        <v>5</v>
      </c>
      <c r="L915" t="s">
        <v>21</v>
      </c>
      <c r="M915">
        <v>57</v>
      </c>
      <c r="N915" s="18" t="str">
        <f t="shared" si="42"/>
        <v>46-60</v>
      </c>
      <c r="O915" s="12">
        <f t="shared" si="43"/>
        <v>120.9</v>
      </c>
      <c r="P915" s="12">
        <f t="shared" si="44"/>
        <v>36.270000000000003</v>
      </c>
      <c r="X915" s="14" t="s">
        <v>433</v>
      </c>
      <c r="Y915" s="19">
        <v>1824.5500000000002</v>
      </c>
    </row>
    <row r="916" spans="1:25" x14ac:dyDescent="0.3">
      <c r="A916">
        <v>72072</v>
      </c>
      <c r="B916" s="1">
        <v>45697</v>
      </c>
      <c r="C916">
        <v>349</v>
      </c>
      <c r="D916">
        <v>20</v>
      </c>
      <c r="E916" t="s">
        <v>28</v>
      </c>
      <c r="F916" t="s">
        <v>29</v>
      </c>
      <c r="G916">
        <v>3</v>
      </c>
      <c r="H916">
        <v>475.67</v>
      </c>
      <c r="I916" t="s">
        <v>26</v>
      </c>
      <c r="J916" t="s">
        <v>703</v>
      </c>
      <c r="K916">
        <v>5</v>
      </c>
      <c r="L916" t="s">
        <v>17</v>
      </c>
      <c r="M916">
        <v>51</v>
      </c>
      <c r="N916" s="18" t="str">
        <f t="shared" si="42"/>
        <v>46-60</v>
      </c>
      <c r="O916" s="12">
        <f t="shared" si="43"/>
        <v>1427.01</v>
      </c>
      <c r="P916" s="12">
        <f t="shared" si="44"/>
        <v>428.10300000000001</v>
      </c>
      <c r="X916" s="14" t="s">
        <v>392</v>
      </c>
      <c r="Y916" s="19">
        <v>2211.5</v>
      </c>
    </row>
    <row r="917" spans="1:25" x14ac:dyDescent="0.3">
      <c r="A917">
        <v>92246</v>
      </c>
      <c r="B917" s="1">
        <v>45699</v>
      </c>
      <c r="C917">
        <v>988</v>
      </c>
      <c r="D917">
        <v>20</v>
      </c>
      <c r="E917" t="s">
        <v>28</v>
      </c>
      <c r="F917" t="s">
        <v>72</v>
      </c>
      <c r="G917">
        <v>3</v>
      </c>
      <c r="H917">
        <v>345.18</v>
      </c>
      <c r="I917" t="s">
        <v>15</v>
      </c>
      <c r="J917" t="s">
        <v>363</v>
      </c>
      <c r="K917">
        <v>5</v>
      </c>
      <c r="L917" t="s">
        <v>17</v>
      </c>
      <c r="M917">
        <v>21</v>
      </c>
      <c r="N917" s="18" t="str">
        <f t="shared" si="42"/>
        <v>18-30</v>
      </c>
      <c r="O917" s="12">
        <f t="shared" si="43"/>
        <v>1035.54</v>
      </c>
      <c r="P917" s="12">
        <f t="shared" si="44"/>
        <v>310.66199999999998</v>
      </c>
      <c r="X917" s="14" t="s">
        <v>901</v>
      </c>
      <c r="Y917" s="19">
        <v>982.6</v>
      </c>
    </row>
    <row r="918" spans="1:25" x14ac:dyDescent="0.3">
      <c r="A918">
        <v>49769</v>
      </c>
      <c r="B918" s="1">
        <v>45699</v>
      </c>
      <c r="C918">
        <v>295</v>
      </c>
      <c r="D918">
        <v>50</v>
      </c>
      <c r="E918" t="s">
        <v>18</v>
      </c>
      <c r="F918" t="s">
        <v>34</v>
      </c>
      <c r="G918">
        <v>5</v>
      </c>
      <c r="H918">
        <v>405.77</v>
      </c>
      <c r="I918" t="s">
        <v>26</v>
      </c>
      <c r="J918" t="s">
        <v>753</v>
      </c>
      <c r="L918" t="s">
        <v>21</v>
      </c>
      <c r="M918">
        <v>26</v>
      </c>
      <c r="N918" s="18" t="str">
        <f t="shared" si="42"/>
        <v>18-30</v>
      </c>
      <c r="O918" s="12">
        <f t="shared" si="43"/>
        <v>2028.85</v>
      </c>
      <c r="P918" s="12">
        <f t="shared" si="44"/>
        <v>608.65499999999997</v>
      </c>
      <c r="X918" s="14" t="s">
        <v>588</v>
      </c>
      <c r="Y918" s="19">
        <v>1460.4499999999998</v>
      </c>
    </row>
    <row r="919" spans="1:25" x14ac:dyDescent="0.3">
      <c r="A919">
        <v>87200</v>
      </c>
      <c r="B919" s="1">
        <v>45699</v>
      </c>
      <c r="C919">
        <v>937</v>
      </c>
      <c r="D919">
        <v>10</v>
      </c>
      <c r="E919" t="s">
        <v>13</v>
      </c>
      <c r="F919" t="s">
        <v>47</v>
      </c>
      <c r="G919">
        <v>1</v>
      </c>
      <c r="H919">
        <v>391.58</v>
      </c>
      <c r="I919" t="s">
        <v>35</v>
      </c>
      <c r="J919" t="s">
        <v>941</v>
      </c>
      <c r="K919">
        <v>4</v>
      </c>
      <c r="L919" t="s">
        <v>21</v>
      </c>
      <c r="M919">
        <v>68</v>
      </c>
      <c r="N919" s="18" t="str">
        <f t="shared" si="42"/>
        <v>60+</v>
      </c>
      <c r="O919" s="12">
        <f t="shared" si="43"/>
        <v>391.58</v>
      </c>
      <c r="P919" s="12">
        <f t="shared" si="44"/>
        <v>117.47399999999999</v>
      </c>
      <c r="X919" s="14" t="s">
        <v>587</v>
      </c>
      <c r="Y919" s="19">
        <v>663.72</v>
      </c>
    </row>
    <row r="920" spans="1:25" x14ac:dyDescent="0.3">
      <c r="A920">
        <v>25974</v>
      </c>
      <c r="B920" s="1">
        <v>45700</v>
      </c>
      <c r="C920">
        <v>123</v>
      </c>
      <c r="D920">
        <v>40</v>
      </c>
      <c r="E920" t="s">
        <v>24</v>
      </c>
      <c r="F920" t="s">
        <v>65</v>
      </c>
      <c r="G920">
        <v>1</v>
      </c>
      <c r="H920">
        <v>65.69</v>
      </c>
      <c r="I920" t="s">
        <v>15</v>
      </c>
      <c r="J920" t="s">
        <v>242</v>
      </c>
      <c r="K920">
        <v>4</v>
      </c>
      <c r="L920" t="s">
        <v>17</v>
      </c>
      <c r="M920">
        <v>71</v>
      </c>
      <c r="N920" s="18" t="str">
        <f t="shared" si="42"/>
        <v>60+</v>
      </c>
      <c r="O920" s="12">
        <f t="shared" si="43"/>
        <v>65.69</v>
      </c>
      <c r="P920" s="12">
        <f t="shared" si="44"/>
        <v>19.706999999999997</v>
      </c>
      <c r="X920" s="14" t="s">
        <v>531</v>
      </c>
      <c r="Y920" s="19">
        <v>858.03</v>
      </c>
    </row>
    <row r="921" spans="1:25" x14ac:dyDescent="0.3">
      <c r="A921">
        <v>39828</v>
      </c>
      <c r="B921" s="1">
        <v>45700</v>
      </c>
      <c r="C921">
        <v>953</v>
      </c>
      <c r="D921">
        <v>40</v>
      </c>
      <c r="E921" t="s">
        <v>24</v>
      </c>
      <c r="F921" t="s">
        <v>63</v>
      </c>
      <c r="G921">
        <v>3</v>
      </c>
      <c r="H921">
        <v>58.91</v>
      </c>
      <c r="I921" t="s">
        <v>15</v>
      </c>
      <c r="J921" t="s">
        <v>684</v>
      </c>
      <c r="K921">
        <v>5</v>
      </c>
      <c r="L921" t="s">
        <v>17</v>
      </c>
      <c r="M921">
        <v>75</v>
      </c>
      <c r="N921" s="18" t="str">
        <f t="shared" si="42"/>
        <v>60+</v>
      </c>
      <c r="O921" s="12">
        <f t="shared" si="43"/>
        <v>176.73</v>
      </c>
      <c r="P921" s="12">
        <f t="shared" si="44"/>
        <v>53.018999999999998</v>
      </c>
      <c r="X921" s="14" t="s">
        <v>233</v>
      </c>
      <c r="Y921" s="19">
        <v>311.67</v>
      </c>
    </row>
    <row r="922" spans="1:25" x14ac:dyDescent="0.3">
      <c r="A922">
        <v>38645</v>
      </c>
      <c r="B922" s="1">
        <v>45700</v>
      </c>
      <c r="C922">
        <v>851</v>
      </c>
      <c r="D922">
        <v>20</v>
      </c>
      <c r="E922" t="s">
        <v>28</v>
      </c>
      <c r="F922" t="s">
        <v>51</v>
      </c>
      <c r="G922">
        <v>2</v>
      </c>
      <c r="H922">
        <v>325.23</v>
      </c>
      <c r="I922" t="s">
        <v>26</v>
      </c>
      <c r="J922" t="s">
        <v>699</v>
      </c>
      <c r="K922">
        <v>5</v>
      </c>
      <c r="L922" t="s">
        <v>21</v>
      </c>
      <c r="M922">
        <v>27</v>
      </c>
      <c r="N922" s="18" t="str">
        <f t="shared" si="42"/>
        <v>18-30</v>
      </c>
      <c r="O922" s="12">
        <f t="shared" si="43"/>
        <v>650.46</v>
      </c>
      <c r="P922" s="12">
        <f t="shared" si="44"/>
        <v>195.13800000000001</v>
      </c>
      <c r="X922" s="14" t="s">
        <v>139</v>
      </c>
      <c r="Y922" s="19">
        <v>574.96</v>
      </c>
    </row>
    <row r="923" spans="1:25" x14ac:dyDescent="0.3">
      <c r="A923">
        <v>51408</v>
      </c>
      <c r="B923" s="1">
        <v>45702</v>
      </c>
      <c r="C923">
        <v>511</v>
      </c>
      <c r="D923">
        <v>40</v>
      </c>
      <c r="E923" t="s">
        <v>24</v>
      </c>
      <c r="F923" t="s">
        <v>25</v>
      </c>
      <c r="G923">
        <v>2</v>
      </c>
      <c r="H923">
        <v>212.48</v>
      </c>
      <c r="I923" t="s">
        <v>35</v>
      </c>
      <c r="J923" t="s">
        <v>788</v>
      </c>
      <c r="K923">
        <v>4</v>
      </c>
      <c r="L923" t="s">
        <v>21</v>
      </c>
      <c r="M923">
        <v>59</v>
      </c>
      <c r="N923" s="18" t="str">
        <f t="shared" si="42"/>
        <v>46-60</v>
      </c>
      <c r="O923" s="12">
        <f t="shared" si="43"/>
        <v>424.96</v>
      </c>
      <c r="P923" s="12">
        <f t="shared" si="44"/>
        <v>127.48799999999999</v>
      </c>
      <c r="X923" s="14" t="s">
        <v>815</v>
      </c>
      <c r="Y923" s="19">
        <v>1701.55</v>
      </c>
    </row>
    <row r="924" spans="1:25" x14ac:dyDescent="0.3">
      <c r="A924">
        <v>96221</v>
      </c>
      <c r="B924" s="1">
        <v>45702</v>
      </c>
      <c r="C924">
        <v>136</v>
      </c>
      <c r="D924">
        <v>50</v>
      </c>
      <c r="E924" t="s">
        <v>18</v>
      </c>
      <c r="F924" t="s">
        <v>19</v>
      </c>
      <c r="G924">
        <v>1</v>
      </c>
      <c r="H924">
        <v>88.76</v>
      </c>
      <c r="I924" t="s">
        <v>35</v>
      </c>
      <c r="J924" t="s">
        <v>791</v>
      </c>
      <c r="L924" t="s">
        <v>21</v>
      </c>
      <c r="M924">
        <v>31</v>
      </c>
      <c r="N924" s="18" t="str">
        <f t="shared" si="42"/>
        <v>31-45</v>
      </c>
      <c r="O924" s="12">
        <f t="shared" si="43"/>
        <v>88.76</v>
      </c>
      <c r="P924" s="12">
        <f t="shared" si="44"/>
        <v>26.628</v>
      </c>
      <c r="X924" s="14" t="s">
        <v>117</v>
      </c>
      <c r="Y924" s="19">
        <v>376.94</v>
      </c>
    </row>
    <row r="925" spans="1:25" x14ac:dyDescent="0.3">
      <c r="A925">
        <v>67596</v>
      </c>
      <c r="B925" s="1">
        <v>45703</v>
      </c>
      <c r="C925">
        <v>348</v>
      </c>
      <c r="D925">
        <v>50</v>
      </c>
      <c r="E925" t="s">
        <v>18</v>
      </c>
      <c r="F925" t="s">
        <v>84</v>
      </c>
      <c r="G925">
        <v>2</v>
      </c>
      <c r="H925">
        <v>276.39</v>
      </c>
      <c r="I925" t="s">
        <v>26</v>
      </c>
      <c r="J925" t="s">
        <v>482</v>
      </c>
      <c r="K925">
        <v>5</v>
      </c>
      <c r="L925" t="s">
        <v>17</v>
      </c>
      <c r="M925">
        <v>41</v>
      </c>
      <c r="N925" s="18" t="str">
        <f t="shared" si="42"/>
        <v>31-45</v>
      </c>
      <c r="O925" s="12">
        <f t="shared" si="43"/>
        <v>552.78</v>
      </c>
      <c r="P925" s="12">
        <f t="shared" si="44"/>
        <v>165.83399999999997</v>
      </c>
      <c r="X925" s="14" t="s">
        <v>376</v>
      </c>
      <c r="Y925" s="19">
        <v>1023.56</v>
      </c>
    </row>
    <row r="926" spans="1:25" x14ac:dyDescent="0.3">
      <c r="A926">
        <v>99677</v>
      </c>
      <c r="B926" s="1">
        <v>45703</v>
      </c>
      <c r="C926">
        <v>622</v>
      </c>
      <c r="D926">
        <v>10</v>
      </c>
      <c r="E926" t="s">
        <v>13</v>
      </c>
      <c r="F926" t="s">
        <v>111</v>
      </c>
      <c r="G926">
        <v>4</v>
      </c>
      <c r="H926">
        <v>325.73</v>
      </c>
      <c r="I926" t="s">
        <v>26</v>
      </c>
      <c r="J926" t="s">
        <v>683</v>
      </c>
      <c r="K926">
        <v>5</v>
      </c>
      <c r="L926" t="s">
        <v>21</v>
      </c>
      <c r="M926">
        <v>70</v>
      </c>
      <c r="N926" s="18" t="str">
        <f t="shared" si="42"/>
        <v>60+</v>
      </c>
      <c r="O926" s="12">
        <f t="shared" si="43"/>
        <v>1302.92</v>
      </c>
      <c r="P926" s="12">
        <f t="shared" si="44"/>
        <v>390.87600000000003</v>
      </c>
      <c r="X926" s="14" t="s">
        <v>39</v>
      </c>
      <c r="Y926" s="19">
        <v>1287.33</v>
      </c>
    </row>
    <row r="927" spans="1:25" x14ac:dyDescent="0.3">
      <c r="A927">
        <v>14376</v>
      </c>
      <c r="B927" s="1">
        <v>45703</v>
      </c>
      <c r="C927">
        <v>840</v>
      </c>
      <c r="D927">
        <v>40</v>
      </c>
      <c r="E927" t="s">
        <v>24</v>
      </c>
      <c r="F927" t="s">
        <v>25</v>
      </c>
      <c r="G927">
        <v>5</v>
      </c>
      <c r="H927">
        <v>20.46</v>
      </c>
      <c r="I927" t="s">
        <v>26</v>
      </c>
      <c r="J927" t="s">
        <v>867</v>
      </c>
      <c r="K927">
        <v>3</v>
      </c>
      <c r="L927" t="s">
        <v>21</v>
      </c>
      <c r="M927">
        <v>34</v>
      </c>
      <c r="N927" s="18" t="str">
        <f t="shared" si="42"/>
        <v>31-45</v>
      </c>
      <c r="O927" s="12">
        <f t="shared" si="43"/>
        <v>102.30000000000001</v>
      </c>
      <c r="P927" s="12">
        <f t="shared" si="44"/>
        <v>30.69</v>
      </c>
      <c r="X927" s="14" t="s">
        <v>938</v>
      </c>
      <c r="Y927" s="19">
        <v>458.04</v>
      </c>
    </row>
    <row r="928" spans="1:25" x14ac:dyDescent="0.3">
      <c r="A928">
        <v>51391</v>
      </c>
      <c r="B928" s="1">
        <v>45703</v>
      </c>
      <c r="C928">
        <v>418</v>
      </c>
      <c r="D928">
        <v>30</v>
      </c>
      <c r="E928" t="s">
        <v>37</v>
      </c>
      <c r="F928" t="s">
        <v>58</v>
      </c>
      <c r="G928">
        <v>5</v>
      </c>
      <c r="H928">
        <v>246.68</v>
      </c>
      <c r="I928" t="s">
        <v>35</v>
      </c>
      <c r="J928" t="s">
        <v>910</v>
      </c>
      <c r="K928">
        <v>5</v>
      </c>
      <c r="L928" t="s">
        <v>17</v>
      </c>
      <c r="M928">
        <v>31</v>
      </c>
      <c r="N928" s="18" t="str">
        <f t="shared" si="42"/>
        <v>31-45</v>
      </c>
      <c r="O928" s="12">
        <f t="shared" si="43"/>
        <v>1233.4000000000001</v>
      </c>
      <c r="P928" s="12">
        <f t="shared" si="44"/>
        <v>370.02000000000004</v>
      </c>
      <c r="X928" s="14" t="s">
        <v>124</v>
      </c>
      <c r="Y928" s="19">
        <v>480.28</v>
      </c>
    </row>
    <row r="929" spans="1:25" x14ac:dyDescent="0.3">
      <c r="A929">
        <v>31593</v>
      </c>
      <c r="B929" s="1">
        <v>45704</v>
      </c>
      <c r="C929">
        <v>343</v>
      </c>
      <c r="D929">
        <v>50</v>
      </c>
      <c r="E929" t="s">
        <v>18</v>
      </c>
      <c r="F929" t="s">
        <v>22</v>
      </c>
      <c r="G929">
        <v>1</v>
      </c>
      <c r="H929">
        <v>415.49</v>
      </c>
      <c r="I929" t="s">
        <v>35</v>
      </c>
      <c r="J929" t="s">
        <v>780</v>
      </c>
      <c r="K929">
        <v>5</v>
      </c>
      <c r="L929" t="s">
        <v>17</v>
      </c>
      <c r="M929">
        <v>44</v>
      </c>
      <c r="N929" s="18" t="str">
        <f t="shared" si="42"/>
        <v>31-45</v>
      </c>
      <c r="O929" s="12">
        <f t="shared" si="43"/>
        <v>415.49</v>
      </c>
      <c r="P929" s="12">
        <f t="shared" si="44"/>
        <v>124.64699999999999</v>
      </c>
      <c r="X929" s="14" t="s">
        <v>210</v>
      </c>
      <c r="Y929" s="19">
        <v>274.56</v>
      </c>
    </row>
    <row r="930" spans="1:25" x14ac:dyDescent="0.3">
      <c r="A930">
        <v>17937</v>
      </c>
      <c r="B930" s="1">
        <v>45705</v>
      </c>
      <c r="C930">
        <v>787</v>
      </c>
      <c r="D930">
        <v>10</v>
      </c>
      <c r="E930" t="s">
        <v>13</v>
      </c>
      <c r="F930" t="s">
        <v>14</v>
      </c>
      <c r="G930">
        <v>4</v>
      </c>
      <c r="H930">
        <v>260.64</v>
      </c>
      <c r="I930" t="s">
        <v>35</v>
      </c>
      <c r="J930" t="s">
        <v>648</v>
      </c>
      <c r="K930">
        <v>5</v>
      </c>
      <c r="L930" t="s">
        <v>17</v>
      </c>
      <c r="M930">
        <v>53</v>
      </c>
      <c r="N930" s="18" t="str">
        <f t="shared" si="42"/>
        <v>46-60</v>
      </c>
      <c r="O930" s="12">
        <f t="shared" si="43"/>
        <v>1042.56</v>
      </c>
      <c r="P930" s="12">
        <f t="shared" si="44"/>
        <v>312.76799999999997</v>
      </c>
      <c r="X930" s="14" t="s">
        <v>773</v>
      </c>
      <c r="Y930" s="19">
        <v>969.86</v>
      </c>
    </row>
    <row r="931" spans="1:25" x14ac:dyDescent="0.3">
      <c r="A931">
        <v>77318</v>
      </c>
      <c r="B931" s="1">
        <v>45706</v>
      </c>
      <c r="C931">
        <v>305</v>
      </c>
      <c r="D931">
        <v>40</v>
      </c>
      <c r="E931" t="s">
        <v>24</v>
      </c>
      <c r="F931" t="s">
        <v>63</v>
      </c>
      <c r="G931">
        <v>2</v>
      </c>
      <c r="H931">
        <v>203.94</v>
      </c>
      <c r="I931" t="s">
        <v>26</v>
      </c>
      <c r="J931" t="s">
        <v>631</v>
      </c>
      <c r="K931">
        <v>5</v>
      </c>
      <c r="L931" t="s">
        <v>21</v>
      </c>
      <c r="M931">
        <v>23</v>
      </c>
      <c r="N931" s="18" t="str">
        <f t="shared" si="42"/>
        <v>18-30</v>
      </c>
      <c r="O931" s="12">
        <f t="shared" si="43"/>
        <v>407.88</v>
      </c>
      <c r="P931" s="12">
        <f t="shared" si="44"/>
        <v>122.36399999999999</v>
      </c>
      <c r="X931" s="14" t="s">
        <v>853</v>
      </c>
      <c r="Y931" s="19">
        <v>790.02</v>
      </c>
    </row>
    <row r="932" spans="1:25" x14ac:dyDescent="0.3">
      <c r="A932">
        <v>31600</v>
      </c>
      <c r="B932" s="1">
        <v>45707</v>
      </c>
      <c r="C932">
        <v>775</v>
      </c>
      <c r="D932">
        <v>50</v>
      </c>
      <c r="E932" t="s">
        <v>18</v>
      </c>
      <c r="F932" t="s">
        <v>87</v>
      </c>
      <c r="G932">
        <v>2</v>
      </c>
      <c r="H932">
        <v>367.94</v>
      </c>
      <c r="I932" t="s">
        <v>15</v>
      </c>
      <c r="J932" t="s">
        <v>711</v>
      </c>
      <c r="L932" t="s">
        <v>17</v>
      </c>
      <c r="M932">
        <v>32</v>
      </c>
      <c r="N932" s="18" t="str">
        <f t="shared" si="42"/>
        <v>31-45</v>
      </c>
      <c r="O932" s="12">
        <f t="shared" si="43"/>
        <v>735.88</v>
      </c>
      <c r="P932" s="12">
        <f t="shared" si="44"/>
        <v>220.76399999999998</v>
      </c>
      <c r="X932" s="14" t="s">
        <v>136</v>
      </c>
      <c r="Y932" s="19">
        <v>947.14</v>
      </c>
    </row>
    <row r="933" spans="1:25" x14ac:dyDescent="0.3">
      <c r="A933">
        <v>30282</v>
      </c>
      <c r="B933" s="1">
        <v>45707</v>
      </c>
      <c r="C933">
        <v>411</v>
      </c>
      <c r="D933">
        <v>10</v>
      </c>
      <c r="E933" t="s">
        <v>13</v>
      </c>
      <c r="F933" t="s">
        <v>47</v>
      </c>
      <c r="G933">
        <v>3</v>
      </c>
      <c r="H933">
        <v>91.79</v>
      </c>
      <c r="I933" t="s">
        <v>15</v>
      </c>
      <c r="J933" t="s">
        <v>833</v>
      </c>
      <c r="M933">
        <v>68</v>
      </c>
      <c r="N933" s="18" t="str">
        <f t="shared" si="42"/>
        <v>60+</v>
      </c>
      <c r="O933" s="12">
        <f t="shared" si="43"/>
        <v>275.37</v>
      </c>
      <c r="P933" s="12">
        <f t="shared" si="44"/>
        <v>82.611000000000004</v>
      </c>
      <c r="X933" s="14" t="s">
        <v>171</v>
      </c>
      <c r="Y933" s="19">
        <v>878.22</v>
      </c>
    </row>
    <row r="934" spans="1:25" x14ac:dyDescent="0.3">
      <c r="A934">
        <v>65011</v>
      </c>
      <c r="B934" s="1">
        <v>45708</v>
      </c>
      <c r="C934">
        <v>938</v>
      </c>
      <c r="D934">
        <v>30</v>
      </c>
      <c r="E934" t="s">
        <v>37</v>
      </c>
      <c r="F934" t="s">
        <v>58</v>
      </c>
      <c r="G934">
        <v>4</v>
      </c>
      <c r="H934">
        <v>383.36</v>
      </c>
      <c r="I934" t="s">
        <v>35</v>
      </c>
      <c r="J934" t="s">
        <v>59</v>
      </c>
      <c r="K934">
        <v>5</v>
      </c>
      <c r="L934" t="s">
        <v>17</v>
      </c>
      <c r="M934">
        <v>42</v>
      </c>
      <c r="N934" s="18" t="str">
        <f t="shared" si="42"/>
        <v>31-45</v>
      </c>
      <c r="O934" s="12">
        <f t="shared" si="43"/>
        <v>1533.44</v>
      </c>
      <c r="P934" s="12">
        <f t="shared" si="44"/>
        <v>460.03199999999998</v>
      </c>
      <c r="X934" s="14" t="s">
        <v>551</v>
      </c>
      <c r="Y934" s="19">
        <v>1701.6</v>
      </c>
    </row>
    <row r="935" spans="1:25" x14ac:dyDescent="0.3">
      <c r="A935">
        <v>97353</v>
      </c>
      <c r="B935" s="1">
        <v>45708</v>
      </c>
      <c r="C935">
        <v>626</v>
      </c>
      <c r="D935">
        <v>40</v>
      </c>
      <c r="E935" t="s">
        <v>24</v>
      </c>
      <c r="F935" t="s">
        <v>65</v>
      </c>
      <c r="G935">
        <v>2</v>
      </c>
      <c r="H935">
        <v>117.09</v>
      </c>
      <c r="I935" t="s">
        <v>26</v>
      </c>
      <c r="J935" t="s">
        <v>510</v>
      </c>
      <c r="L935" t="s">
        <v>17</v>
      </c>
      <c r="M935">
        <v>31</v>
      </c>
      <c r="N935" s="18" t="str">
        <f t="shared" si="42"/>
        <v>31-45</v>
      </c>
      <c r="O935" s="12">
        <f t="shared" si="43"/>
        <v>234.18</v>
      </c>
      <c r="P935" s="12">
        <f t="shared" si="44"/>
        <v>70.254000000000005</v>
      </c>
      <c r="X935" s="14" t="s">
        <v>960</v>
      </c>
      <c r="Y935" s="19">
        <v>1096.3</v>
      </c>
    </row>
    <row r="936" spans="1:25" x14ac:dyDescent="0.3">
      <c r="A936">
        <v>14029</v>
      </c>
      <c r="B936" s="1">
        <v>45708</v>
      </c>
      <c r="C936">
        <v>436</v>
      </c>
      <c r="D936">
        <v>50</v>
      </c>
      <c r="E936" t="s">
        <v>18</v>
      </c>
      <c r="F936" t="s">
        <v>34</v>
      </c>
      <c r="G936">
        <v>4</v>
      </c>
      <c r="H936">
        <v>113.64</v>
      </c>
      <c r="I936" t="s">
        <v>15</v>
      </c>
      <c r="J936" t="s">
        <v>768</v>
      </c>
      <c r="L936" t="s">
        <v>17</v>
      </c>
      <c r="M936">
        <v>57</v>
      </c>
      <c r="N936" s="18" t="str">
        <f t="shared" si="42"/>
        <v>46-60</v>
      </c>
      <c r="O936" s="12">
        <f t="shared" si="43"/>
        <v>454.56</v>
      </c>
      <c r="P936" s="12">
        <f t="shared" si="44"/>
        <v>136.36799999999999</v>
      </c>
      <c r="X936" s="14" t="s">
        <v>790</v>
      </c>
      <c r="Y936" s="19">
        <v>230.16</v>
      </c>
    </row>
    <row r="937" spans="1:25" x14ac:dyDescent="0.3">
      <c r="A937">
        <v>66492</v>
      </c>
      <c r="B937" s="1">
        <v>45709</v>
      </c>
      <c r="C937">
        <v>112</v>
      </c>
      <c r="D937">
        <v>10</v>
      </c>
      <c r="E937" t="s">
        <v>13</v>
      </c>
      <c r="F937" t="s">
        <v>42</v>
      </c>
      <c r="G937">
        <v>4</v>
      </c>
      <c r="H937">
        <v>375.13</v>
      </c>
      <c r="I937" t="s">
        <v>26</v>
      </c>
      <c r="J937" t="s">
        <v>219</v>
      </c>
      <c r="K937">
        <v>5</v>
      </c>
      <c r="L937" t="s">
        <v>21</v>
      </c>
      <c r="M937">
        <v>30</v>
      </c>
      <c r="N937" s="18" t="str">
        <f t="shared" si="42"/>
        <v>18-30</v>
      </c>
      <c r="O937" s="12">
        <f t="shared" si="43"/>
        <v>1500.52</v>
      </c>
      <c r="P937" s="12">
        <f t="shared" si="44"/>
        <v>450.15600000000001</v>
      </c>
      <c r="X937" s="14" t="s">
        <v>739</v>
      </c>
      <c r="Y937" s="19">
        <v>91.78</v>
      </c>
    </row>
    <row r="938" spans="1:25" x14ac:dyDescent="0.3">
      <c r="A938">
        <v>52213</v>
      </c>
      <c r="B938" s="1">
        <v>45709</v>
      </c>
      <c r="C938">
        <v>648</v>
      </c>
      <c r="D938">
        <v>30</v>
      </c>
      <c r="E938" t="s">
        <v>37</v>
      </c>
      <c r="F938" t="s">
        <v>40</v>
      </c>
      <c r="G938">
        <v>1</v>
      </c>
      <c r="H938">
        <v>202.55</v>
      </c>
      <c r="I938" t="s">
        <v>35</v>
      </c>
      <c r="J938" t="s">
        <v>369</v>
      </c>
      <c r="K938">
        <v>5</v>
      </c>
      <c r="L938" t="s">
        <v>21</v>
      </c>
      <c r="M938">
        <v>57</v>
      </c>
      <c r="N938" s="18" t="str">
        <f t="shared" si="42"/>
        <v>46-60</v>
      </c>
      <c r="O938" s="12">
        <f t="shared" si="43"/>
        <v>202.55</v>
      </c>
      <c r="P938" s="12">
        <f t="shared" si="44"/>
        <v>60.765000000000001</v>
      </c>
      <c r="X938" s="14" t="s">
        <v>492</v>
      </c>
      <c r="Y938" s="19">
        <v>465.66</v>
      </c>
    </row>
    <row r="939" spans="1:25" x14ac:dyDescent="0.3">
      <c r="A939">
        <v>11911</v>
      </c>
      <c r="B939" s="1">
        <v>45709</v>
      </c>
      <c r="C939">
        <v>572</v>
      </c>
      <c r="D939">
        <v>30</v>
      </c>
      <c r="E939" t="s">
        <v>37</v>
      </c>
      <c r="F939" t="s">
        <v>68</v>
      </c>
      <c r="G939">
        <v>3</v>
      </c>
      <c r="H939">
        <v>395.04</v>
      </c>
      <c r="I939" t="s">
        <v>26</v>
      </c>
      <c r="J939" t="s">
        <v>427</v>
      </c>
      <c r="K939">
        <v>5</v>
      </c>
      <c r="L939" t="s">
        <v>21</v>
      </c>
      <c r="M939">
        <v>44</v>
      </c>
      <c r="N939" s="18" t="str">
        <f t="shared" si="42"/>
        <v>31-45</v>
      </c>
      <c r="O939" s="12">
        <f t="shared" si="43"/>
        <v>1185.1200000000001</v>
      </c>
      <c r="P939" s="12">
        <f t="shared" si="44"/>
        <v>355.536</v>
      </c>
      <c r="X939" s="14" t="s">
        <v>992</v>
      </c>
      <c r="Y939" s="19">
        <v>1897</v>
      </c>
    </row>
    <row r="940" spans="1:25" x14ac:dyDescent="0.3">
      <c r="A940">
        <v>41613</v>
      </c>
      <c r="B940" s="1">
        <v>45709</v>
      </c>
      <c r="C940">
        <v>159</v>
      </c>
      <c r="D940">
        <v>30</v>
      </c>
      <c r="E940" t="s">
        <v>37</v>
      </c>
      <c r="F940" t="s">
        <v>68</v>
      </c>
      <c r="G940">
        <v>5</v>
      </c>
      <c r="H940">
        <v>487.53</v>
      </c>
      <c r="I940" t="s">
        <v>15</v>
      </c>
      <c r="J940" t="s">
        <v>564</v>
      </c>
      <c r="K940">
        <v>4</v>
      </c>
      <c r="L940" t="s">
        <v>17</v>
      </c>
      <c r="M940">
        <v>19</v>
      </c>
      <c r="N940" s="18" t="str">
        <f t="shared" si="42"/>
        <v>18-30</v>
      </c>
      <c r="O940" s="12">
        <f t="shared" si="43"/>
        <v>2437.6499999999996</v>
      </c>
      <c r="P940" s="12">
        <f t="shared" si="44"/>
        <v>731.29499999999985</v>
      </c>
      <c r="X940" s="14" t="s">
        <v>836</v>
      </c>
      <c r="Y940" s="19">
        <v>262.44</v>
      </c>
    </row>
    <row r="941" spans="1:25" x14ac:dyDescent="0.3">
      <c r="A941">
        <v>62189</v>
      </c>
      <c r="B941" s="1">
        <v>45709</v>
      </c>
      <c r="C941">
        <v>650</v>
      </c>
      <c r="D941">
        <v>10</v>
      </c>
      <c r="E941" t="s">
        <v>13</v>
      </c>
      <c r="F941" t="s">
        <v>14</v>
      </c>
      <c r="G941">
        <v>3</v>
      </c>
      <c r="H941">
        <v>87.23</v>
      </c>
      <c r="I941" t="s">
        <v>35</v>
      </c>
      <c r="J941" t="s">
        <v>570</v>
      </c>
      <c r="K941">
        <v>3</v>
      </c>
      <c r="L941" t="s">
        <v>17</v>
      </c>
      <c r="M941">
        <v>54</v>
      </c>
      <c r="N941" s="18" t="str">
        <f t="shared" si="42"/>
        <v>46-60</v>
      </c>
      <c r="O941" s="12">
        <f t="shared" si="43"/>
        <v>261.69</v>
      </c>
      <c r="P941" s="12">
        <f t="shared" si="44"/>
        <v>78.506999999999991</v>
      </c>
      <c r="X941" s="14" t="s">
        <v>869</v>
      </c>
      <c r="Y941" s="19">
        <v>304.35000000000002</v>
      </c>
    </row>
    <row r="942" spans="1:25" x14ac:dyDescent="0.3">
      <c r="A942">
        <v>36683</v>
      </c>
      <c r="B942" s="1">
        <v>45709</v>
      </c>
      <c r="C942">
        <v>125</v>
      </c>
      <c r="D942">
        <v>10</v>
      </c>
      <c r="E942" t="s">
        <v>13</v>
      </c>
      <c r="F942" t="s">
        <v>111</v>
      </c>
      <c r="G942">
        <v>2</v>
      </c>
      <c r="H942">
        <v>95.77</v>
      </c>
      <c r="I942" t="s">
        <v>35</v>
      </c>
      <c r="J942" t="s">
        <v>801</v>
      </c>
      <c r="L942" t="s">
        <v>21</v>
      </c>
      <c r="M942">
        <v>68</v>
      </c>
      <c r="N942" s="18" t="str">
        <f t="shared" si="42"/>
        <v>60+</v>
      </c>
      <c r="O942" s="12">
        <f t="shared" si="43"/>
        <v>191.54</v>
      </c>
      <c r="P942" s="12">
        <f t="shared" si="44"/>
        <v>57.461999999999996</v>
      </c>
      <c r="X942" s="14" t="s">
        <v>758</v>
      </c>
      <c r="Y942" s="19">
        <v>151.19999999999999</v>
      </c>
    </row>
    <row r="943" spans="1:25" x14ac:dyDescent="0.3">
      <c r="A943">
        <v>46965</v>
      </c>
      <c r="B943" s="1">
        <v>45709</v>
      </c>
      <c r="C943">
        <v>329</v>
      </c>
      <c r="D943">
        <v>30</v>
      </c>
      <c r="E943" t="s">
        <v>37</v>
      </c>
      <c r="F943" t="s">
        <v>68</v>
      </c>
      <c r="G943">
        <v>3</v>
      </c>
      <c r="H943">
        <v>343.98</v>
      </c>
      <c r="I943" t="s">
        <v>35</v>
      </c>
      <c r="J943" t="s">
        <v>804</v>
      </c>
      <c r="K943">
        <v>5</v>
      </c>
      <c r="L943" t="s">
        <v>17</v>
      </c>
      <c r="M943">
        <v>47</v>
      </c>
      <c r="N943" s="18" t="str">
        <f t="shared" si="42"/>
        <v>46-60</v>
      </c>
      <c r="O943" s="12">
        <f t="shared" si="43"/>
        <v>1031.94</v>
      </c>
      <c r="P943" s="12">
        <f t="shared" si="44"/>
        <v>309.58199999999999</v>
      </c>
      <c r="X943" s="14" t="s">
        <v>797</v>
      </c>
      <c r="Y943" s="19">
        <v>340.27</v>
      </c>
    </row>
    <row r="944" spans="1:25" x14ac:dyDescent="0.3">
      <c r="A944">
        <v>86183</v>
      </c>
      <c r="B944" s="1">
        <v>45709</v>
      </c>
      <c r="C944">
        <v>263</v>
      </c>
      <c r="D944">
        <v>50</v>
      </c>
      <c r="E944" t="s">
        <v>18</v>
      </c>
      <c r="F944" t="s">
        <v>34</v>
      </c>
      <c r="G944">
        <v>3</v>
      </c>
      <c r="H944">
        <v>204.96</v>
      </c>
      <c r="I944" t="s">
        <v>35</v>
      </c>
      <c r="J944" t="s">
        <v>812</v>
      </c>
      <c r="L944" t="s">
        <v>17</v>
      </c>
      <c r="M944">
        <v>72</v>
      </c>
      <c r="N944" s="18" t="str">
        <f t="shared" si="42"/>
        <v>60+</v>
      </c>
      <c r="O944" s="12">
        <f t="shared" si="43"/>
        <v>614.88</v>
      </c>
      <c r="P944" s="12">
        <f t="shared" si="44"/>
        <v>184.464</v>
      </c>
      <c r="X944" s="14" t="s">
        <v>728</v>
      </c>
      <c r="Y944" s="19">
        <v>235.56</v>
      </c>
    </row>
    <row r="945" spans="1:25" x14ac:dyDescent="0.3">
      <c r="A945">
        <v>66861</v>
      </c>
      <c r="B945" s="1">
        <v>45711</v>
      </c>
      <c r="C945">
        <v>360</v>
      </c>
      <c r="D945">
        <v>20</v>
      </c>
      <c r="E945" t="s">
        <v>28</v>
      </c>
      <c r="F945" t="s">
        <v>79</v>
      </c>
      <c r="G945">
        <v>3</v>
      </c>
      <c r="H945">
        <v>146.66999999999999</v>
      </c>
      <c r="I945" t="s">
        <v>26</v>
      </c>
      <c r="J945" t="s">
        <v>156</v>
      </c>
      <c r="K945">
        <v>1</v>
      </c>
      <c r="L945" t="s">
        <v>17</v>
      </c>
      <c r="M945">
        <v>20</v>
      </c>
      <c r="N945" s="18" t="str">
        <f t="shared" si="42"/>
        <v>18-30</v>
      </c>
      <c r="O945" s="12">
        <f t="shared" si="43"/>
        <v>440.01</v>
      </c>
      <c r="P945" s="12">
        <f t="shared" si="44"/>
        <v>132.00299999999999</v>
      </c>
      <c r="X945" s="14" t="s">
        <v>129</v>
      </c>
      <c r="Y945" s="19">
        <v>1348.44</v>
      </c>
    </row>
    <row r="946" spans="1:25" x14ac:dyDescent="0.3">
      <c r="A946">
        <v>35117</v>
      </c>
      <c r="B946" s="1">
        <v>45712</v>
      </c>
      <c r="C946">
        <v>391</v>
      </c>
      <c r="D946">
        <v>40</v>
      </c>
      <c r="E946" t="s">
        <v>24</v>
      </c>
      <c r="F946" t="s">
        <v>25</v>
      </c>
      <c r="G946">
        <v>5</v>
      </c>
      <c r="H946">
        <v>224.84</v>
      </c>
      <c r="I946" t="s">
        <v>26</v>
      </c>
      <c r="J946" t="s">
        <v>479</v>
      </c>
      <c r="K946">
        <v>5</v>
      </c>
      <c r="L946" t="s">
        <v>21</v>
      </c>
      <c r="M946">
        <v>60</v>
      </c>
      <c r="N946" s="18" t="str">
        <f t="shared" si="42"/>
        <v>46-60</v>
      </c>
      <c r="O946" s="12">
        <f t="shared" si="43"/>
        <v>1124.2</v>
      </c>
      <c r="P946" s="12">
        <f t="shared" si="44"/>
        <v>337.26</v>
      </c>
      <c r="X946" s="14" t="s">
        <v>23</v>
      </c>
      <c r="Y946" s="19">
        <v>115</v>
      </c>
    </row>
    <row r="947" spans="1:25" x14ac:dyDescent="0.3">
      <c r="A947">
        <v>97274</v>
      </c>
      <c r="B947" s="1">
        <v>45712</v>
      </c>
      <c r="C947">
        <v>560</v>
      </c>
      <c r="D947">
        <v>10</v>
      </c>
      <c r="E947" t="s">
        <v>13</v>
      </c>
      <c r="F947" t="s">
        <v>14</v>
      </c>
      <c r="G947">
        <v>3</v>
      </c>
      <c r="H947">
        <v>78.61</v>
      </c>
      <c r="I947" t="s">
        <v>15</v>
      </c>
      <c r="J947" t="s">
        <v>533</v>
      </c>
      <c r="K947">
        <v>4</v>
      </c>
      <c r="L947" t="s">
        <v>21</v>
      </c>
      <c r="M947">
        <v>55</v>
      </c>
      <c r="N947" s="18" t="str">
        <f t="shared" si="42"/>
        <v>46-60</v>
      </c>
      <c r="O947" s="12">
        <f t="shared" si="43"/>
        <v>235.82999999999998</v>
      </c>
      <c r="P947" s="12">
        <f t="shared" si="44"/>
        <v>70.748999999999995</v>
      </c>
      <c r="X947" s="14" t="s">
        <v>530</v>
      </c>
      <c r="Y947" s="19">
        <v>592.59</v>
      </c>
    </row>
    <row r="948" spans="1:25" x14ac:dyDescent="0.3">
      <c r="A948">
        <v>91509</v>
      </c>
      <c r="B948" s="1">
        <v>45712</v>
      </c>
      <c r="C948">
        <v>113</v>
      </c>
      <c r="D948">
        <v>50</v>
      </c>
      <c r="E948" t="s">
        <v>18</v>
      </c>
      <c r="F948" t="s">
        <v>84</v>
      </c>
      <c r="G948">
        <v>3</v>
      </c>
      <c r="H948">
        <v>459.41</v>
      </c>
      <c r="I948" t="s">
        <v>15</v>
      </c>
      <c r="J948" t="s">
        <v>626</v>
      </c>
      <c r="K948">
        <v>5</v>
      </c>
      <c r="L948" t="s">
        <v>17</v>
      </c>
      <c r="M948">
        <v>43</v>
      </c>
      <c r="N948" s="18" t="str">
        <f t="shared" si="42"/>
        <v>31-45</v>
      </c>
      <c r="O948" s="12">
        <f t="shared" si="43"/>
        <v>1378.23</v>
      </c>
      <c r="P948" s="12">
        <f t="shared" si="44"/>
        <v>413.46899999999999</v>
      </c>
      <c r="X948" s="14" t="s">
        <v>361</v>
      </c>
      <c r="Y948" s="19">
        <v>1262.5</v>
      </c>
    </row>
    <row r="949" spans="1:25" x14ac:dyDescent="0.3">
      <c r="A949">
        <v>40188</v>
      </c>
      <c r="B949" s="1">
        <v>45712</v>
      </c>
      <c r="C949">
        <v>533</v>
      </c>
      <c r="D949">
        <v>10</v>
      </c>
      <c r="E949" t="s">
        <v>13</v>
      </c>
      <c r="F949" t="s">
        <v>42</v>
      </c>
      <c r="G949">
        <v>1</v>
      </c>
      <c r="H949">
        <v>475.07</v>
      </c>
      <c r="I949" t="s">
        <v>15</v>
      </c>
      <c r="J949" t="s">
        <v>919</v>
      </c>
      <c r="L949" t="s">
        <v>17</v>
      </c>
      <c r="M949">
        <v>75</v>
      </c>
      <c r="N949" s="18" t="str">
        <f t="shared" si="42"/>
        <v>60+</v>
      </c>
      <c r="O949" s="12">
        <f t="shared" si="43"/>
        <v>475.07</v>
      </c>
      <c r="P949" s="12">
        <f t="shared" si="44"/>
        <v>142.52099999999999</v>
      </c>
      <c r="X949" s="14" t="s">
        <v>937</v>
      </c>
      <c r="Y949" s="19">
        <v>273.56</v>
      </c>
    </row>
    <row r="950" spans="1:25" x14ac:dyDescent="0.3">
      <c r="A950">
        <v>44704</v>
      </c>
      <c r="B950" s="1">
        <v>45713</v>
      </c>
      <c r="C950">
        <v>911</v>
      </c>
      <c r="D950">
        <v>30</v>
      </c>
      <c r="E950" t="s">
        <v>37</v>
      </c>
      <c r="F950" t="s">
        <v>58</v>
      </c>
      <c r="G950">
        <v>4</v>
      </c>
      <c r="H950">
        <v>37.520000000000003</v>
      </c>
      <c r="I950" t="s">
        <v>35</v>
      </c>
      <c r="J950" t="s">
        <v>281</v>
      </c>
      <c r="L950" t="s">
        <v>17</v>
      </c>
      <c r="M950">
        <v>62</v>
      </c>
      <c r="N950" s="18" t="str">
        <f t="shared" si="42"/>
        <v>60+</v>
      </c>
      <c r="O950" s="12">
        <f t="shared" si="43"/>
        <v>150.08000000000001</v>
      </c>
      <c r="P950" s="12">
        <f t="shared" si="44"/>
        <v>45.024000000000001</v>
      </c>
      <c r="X950" s="14" t="s">
        <v>265</v>
      </c>
      <c r="Y950" s="19">
        <v>358.26</v>
      </c>
    </row>
    <row r="951" spans="1:25" x14ac:dyDescent="0.3">
      <c r="A951">
        <v>93539</v>
      </c>
      <c r="B951" s="1">
        <v>45713</v>
      </c>
      <c r="C951">
        <v>907</v>
      </c>
      <c r="D951">
        <v>10</v>
      </c>
      <c r="E951" t="s">
        <v>13</v>
      </c>
      <c r="F951" t="s">
        <v>32</v>
      </c>
      <c r="G951">
        <v>2</v>
      </c>
      <c r="H951">
        <v>77.37</v>
      </c>
      <c r="I951" t="s">
        <v>35</v>
      </c>
      <c r="J951" t="s">
        <v>445</v>
      </c>
      <c r="K951">
        <v>1</v>
      </c>
      <c r="L951" t="s">
        <v>17</v>
      </c>
      <c r="M951">
        <v>43</v>
      </c>
      <c r="N951" s="18" t="str">
        <f t="shared" si="42"/>
        <v>31-45</v>
      </c>
      <c r="O951" s="12">
        <f t="shared" si="43"/>
        <v>154.74</v>
      </c>
      <c r="P951" s="12">
        <f t="shared" si="44"/>
        <v>46.422000000000004</v>
      </c>
      <c r="X951" s="14" t="s">
        <v>282</v>
      </c>
      <c r="Y951" s="19">
        <v>381.36</v>
      </c>
    </row>
    <row r="952" spans="1:25" x14ac:dyDescent="0.3">
      <c r="A952">
        <v>61358</v>
      </c>
      <c r="B952" s="1">
        <v>45714</v>
      </c>
      <c r="C952">
        <v>439</v>
      </c>
      <c r="D952">
        <v>20</v>
      </c>
      <c r="E952" t="s">
        <v>28</v>
      </c>
      <c r="F952" t="s">
        <v>79</v>
      </c>
      <c r="G952">
        <v>5</v>
      </c>
      <c r="H952">
        <v>476.53</v>
      </c>
      <c r="I952" t="s">
        <v>26</v>
      </c>
      <c r="J952" t="s">
        <v>573</v>
      </c>
      <c r="K952">
        <v>4</v>
      </c>
      <c r="L952" t="s">
        <v>17</v>
      </c>
      <c r="M952">
        <v>51</v>
      </c>
      <c r="N952" s="18" t="str">
        <f t="shared" si="42"/>
        <v>46-60</v>
      </c>
      <c r="O952" s="12">
        <f t="shared" si="43"/>
        <v>2382.6499999999996</v>
      </c>
      <c r="P952" s="12">
        <f t="shared" si="44"/>
        <v>714.79499999999985</v>
      </c>
      <c r="X952" s="14" t="s">
        <v>344</v>
      </c>
      <c r="Y952" s="19">
        <v>770.7</v>
      </c>
    </row>
    <row r="953" spans="1:25" x14ac:dyDescent="0.3">
      <c r="A953">
        <v>39659</v>
      </c>
      <c r="B953" s="1">
        <v>45714</v>
      </c>
      <c r="C953">
        <v>881</v>
      </c>
      <c r="D953">
        <v>20</v>
      </c>
      <c r="E953" t="s">
        <v>28</v>
      </c>
      <c r="F953" t="s">
        <v>51</v>
      </c>
      <c r="G953">
        <v>2</v>
      </c>
      <c r="H953">
        <v>311.83999999999997</v>
      </c>
      <c r="I953" t="s">
        <v>35</v>
      </c>
      <c r="J953" t="s">
        <v>902</v>
      </c>
      <c r="K953">
        <v>4</v>
      </c>
      <c r="L953" t="s">
        <v>21</v>
      </c>
      <c r="M953">
        <v>75</v>
      </c>
      <c r="N953" s="18" t="str">
        <f t="shared" si="42"/>
        <v>60+</v>
      </c>
      <c r="O953" s="12">
        <f t="shared" si="43"/>
        <v>623.67999999999995</v>
      </c>
      <c r="P953" s="12">
        <f t="shared" si="44"/>
        <v>187.10399999999998</v>
      </c>
      <c r="X953" s="14" t="s">
        <v>105</v>
      </c>
      <c r="Y953" s="19">
        <v>183.3</v>
      </c>
    </row>
    <row r="954" spans="1:25" x14ac:dyDescent="0.3">
      <c r="A954">
        <v>43043</v>
      </c>
      <c r="B954" s="1">
        <v>45715</v>
      </c>
      <c r="C954">
        <v>203</v>
      </c>
      <c r="D954">
        <v>10</v>
      </c>
      <c r="E954" t="s">
        <v>13</v>
      </c>
      <c r="F954" t="s">
        <v>111</v>
      </c>
      <c r="G954">
        <v>5</v>
      </c>
      <c r="H954">
        <v>185.65</v>
      </c>
      <c r="I954" t="s">
        <v>26</v>
      </c>
      <c r="J954" t="s">
        <v>211</v>
      </c>
      <c r="L954" t="s">
        <v>17</v>
      </c>
      <c r="M954">
        <v>24</v>
      </c>
      <c r="N954" s="18" t="str">
        <f t="shared" si="42"/>
        <v>18-30</v>
      </c>
      <c r="O954" s="12">
        <f t="shared" si="43"/>
        <v>928.25</v>
      </c>
      <c r="P954" s="12">
        <f t="shared" si="44"/>
        <v>278.47499999999997</v>
      </c>
      <c r="X954" s="14" t="s">
        <v>553</v>
      </c>
      <c r="Y954" s="19">
        <v>842.69999999999993</v>
      </c>
    </row>
    <row r="955" spans="1:25" x14ac:dyDescent="0.3">
      <c r="A955">
        <v>80882</v>
      </c>
      <c r="B955" s="1">
        <v>45715</v>
      </c>
      <c r="C955">
        <v>511</v>
      </c>
      <c r="D955">
        <v>10</v>
      </c>
      <c r="E955" t="s">
        <v>13</v>
      </c>
      <c r="F955" t="s">
        <v>14</v>
      </c>
      <c r="G955">
        <v>3</v>
      </c>
      <c r="H955">
        <v>375.59</v>
      </c>
      <c r="I955" t="s">
        <v>15</v>
      </c>
      <c r="J955" t="s">
        <v>261</v>
      </c>
      <c r="K955">
        <v>3</v>
      </c>
      <c r="L955" t="s">
        <v>17</v>
      </c>
      <c r="M955">
        <v>32</v>
      </c>
      <c r="N955" s="18" t="str">
        <f t="shared" si="42"/>
        <v>31-45</v>
      </c>
      <c r="O955" s="12">
        <f t="shared" si="43"/>
        <v>1126.77</v>
      </c>
      <c r="P955" s="12">
        <f t="shared" si="44"/>
        <v>338.03100000000001</v>
      </c>
      <c r="X955" s="14" t="s">
        <v>714</v>
      </c>
      <c r="Y955" s="19">
        <v>1076.46</v>
      </c>
    </row>
    <row r="956" spans="1:25" x14ac:dyDescent="0.3">
      <c r="A956">
        <v>76603</v>
      </c>
      <c r="B956" s="1">
        <v>45715</v>
      </c>
      <c r="C956">
        <v>511</v>
      </c>
      <c r="D956">
        <v>10</v>
      </c>
      <c r="E956" t="s">
        <v>13</v>
      </c>
      <c r="F956" t="s">
        <v>42</v>
      </c>
      <c r="G956">
        <v>2</v>
      </c>
      <c r="H956">
        <v>289.89999999999998</v>
      </c>
      <c r="I956" t="s">
        <v>35</v>
      </c>
      <c r="J956" t="s">
        <v>622</v>
      </c>
      <c r="K956">
        <v>5</v>
      </c>
      <c r="L956" t="s">
        <v>17</v>
      </c>
      <c r="M956">
        <v>36</v>
      </c>
      <c r="N956" s="18" t="str">
        <f t="shared" si="42"/>
        <v>31-45</v>
      </c>
      <c r="O956" s="12">
        <f t="shared" si="43"/>
        <v>579.79999999999995</v>
      </c>
      <c r="P956" s="12">
        <f t="shared" si="44"/>
        <v>173.93999999999997</v>
      </c>
      <c r="X956" s="14" t="s">
        <v>393</v>
      </c>
      <c r="Y956" s="19">
        <v>1927.28</v>
      </c>
    </row>
    <row r="957" spans="1:25" x14ac:dyDescent="0.3">
      <c r="A957">
        <v>99850</v>
      </c>
      <c r="B957" s="1">
        <v>45715</v>
      </c>
      <c r="C957">
        <v>453</v>
      </c>
      <c r="D957">
        <v>40</v>
      </c>
      <c r="E957" t="s">
        <v>24</v>
      </c>
      <c r="F957" t="s">
        <v>63</v>
      </c>
      <c r="G957">
        <v>3</v>
      </c>
      <c r="H957">
        <v>392.26</v>
      </c>
      <c r="I957" t="s">
        <v>26</v>
      </c>
      <c r="J957" t="s">
        <v>894</v>
      </c>
      <c r="K957">
        <v>3</v>
      </c>
      <c r="L957" t="s">
        <v>17</v>
      </c>
      <c r="M957">
        <v>50</v>
      </c>
      <c r="N957" s="18" t="str">
        <f t="shared" si="42"/>
        <v>46-60</v>
      </c>
      <c r="O957" s="12">
        <f t="shared" si="43"/>
        <v>1176.78</v>
      </c>
      <c r="P957" s="12">
        <f t="shared" si="44"/>
        <v>353.03399999999999</v>
      </c>
      <c r="X957" s="14" t="s">
        <v>624</v>
      </c>
      <c r="Y957" s="19">
        <v>71.83</v>
      </c>
    </row>
    <row r="958" spans="1:25" x14ac:dyDescent="0.3">
      <c r="A958">
        <v>20393</v>
      </c>
      <c r="B958" s="1">
        <v>45716</v>
      </c>
      <c r="C958">
        <v>133</v>
      </c>
      <c r="D958">
        <v>40</v>
      </c>
      <c r="E958" t="s">
        <v>24</v>
      </c>
      <c r="F958" t="s">
        <v>44</v>
      </c>
      <c r="G958">
        <v>5</v>
      </c>
      <c r="H958">
        <v>468.55</v>
      </c>
      <c r="I958" t="s">
        <v>15</v>
      </c>
      <c r="J958" t="s">
        <v>400</v>
      </c>
      <c r="K958">
        <v>2</v>
      </c>
      <c r="L958" t="s">
        <v>21</v>
      </c>
      <c r="M958">
        <v>68</v>
      </c>
      <c r="N958" s="18" t="str">
        <f t="shared" si="42"/>
        <v>60+</v>
      </c>
      <c r="O958" s="12">
        <f t="shared" si="43"/>
        <v>2342.75</v>
      </c>
      <c r="P958" s="12">
        <f t="shared" si="44"/>
        <v>702.82499999999993</v>
      </c>
      <c r="X958" s="14" t="s">
        <v>85</v>
      </c>
      <c r="Y958" s="19">
        <v>429.25</v>
      </c>
    </row>
    <row r="959" spans="1:25" x14ac:dyDescent="0.3">
      <c r="A959">
        <v>35152</v>
      </c>
      <c r="B959" s="1">
        <v>45717</v>
      </c>
      <c r="C959">
        <v>106</v>
      </c>
      <c r="D959">
        <v>20</v>
      </c>
      <c r="E959" t="s">
        <v>28</v>
      </c>
      <c r="F959" t="s">
        <v>72</v>
      </c>
      <c r="G959">
        <v>1</v>
      </c>
      <c r="H959">
        <v>87.9</v>
      </c>
      <c r="I959" t="s">
        <v>26</v>
      </c>
      <c r="J959" t="s">
        <v>525</v>
      </c>
      <c r="L959" t="s">
        <v>21</v>
      </c>
      <c r="M959">
        <v>64</v>
      </c>
      <c r="N959" s="18" t="str">
        <f t="shared" si="42"/>
        <v>60+</v>
      </c>
      <c r="O959" s="12">
        <f t="shared" si="43"/>
        <v>87.9</v>
      </c>
      <c r="P959" s="12">
        <f t="shared" si="44"/>
        <v>26.37</v>
      </c>
      <c r="X959" s="14" t="s">
        <v>942</v>
      </c>
      <c r="Y959" s="19">
        <v>22.21</v>
      </c>
    </row>
    <row r="960" spans="1:25" x14ac:dyDescent="0.3">
      <c r="A960">
        <v>89618</v>
      </c>
      <c r="B960" s="1">
        <v>45717</v>
      </c>
      <c r="C960">
        <v>567</v>
      </c>
      <c r="D960">
        <v>20</v>
      </c>
      <c r="E960" t="s">
        <v>28</v>
      </c>
      <c r="F960" t="s">
        <v>79</v>
      </c>
      <c r="G960">
        <v>1</v>
      </c>
      <c r="H960">
        <v>98.87</v>
      </c>
      <c r="I960" t="s">
        <v>35</v>
      </c>
      <c r="J960" t="s">
        <v>748</v>
      </c>
      <c r="K960">
        <v>5</v>
      </c>
      <c r="L960" t="s">
        <v>17</v>
      </c>
      <c r="M960">
        <v>42</v>
      </c>
      <c r="N960" s="18" t="str">
        <f t="shared" si="42"/>
        <v>31-45</v>
      </c>
      <c r="O960" s="12">
        <f t="shared" si="43"/>
        <v>98.87</v>
      </c>
      <c r="P960" s="12">
        <f t="shared" si="44"/>
        <v>29.661000000000001</v>
      </c>
      <c r="X960" s="14" t="s">
        <v>101</v>
      </c>
      <c r="Y960" s="19">
        <v>46.96</v>
      </c>
    </row>
    <row r="961" spans="1:25" x14ac:dyDescent="0.3">
      <c r="A961">
        <v>55905</v>
      </c>
      <c r="B961" s="1">
        <v>45718</v>
      </c>
      <c r="C961">
        <v>550</v>
      </c>
      <c r="D961">
        <v>30</v>
      </c>
      <c r="E961" t="s">
        <v>37</v>
      </c>
      <c r="F961" t="s">
        <v>68</v>
      </c>
      <c r="G961">
        <v>1</v>
      </c>
      <c r="H961">
        <v>99.84</v>
      </c>
      <c r="I961" t="s">
        <v>35</v>
      </c>
      <c r="J961" t="s">
        <v>993</v>
      </c>
      <c r="K961">
        <v>3</v>
      </c>
      <c r="L961" t="s">
        <v>17</v>
      </c>
      <c r="M961">
        <v>73</v>
      </c>
      <c r="N961" s="18" t="str">
        <f t="shared" si="42"/>
        <v>60+</v>
      </c>
      <c r="O961" s="12">
        <f t="shared" si="43"/>
        <v>99.84</v>
      </c>
      <c r="P961" s="12">
        <f t="shared" si="44"/>
        <v>29.951999999999998</v>
      </c>
      <c r="X961" s="14" t="s">
        <v>519</v>
      </c>
      <c r="Y961" s="19">
        <v>640.96</v>
      </c>
    </row>
    <row r="962" spans="1:25" x14ac:dyDescent="0.3">
      <c r="A962">
        <v>51106</v>
      </c>
      <c r="B962" s="1">
        <v>45719</v>
      </c>
      <c r="C962">
        <v>222</v>
      </c>
      <c r="D962">
        <v>50</v>
      </c>
      <c r="E962" t="s">
        <v>18</v>
      </c>
      <c r="F962" t="s">
        <v>22</v>
      </c>
      <c r="G962">
        <v>2</v>
      </c>
      <c r="H962">
        <v>148.66999999999999</v>
      </c>
      <c r="I962" t="s">
        <v>15</v>
      </c>
      <c r="J962" t="s">
        <v>166</v>
      </c>
      <c r="K962">
        <v>5</v>
      </c>
      <c r="L962" t="s">
        <v>21</v>
      </c>
      <c r="M962">
        <v>38</v>
      </c>
      <c r="N962" s="18" t="str">
        <f t="shared" si="42"/>
        <v>31-45</v>
      </c>
      <c r="O962" s="12">
        <f t="shared" si="43"/>
        <v>297.33999999999997</v>
      </c>
      <c r="P962" s="12">
        <f t="shared" si="44"/>
        <v>89.201999999999984</v>
      </c>
      <c r="X962" s="14" t="s">
        <v>816</v>
      </c>
      <c r="Y962" s="19">
        <v>203.4</v>
      </c>
    </row>
    <row r="963" spans="1:25" x14ac:dyDescent="0.3">
      <c r="A963">
        <v>23687</v>
      </c>
      <c r="B963" s="1">
        <v>45719</v>
      </c>
      <c r="C963">
        <v>371</v>
      </c>
      <c r="D963">
        <v>10</v>
      </c>
      <c r="E963" t="s">
        <v>13</v>
      </c>
      <c r="F963" t="s">
        <v>111</v>
      </c>
      <c r="G963">
        <v>2</v>
      </c>
      <c r="H963">
        <v>308.07</v>
      </c>
      <c r="I963" t="s">
        <v>15</v>
      </c>
      <c r="J963" t="s">
        <v>246</v>
      </c>
      <c r="L963" t="s">
        <v>17</v>
      </c>
      <c r="M963">
        <v>68</v>
      </c>
      <c r="N963" s="18" t="str">
        <f t="shared" ref="N963:N1001" si="45">IF(M963&lt;=30,"18-30",IF(M963&lt;=45,"31-45",IF(M963&lt;=60,"46-60","60+")))</f>
        <v>60+</v>
      </c>
      <c r="O963" s="12">
        <f t="shared" ref="O963:O1001" si="46">H963*G963</f>
        <v>616.14</v>
      </c>
      <c r="P963" s="12">
        <f t="shared" ref="P963:P1001" si="47">O963*0.3</f>
        <v>184.84199999999998</v>
      </c>
      <c r="X963" s="14" t="s">
        <v>846</v>
      </c>
      <c r="Y963" s="19">
        <v>1080.96</v>
      </c>
    </row>
    <row r="964" spans="1:25" x14ac:dyDescent="0.3">
      <c r="A964">
        <v>75278</v>
      </c>
      <c r="B964" s="1">
        <v>45719</v>
      </c>
      <c r="C964">
        <v>538</v>
      </c>
      <c r="D964">
        <v>40</v>
      </c>
      <c r="E964" t="s">
        <v>24</v>
      </c>
      <c r="F964" t="s">
        <v>65</v>
      </c>
      <c r="G964">
        <v>3</v>
      </c>
      <c r="H964">
        <v>266.14999999999998</v>
      </c>
      <c r="I964" t="s">
        <v>15</v>
      </c>
      <c r="J964" t="s">
        <v>287</v>
      </c>
      <c r="K964">
        <v>3</v>
      </c>
      <c r="M964">
        <v>59</v>
      </c>
      <c r="N964" s="18" t="str">
        <f t="shared" si="45"/>
        <v>46-60</v>
      </c>
      <c r="O964" s="12">
        <f t="shared" si="46"/>
        <v>798.44999999999993</v>
      </c>
      <c r="P964" s="12">
        <f t="shared" si="47"/>
        <v>239.53499999999997</v>
      </c>
      <c r="X964" s="14" t="s">
        <v>633</v>
      </c>
      <c r="Y964" s="19">
        <v>845.98</v>
      </c>
    </row>
    <row r="965" spans="1:25" x14ac:dyDescent="0.3">
      <c r="A965">
        <v>26160</v>
      </c>
      <c r="B965" s="1">
        <v>45720</v>
      </c>
      <c r="C965">
        <v>374</v>
      </c>
      <c r="D965">
        <v>20</v>
      </c>
      <c r="E965" t="s">
        <v>28</v>
      </c>
      <c r="F965" t="s">
        <v>29</v>
      </c>
      <c r="G965">
        <v>2</v>
      </c>
      <c r="H965">
        <v>452.2</v>
      </c>
      <c r="I965" t="s">
        <v>15</v>
      </c>
      <c r="J965" t="s">
        <v>82</v>
      </c>
      <c r="K965">
        <v>3</v>
      </c>
      <c r="M965">
        <v>25</v>
      </c>
      <c r="N965" s="18" t="str">
        <f t="shared" si="45"/>
        <v>18-30</v>
      </c>
      <c r="O965" s="12">
        <f t="shared" si="46"/>
        <v>904.4</v>
      </c>
      <c r="P965" s="12">
        <f t="shared" si="47"/>
        <v>271.32</v>
      </c>
      <c r="X965" s="14" t="s">
        <v>552</v>
      </c>
      <c r="Y965" s="19">
        <v>649.15000000000009</v>
      </c>
    </row>
    <row r="966" spans="1:25" x14ac:dyDescent="0.3">
      <c r="A966">
        <v>20019</v>
      </c>
      <c r="B966" s="1">
        <v>45720</v>
      </c>
      <c r="C966">
        <v>886</v>
      </c>
      <c r="D966">
        <v>40</v>
      </c>
      <c r="E966" t="s">
        <v>24</v>
      </c>
      <c r="F966" t="s">
        <v>63</v>
      </c>
      <c r="G966">
        <v>4</v>
      </c>
      <c r="H966">
        <v>300.02999999999997</v>
      </c>
      <c r="I966" t="s">
        <v>15</v>
      </c>
      <c r="J966" t="s">
        <v>565</v>
      </c>
      <c r="K966">
        <v>4</v>
      </c>
      <c r="M966">
        <v>34</v>
      </c>
      <c r="N966" s="18" t="str">
        <f t="shared" si="45"/>
        <v>31-45</v>
      </c>
      <c r="O966" s="12">
        <f t="shared" si="46"/>
        <v>1200.1199999999999</v>
      </c>
      <c r="P966" s="12">
        <f t="shared" si="47"/>
        <v>360.03599999999994</v>
      </c>
      <c r="X966" s="14" t="s">
        <v>1086</v>
      </c>
      <c r="Y966">
        <v>737326.87999999931</v>
      </c>
    </row>
    <row r="967" spans="1:25" x14ac:dyDescent="0.3">
      <c r="A967">
        <v>24734</v>
      </c>
      <c r="B967" s="1">
        <v>45721</v>
      </c>
      <c r="C967">
        <v>674</v>
      </c>
      <c r="D967">
        <v>50</v>
      </c>
      <c r="E967" t="s">
        <v>18</v>
      </c>
      <c r="F967" t="s">
        <v>87</v>
      </c>
      <c r="G967">
        <v>2</v>
      </c>
      <c r="H967">
        <v>95.99</v>
      </c>
      <c r="I967" t="s">
        <v>35</v>
      </c>
      <c r="J967" t="s">
        <v>398</v>
      </c>
      <c r="K967">
        <v>5</v>
      </c>
      <c r="L967" t="s">
        <v>17</v>
      </c>
      <c r="M967">
        <v>39</v>
      </c>
      <c r="N967" s="18" t="str">
        <f t="shared" si="45"/>
        <v>31-45</v>
      </c>
      <c r="O967" s="12">
        <f t="shared" si="46"/>
        <v>191.98</v>
      </c>
      <c r="P967" s="12">
        <f t="shared" si="47"/>
        <v>57.593999999999994</v>
      </c>
    </row>
    <row r="968" spans="1:25" x14ac:dyDescent="0.3">
      <c r="A968">
        <v>62120</v>
      </c>
      <c r="B968" s="1">
        <v>45721</v>
      </c>
      <c r="C968">
        <v>501</v>
      </c>
      <c r="D968">
        <v>50</v>
      </c>
      <c r="E968" t="s">
        <v>18</v>
      </c>
      <c r="F968" t="s">
        <v>87</v>
      </c>
      <c r="G968">
        <v>3</v>
      </c>
      <c r="H968">
        <v>456.38</v>
      </c>
      <c r="I968" t="s">
        <v>26</v>
      </c>
      <c r="J968" t="s">
        <v>740</v>
      </c>
      <c r="K968">
        <v>3</v>
      </c>
      <c r="L968" t="s">
        <v>17</v>
      </c>
      <c r="M968">
        <v>50</v>
      </c>
      <c r="N968" s="18" t="str">
        <f t="shared" si="45"/>
        <v>46-60</v>
      </c>
      <c r="O968" s="12">
        <f t="shared" si="46"/>
        <v>1369.1399999999999</v>
      </c>
      <c r="P968" s="12">
        <f t="shared" si="47"/>
        <v>410.74199999999996</v>
      </c>
    </row>
    <row r="969" spans="1:25" x14ac:dyDescent="0.3">
      <c r="A969">
        <v>11655</v>
      </c>
      <c r="B969" s="1">
        <v>45721</v>
      </c>
      <c r="C969">
        <v>961</v>
      </c>
      <c r="D969">
        <v>10</v>
      </c>
      <c r="E969" t="s">
        <v>13</v>
      </c>
      <c r="F969" t="s">
        <v>47</v>
      </c>
      <c r="G969">
        <v>4</v>
      </c>
      <c r="H969">
        <v>365.54</v>
      </c>
      <c r="I969" t="s">
        <v>26</v>
      </c>
      <c r="J969" t="s">
        <v>750</v>
      </c>
      <c r="K969">
        <v>5</v>
      </c>
      <c r="L969" t="s">
        <v>21</v>
      </c>
      <c r="M969">
        <v>61</v>
      </c>
      <c r="N969" s="18" t="str">
        <f t="shared" si="45"/>
        <v>60+</v>
      </c>
      <c r="O969" s="12">
        <f t="shared" si="46"/>
        <v>1462.16</v>
      </c>
      <c r="P969" s="12">
        <f t="shared" si="47"/>
        <v>438.64800000000002</v>
      </c>
    </row>
    <row r="970" spans="1:25" x14ac:dyDescent="0.3">
      <c r="A970">
        <v>97350</v>
      </c>
      <c r="B970" s="1">
        <v>45722</v>
      </c>
      <c r="C970">
        <v>770</v>
      </c>
      <c r="D970">
        <v>40</v>
      </c>
      <c r="E970" t="s">
        <v>24</v>
      </c>
      <c r="F970" t="s">
        <v>25</v>
      </c>
      <c r="G970">
        <v>4</v>
      </c>
      <c r="H970">
        <v>143.74</v>
      </c>
      <c r="I970" t="s">
        <v>26</v>
      </c>
      <c r="J970" t="s">
        <v>139</v>
      </c>
      <c r="L970" t="s">
        <v>21</v>
      </c>
      <c r="M970">
        <v>70</v>
      </c>
      <c r="N970" s="18" t="str">
        <f t="shared" si="45"/>
        <v>60+</v>
      </c>
      <c r="O970" s="12">
        <f t="shared" si="46"/>
        <v>574.96</v>
      </c>
      <c r="P970" s="12">
        <f t="shared" si="47"/>
        <v>172.488</v>
      </c>
    </row>
    <row r="971" spans="1:25" x14ac:dyDescent="0.3">
      <c r="A971">
        <v>18555</v>
      </c>
      <c r="B971" s="1">
        <v>45722</v>
      </c>
      <c r="C971">
        <v>287</v>
      </c>
      <c r="D971">
        <v>50</v>
      </c>
      <c r="E971" t="s">
        <v>18</v>
      </c>
      <c r="F971" t="s">
        <v>22</v>
      </c>
      <c r="G971">
        <v>2</v>
      </c>
      <c r="H971">
        <v>332.47</v>
      </c>
      <c r="I971" t="s">
        <v>15</v>
      </c>
      <c r="J971" t="s">
        <v>456</v>
      </c>
      <c r="K971">
        <v>5</v>
      </c>
      <c r="L971" t="s">
        <v>21</v>
      </c>
      <c r="M971">
        <v>68</v>
      </c>
      <c r="N971" s="18" t="str">
        <f t="shared" si="45"/>
        <v>60+</v>
      </c>
      <c r="O971" s="12">
        <f t="shared" si="46"/>
        <v>664.94</v>
      </c>
      <c r="P971" s="12">
        <f t="shared" si="47"/>
        <v>199.482</v>
      </c>
    </row>
    <row r="972" spans="1:25" x14ac:dyDescent="0.3">
      <c r="A972">
        <v>53993</v>
      </c>
      <c r="B972" s="1">
        <v>45722</v>
      </c>
      <c r="C972">
        <v>268</v>
      </c>
      <c r="D972">
        <v>20</v>
      </c>
      <c r="E972" t="s">
        <v>28</v>
      </c>
      <c r="F972" t="s">
        <v>79</v>
      </c>
      <c r="G972">
        <v>3</v>
      </c>
      <c r="H972">
        <v>280.89999999999998</v>
      </c>
      <c r="I972" t="s">
        <v>35</v>
      </c>
      <c r="J972" t="s">
        <v>553</v>
      </c>
      <c r="K972">
        <v>5</v>
      </c>
      <c r="L972" t="s">
        <v>21</v>
      </c>
      <c r="M972">
        <v>47</v>
      </c>
      <c r="N972" s="18" t="str">
        <f t="shared" si="45"/>
        <v>46-60</v>
      </c>
      <c r="O972" s="12">
        <f t="shared" si="46"/>
        <v>842.69999999999993</v>
      </c>
      <c r="P972" s="12">
        <f t="shared" si="47"/>
        <v>252.80999999999997</v>
      </c>
    </row>
    <row r="973" spans="1:25" x14ac:dyDescent="0.3">
      <c r="A973">
        <v>37762</v>
      </c>
      <c r="B973" s="1">
        <v>45723</v>
      </c>
      <c r="C973">
        <v>442</v>
      </c>
      <c r="D973">
        <v>10</v>
      </c>
      <c r="E973" t="s">
        <v>13</v>
      </c>
      <c r="F973" t="s">
        <v>32</v>
      </c>
      <c r="G973">
        <v>1</v>
      </c>
      <c r="H973">
        <v>94.6</v>
      </c>
      <c r="I973" t="s">
        <v>35</v>
      </c>
      <c r="J973" t="s">
        <v>337</v>
      </c>
      <c r="K973">
        <v>4</v>
      </c>
      <c r="L973" t="s">
        <v>21</v>
      </c>
      <c r="M973">
        <v>32</v>
      </c>
      <c r="N973" s="18" t="str">
        <f t="shared" si="45"/>
        <v>31-45</v>
      </c>
      <c r="O973" s="12">
        <f t="shared" si="46"/>
        <v>94.6</v>
      </c>
      <c r="P973" s="12">
        <f t="shared" si="47"/>
        <v>28.38</v>
      </c>
    </row>
    <row r="974" spans="1:25" x14ac:dyDescent="0.3">
      <c r="A974">
        <v>37624</v>
      </c>
      <c r="B974" s="1">
        <v>45724</v>
      </c>
      <c r="C974">
        <v>681</v>
      </c>
      <c r="D974">
        <v>20</v>
      </c>
      <c r="E974" t="s">
        <v>28</v>
      </c>
      <c r="F974" t="s">
        <v>29</v>
      </c>
      <c r="G974">
        <v>1</v>
      </c>
      <c r="H974">
        <v>461</v>
      </c>
      <c r="I974" t="s">
        <v>15</v>
      </c>
      <c r="J974" t="s">
        <v>692</v>
      </c>
      <c r="K974">
        <v>5</v>
      </c>
      <c r="L974" t="s">
        <v>21</v>
      </c>
      <c r="M974">
        <v>20</v>
      </c>
      <c r="N974" s="18" t="str">
        <f t="shared" si="45"/>
        <v>18-30</v>
      </c>
      <c r="O974" s="12">
        <f t="shared" si="46"/>
        <v>461</v>
      </c>
      <c r="P974" s="12">
        <f t="shared" si="47"/>
        <v>138.29999999999998</v>
      </c>
    </row>
    <row r="975" spans="1:25" x14ac:dyDescent="0.3">
      <c r="A975">
        <v>38512</v>
      </c>
      <c r="B975" s="1">
        <v>45725</v>
      </c>
      <c r="C975">
        <v>976</v>
      </c>
      <c r="D975">
        <v>20</v>
      </c>
      <c r="E975" t="s">
        <v>28</v>
      </c>
      <c r="F975" t="s">
        <v>29</v>
      </c>
      <c r="G975">
        <v>5</v>
      </c>
      <c r="H975">
        <v>229.81</v>
      </c>
      <c r="I975" t="s">
        <v>15</v>
      </c>
      <c r="J975" t="s">
        <v>309</v>
      </c>
      <c r="K975">
        <v>5</v>
      </c>
      <c r="L975" t="s">
        <v>21</v>
      </c>
      <c r="M975">
        <v>34</v>
      </c>
      <c r="N975" s="18" t="str">
        <f t="shared" si="45"/>
        <v>31-45</v>
      </c>
      <c r="O975" s="12">
        <f t="shared" si="46"/>
        <v>1149.05</v>
      </c>
      <c r="P975" s="12">
        <f t="shared" si="47"/>
        <v>344.71499999999997</v>
      </c>
    </row>
    <row r="976" spans="1:25" x14ac:dyDescent="0.3">
      <c r="A976">
        <v>56081</v>
      </c>
      <c r="B976" s="1">
        <v>45725</v>
      </c>
      <c r="C976">
        <v>502</v>
      </c>
      <c r="D976">
        <v>10</v>
      </c>
      <c r="E976" t="s">
        <v>13</v>
      </c>
      <c r="F976" t="s">
        <v>42</v>
      </c>
      <c r="G976">
        <v>5</v>
      </c>
      <c r="H976">
        <v>370.24</v>
      </c>
      <c r="I976" t="s">
        <v>26</v>
      </c>
      <c r="J976" t="s">
        <v>318</v>
      </c>
      <c r="L976" t="s">
        <v>21</v>
      </c>
      <c r="M976">
        <v>38</v>
      </c>
      <c r="N976" s="18" t="str">
        <f t="shared" si="45"/>
        <v>31-45</v>
      </c>
      <c r="O976" s="12">
        <f t="shared" si="46"/>
        <v>1851.2</v>
      </c>
      <c r="P976" s="12">
        <f t="shared" si="47"/>
        <v>555.36</v>
      </c>
    </row>
    <row r="977" spans="1:16" x14ac:dyDescent="0.3">
      <c r="A977">
        <v>33770</v>
      </c>
      <c r="B977" s="1">
        <v>45726</v>
      </c>
      <c r="C977">
        <v>716</v>
      </c>
      <c r="D977">
        <v>10</v>
      </c>
      <c r="E977" t="s">
        <v>13</v>
      </c>
      <c r="F977" t="s">
        <v>32</v>
      </c>
      <c r="G977">
        <v>1</v>
      </c>
      <c r="H977">
        <v>433.99</v>
      </c>
      <c r="I977" t="s">
        <v>15</v>
      </c>
      <c r="J977" t="s">
        <v>512</v>
      </c>
      <c r="K977">
        <v>5</v>
      </c>
      <c r="L977" t="s">
        <v>21</v>
      </c>
      <c r="M977">
        <v>42</v>
      </c>
      <c r="N977" s="18" t="str">
        <f t="shared" si="45"/>
        <v>31-45</v>
      </c>
      <c r="O977" s="12">
        <f t="shared" si="46"/>
        <v>433.99</v>
      </c>
      <c r="P977" s="12">
        <f t="shared" si="47"/>
        <v>130.197</v>
      </c>
    </row>
    <row r="978" spans="1:16" x14ac:dyDescent="0.3">
      <c r="A978">
        <v>86727</v>
      </c>
      <c r="B978" s="1">
        <v>45726</v>
      </c>
      <c r="C978">
        <v>102</v>
      </c>
      <c r="D978">
        <v>50</v>
      </c>
      <c r="E978" t="s">
        <v>18</v>
      </c>
      <c r="F978" t="s">
        <v>19</v>
      </c>
      <c r="G978">
        <v>4</v>
      </c>
      <c r="H978">
        <v>380.42</v>
      </c>
      <c r="I978" t="s">
        <v>35</v>
      </c>
      <c r="J978" t="s">
        <v>741</v>
      </c>
      <c r="L978" t="s">
        <v>17</v>
      </c>
      <c r="M978">
        <v>46</v>
      </c>
      <c r="N978" s="18" t="str">
        <f t="shared" si="45"/>
        <v>46-60</v>
      </c>
      <c r="O978" s="12">
        <f t="shared" si="46"/>
        <v>1521.68</v>
      </c>
      <c r="P978" s="12">
        <f t="shared" si="47"/>
        <v>456.50400000000002</v>
      </c>
    </row>
    <row r="979" spans="1:16" x14ac:dyDescent="0.3">
      <c r="A979">
        <v>35717</v>
      </c>
      <c r="B979" s="1">
        <v>45726</v>
      </c>
      <c r="C979">
        <v>374</v>
      </c>
      <c r="D979">
        <v>40</v>
      </c>
      <c r="E979" t="s">
        <v>24</v>
      </c>
      <c r="F979" t="s">
        <v>63</v>
      </c>
      <c r="G979">
        <v>1</v>
      </c>
      <c r="H979">
        <v>239.35</v>
      </c>
      <c r="I979" t="s">
        <v>35</v>
      </c>
      <c r="J979" t="s">
        <v>879</v>
      </c>
      <c r="L979" t="s">
        <v>17</v>
      </c>
      <c r="M979">
        <v>34</v>
      </c>
      <c r="N979" s="18" t="str">
        <f t="shared" si="45"/>
        <v>31-45</v>
      </c>
      <c r="O979" s="12">
        <f t="shared" si="46"/>
        <v>239.35</v>
      </c>
      <c r="P979" s="12">
        <f t="shared" si="47"/>
        <v>71.804999999999993</v>
      </c>
    </row>
    <row r="980" spans="1:16" x14ac:dyDescent="0.3">
      <c r="A980">
        <v>39860</v>
      </c>
      <c r="B980" s="1">
        <v>45727</v>
      </c>
      <c r="C980">
        <v>967</v>
      </c>
      <c r="D980">
        <v>30</v>
      </c>
      <c r="E980" t="s">
        <v>37</v>
      </c>
      <c r="F980" t="s">
        <v>40</v>
      </c>
      <c r="G980">
        <v>1</v>
      </c>
      <c r="H980">
        <v>77.42</v>
      </c>
      <c r="I980" t="s">
        <v>26</v>
      </c>
      <c r="J980" t="s">
        <v>308</v>
      </c>
      <c r="K980">
        <v>5</v>
      </c>
      <c r="L980" t="s">
        <v>17</v>
      </c>
      <c r="M980">
        <v>53</v>
      </c>
      <c r="N980" s="18" t="str">
        <f t="shared" si="45"/>
        <v>46-60</v>
      </c>
      <c r="O980" s="12">
        <f t="shared" si="46"/>
        <v>77.42</v>
      </c>
      <c r="P980" s="12">
        <f t="shared" si="47"/>
        <v>23.225999999999999</v>
      </c>
    </row>
    <row r="981" spans="1:16" x14ac:dyDescent="0.3">
      <c r="A981">
        <v>85518</v>
      </c>
      <c r="B981" s="1">
        <v>45727</v>
      </c>
      <c r="C981">
        <v>519</v>
      </c>
      <c r="D981">
        <v>50</v>
      </c>
      <c r="E981" t="s">
        <v>18</v>
      </c>
      <c r="F981" t="s">
        <v>87</v>
      </c>
      <c r="G981">
        <v>1</v>
      </c>
      <c r="H981">
        <v>292.66000000000003</v>
      </c>
      <c r="I981" t="s">
        <v>35</v>
      </c>
      <c r="J981" t="s">
        <v>826</v>
      </c>
      <c r="K981">
        <v>5</v>
      </c>
      <c r="L981" t="s">
        <v>21</v>
      </c>
      <c r="M981">
        <v>75</v>
      </c>
      <c r="N981" s="18" t="str">
        <f t="shared" si="45"/>
        <v>60+</v>
      </c>
      <c r="O981" s="12">
        <f t="shared" si="46"/>
        <v>292.66000000000003</v>
      </c>
      <c r="P981" s="12">
        <f t="shared" si="47"/>
        <v>87.798000000000002</v>
      </c>
    </row>
    <row r="982" spans="1:16" x14ac:dyDescent="0.3">
      <c r="A982">
        <v>25702</v>
      </c>
      <c r="B982" s="1">
        <v>45728</v>
      </c>
      <c r="C982">
        <v>423</v>
      </c>
      <c r="D982">
        <v>40</v>
      </c>
      <c r="E982" t="s">
        <v>24</v>
      </c>
      <c r="F982" t="s">
        <v>65</v>
      </c>
      <c r="G982">
        <v>4</v>
      </c>
      <c r="H982">
        <v>306.66000000000003</v>
      </c>
      <c r="I982" t="s">
        <v>15</v>
      </c>
      <c r="J982" t="s">
        <v>248</v>
      </c>
      <c r="K982">
        <v>5</v>
      </c>
      <c r="L982" t="s">
        <v>21</v>
      </c>
      <c r="M982">
        <v>40</v>
      </c>
      <c r="N982" s="18" t="str">
        <f t="shared" si="45"/>
        <v>31-45</v>
      </c>
      <c r="O982" s="12">
        <f t="shared" si="46"/>
        <v>1226.6400000000001</v>
      </c>
      <c r="P982" s="12">
        <f t="shared" si="47"/>
        <v>367.99200000000002</v>
      </c>
    </row>
    <row r="983" spans="1:16" x14ac:dyDescent="0.3">
      <c r="A983">
        <v>79470</v>
      </c>
      <c r="B983" s="1">
        <v>45728</v>
      </c>
      <c r="C983">
        <v>247</v>
      </c>
      <c r="D983">
        <v>40</v>
      </c>
      <c r="E983" t="s">
        <v>24</v>
      </c>
      <c r="F983" t="s">
        <v>63</v>
      </c>
      <c r="G983">
        <v>2</v>
      </c>
      <c r="H983">
        <v>190.5</v>
      </c>
      <c r="I983" t="s">
        <v>35</v>
      </c>
      <c r="J983" t="s">
        <v>371</v>
      </c>
      <c r="L983" t="s">
        <v>21</v>
      </c>
      <c r="M983">
        <v>41</v>
      </c>
      <c r="N983" s="18" t="str">
        <f t="shared" si="45"/>
        <v>31-45</v>
      </c>
      <c r="O983" s="12">
        <f t="shared" si="46"/>
        <v>381</v>
      </c>
      <c r="P983" s="12">
        <f t="shared" si="47"/>
        <v>114.3</v>
      </c>
    </row>
    <row r="984" spans="1:16" x14ac:dyDescent="0.3">
      <c r="A984">
        <v>92393</v>
      </c>
      <c r="B984" s="1">
        <v>45728</v>
      </c>
      <c r="C984">
        <v>344</v>
      </c>
      <c r="D984">
        <v>50</v>
      </c>
      <c r="E984" t="s">
        <v>18</v>
      </c>
      <c r="F984" t="s">
        <v>34</v>
      </c>
      <c r="G984">
        <v>5</v>
      </c>
      <c r="H984">
        <v>372.39</v>
      </c>
      <c r="I984" t="s">
        <v>15</v>
      </c>
      <c r="J984" t="s">
        <v>558</v>
      </c>
      <c r="K984">
        <v>4</v>
      </c>
      <c r="L984" t="s">
        <v>17</v>
      </c>
      <c r="M984">
        <v>63</v>
      </c>
      <c r="N984" s="18" t="str">
        <f t="shared" si="45"/>
        <v>60+</v>
      </c>
      <c r="O984" s="12">
        <f t="shared" si="46"/>
        <v>1861.9499999999998</v>
      </c>
      <c r="P984" s="12">
        <f t="shared" si="47"/>
        <v>558.58499999999992</v>
      </c>
    </row>
    <row r="985" spans="1:16" x14ac:dyDescent="0.3">
      <c r="A985">
        <v>63014</v>
      </c>
      <c r="B985" s="1">
        <v>45728</v>
      </c>
      <c r="C985">
        <v>323</v>
      </c>
      <c r="D985">
        <v>20</v>
      </c>
      <c r="E985" t="s">
        <v>28</v>
      </c>
      <c r="F985" t="s">
        <v>72</v>
      </c>
      <c r="G985">
        <v>3</v>
      </c>
      <c r="H985">
        <v>62.81</v>
      </c>
      <c r="I985" t="s">
        <v>26</v>
      </c>
      <c r="J985" t="s">
        <v>141</v>
      </c>
      <c r="L985" t="s">
        <v>17</v>
      </c>
      <c r="M985">
        <v>39</v>
      </c>
      <c r="N985" s="18" t="str">
        <f t="shared" si="45"/>
        <v>31-45</v>
      </c>
      <c r="O985" s="12">
        <f t="shared" si="46"/>
        <v>188.43</v>
      </c>
      <c r="P985" s="12">
        <f t="shared" si="47"/>
        <v>56.529000000000003</v>
      </c>
    </row>
    <row r="986" spans="1:16" x14ac:dyDescent="0.3">
      <c r="A986">
        <v>85614</v>
      </c>
      <c r="B986" s="1">
        <v>45729</v>
      </c>
      <c r="C986">
        <v>189</v>
      </c>
      <c r="D986">
        <v>20</v>
      </c>
      <c r="E986" t="s">
        <v>28</v>
      </c>
      <c r="F986" t="s">
        <v>79</v>
      </c>
      <c r="G986">
        <v>5</v>
      </c>
      <c r="H986">
        <v>452.67</v>
      </c>
      <c r="I986" t="s">
        <v>35</v>
      </c>
      <c r="J986" t="s">
        <v>221</v>
      </c>
      <c r="L986" t="s">
        <v>17</v>
      </c>
      <c r="M986">
        <v>70</v>
      </c>
      <c r="N986" s="18" t="str">
        <f t="shared" si="45"/>
        <v>60+</v>
      </c>
      <c r="O986" s="12">
        <f t="shared" si="46"/>
        <v>2263.35</v>
      </c>
      <c r="P986" s="12">
        <f t="shared" si="47"/>
        <v>679.005</v>
      </c>
    </row>
    <row r="987" spans="1:16" x14ac:dyDescent="0.3">
      <c r="A987">
        <v>82817</v>
      </c>
      <c r="B987" s="1">
        <v>45729</v>
      </c>
      <c r="C987">
        <v>486</v>
      </c>
      <c r="D987">
        <v>50</v>
      </c>
      <c r="E987" t="s">
        <v>18</v>
      </c>
      <c r="F987" t="s">
        <v>34</v>
      </c>
      <c r="G987">
        <v>4</v>
      </c>
      <c r="H987">
        <v>431.91</v>
      </c>
      <c r="I987" t="s">
        <v>35</v>
      </c>
      <c r="J987" t="s">
        <v>513</v>
      </c>
      <c r="K987">
        <v>5</v>
      </c>
      <c r="L987" t="s">
        <v>21</v>
      </c>
      <c r="M987">
        <v>29</v>
      </c>
      <c r="N987" s="18" t="str">
        <f t="shared" si="45"/>
        <v>18-30</v>
      </c>
      <c r="O987" s="12">
        <f t="shared" si="46"/>
        <v>1727.64</v>
      </c>
      <c r="P987" s="12">
        <f t="shared" si="47"/>
        <v>518.29200000000003</v>
      </c>
    </row>
    <row r="988" spans="1:16" x14ac:dyDescent="0.3">
      <c r="A988">
        <v>81959</v>
      </c>
      <c r="B988" s="1">
        <v>45729</v>
      </c>
      <c r="C988">
        <v>433</v>
      </c>
      <c r="D988">
        <v>20</v>
      </c>
      <c r="E988" t="s">
        <v>28</v>
      </c>
      <c r="F988" t="s">
        <v>77</v>
      </c>
      <c r="G988">
        <v>2</v>
      </c>
      <c r="H988">
        <v>369.7</v>
      </c>
      <c r="I988" t="s">
        <v>35</v>
      </c>
      <c r="J988" t="s">
        <v>672</v>
      </c>
      <c r="K988">
        <v>4</v>
      </c>
      <c r="L988" t="s">
        <v>21</v>
      </c>
      <c r="M988">
        <v>19</v>
      </c>
      <c r="N988" s="18" t="str">
        <f t="shared" si="45"/>
        <v>18-30</v>
      </c>
      <c r="O988" s="12">
        <f t="shared" si="46"/>
        <v>739.4</v>
      </c>
      <c r="P988" s="12">
        <f t="shared" si="47"/>
        <v>221.82</v>
      </c>
    </row>
    <row r="989" spans="1:16" x14ac:dyDescent="0.3">
      <c r="A989">
        <v>95322</v>
      </c>
      <c r="B989" s="1">
        <v>45730</v>
      </c>
      <c r="C989">
        <v>621</v>
      </c>
      <c r="D989">
        <v>50</v>
      </c>
      <c r="E989" t="s">
        <v>18</v>
      </c>
      <c r="F989" t="s">
        <v>84</v>
      </c>
      <c r="G989">
        <v>2</v>
      </c>
      <c r="H989">
        <v>34.61</v>
      </c>
      <c r="I989" t="s">
        <v>15</v>
      </c>
      <c r="J989" t="s">
        <v>128</v>
      </c>
      <c r="K989">
        <v>5</v>
      </c>
      <c r="L989" t="s">
        <v>21</v>
      </c>
      <c r="M989">
        <v>43</v>
      </c>
      <c r="N989" s="18" t="str">
        <f t="shared" si="45"/>
        <v>31-45</v>
      </c>
      <c r="O989" s="12">
        <f t="shared" si="46"/>
        <v>69.22</v>
      </c>
      <c r="P989" s="12">
        <f t="shared" si="47"/>
        <v>20.765999999999998</v>
      </c>
    </row>
    <row r="990" spans="1:16" x14ac:dyDescent="0.3">
      <c r="A990">
        <v>48813</v>
      </c>
      <c r="B990" s="1">
        <v>45730</v>
      </c>
      <c r="C990">
        <v>395</v>
      </c>
      <c r="D990">
        <v>10</v>
      </c>
      <c r="E990" t="s">
        <v>13</v>
      </c>
      <c r="F990" t="s">
        <v>111</v>
      </c>
      <c r="G990">
        <v>1</v>
      </c>
      <c r="H990">
        <v>191.02</v>
      </c>
      <c r="I990" t="s">
        <v>15</v>
      </c>
      <c r="J990" t="s">
        <v>761</v>
      </c>
      <c r="K990">
        <v>5</v>
      </c>
      <c r="L990" t="s">
        <v>17</v>
      </c>
      <c r="M990">
        <v>75</v>
      </c>
      <c r="N990" s="18" t="str">
        <f t="shared" si="45"/>
        <v>60+</v>
      </c>
      <c r="O990" s="12">
        <f t="shared" si="46"/>
        <v>191.02</v>
      </c>
      <c r="P990" s="12">
        <f t="shared" si="47"/>
        <v>57.306000000000004</v>
      </c>
    </row>
    <row r="991" spans="1:16" x14ac:dyDescent="0.3">
      <c r="A991">
        <v>15872</v>
      </c>
      <c r="B991" s="1">
        <v>45730</v>
      </c>
      <c r="C991">
        <v>733</v>
      </c>
      <c r="D991">
        <v>10</v>
      </c>
      <c r="E991" t="s">
        <v>13</v>
      </c>
      <c r="F991" t="s">
        <v>42</v>
      </c>
      <c r="G991">
        <v>2</v>
      </c>
      <c r="H991">
        <v>185.4</v>
      </c>
      <c r="I991" t="s">
        <v>26</v>
      </c>
      <c r="J991" t="s">
        <v>883</v>
      </c>
      <c r="K991">
        <v>5</v>
      </c>
      <c r="L991" t="s">
        <v>21</v>
      </c>
      <c r="M991">
        <v>39</v>
      </c>
      <c r="N991" s="18" t="str">
        <f t="shared" si="45"/>
        <v>31-45</v>
      </c>
      <c r="O991" s="12">
        <f t="shared" si="46"/>
        <v>370.8</v>
      </c>
      <c r="P991" s="12">
        <f t="shared" si="47"/>
        <v>111.24</v>
      </c>
    </row>
    <row r="992" spans="1:16" x14ac:dyDescent="0.3">
      <c r="A992">
        <v>55698</v>
      </c>
      <c r="B992" s="1">
        <v>45732</v>
      </c>
      <c r="C992">
        <v>776</v>
      </c>
      <c r="D992">
        <v>40</v>
      </c>
      <c r="E992" t="s">
        <v>24</v>
      </c>
      <c r="F992" t="s">
        <v>49</v>
      </c>
      <c r="G992">
        <v>4</v>
      </c>
      <c r="H992">
        <v>101.01</v>
      </c>
      <c r="I992" t="s">
        <v>35</v>
      </c>
      <c r="J992" t="s">
        <v>463</v>
      </c>
      <c r="K992">
        <v>5</v>
      </c>
      <c r="L992" t="s">
        <v>21</v>
      </c>
      <c r="M992">
        <v>48</v>
      </c>
      <c r="N992" s="18" t="str">
        <f t="shared" si="45"/>
        <v>46-60</v>
      </c>
      <c r="O992" s="12">
        <f t="shared" si="46"/>
        <v>404.04</v>
      </c>
      <c r="P992" s="12">
        <f t="shared" si="47"/>
        <v>121.212</v>
      </c>
    </row>
    <row r="993" spans="1:16" x14ac:dyDescent="0.3">
      <c r="A993">
        <v>33156</v>
      </c>
      <c r="B993" s="1">
        <v>45732</v>
      </c>
      <c r="C993">
        <v>855</v>
      </c>
      <c r="D993">
        <v>10</v>
      </c>
      <c r="E993" t="s">
        <v>13</v>
      </c>
      <c r="F993" t="s">
        <v>111</v>
      </c>
      <c r="G993">
        <v>3</v>
      </c>
      <c r="H993">
        <v>301.07</v>
      </c>
      <c r="I993" t="s">
        <v>35</v>
      </c>
      <c r="J993" t="s">
        <v>609</v>
      </c>
      <c r="K993">
        <v>5</v>
      </c>
      <c r="L993" t="s">
        <v>17</v>
      </c>
      <c r="M993">
        <v>60</v>
      </c>
      <c r="N993" s="18" t="str">
        <f t="shared" si="45"/>
        <v>46-60</v>
      </c>
      <c r="O993" s="12">
        <f t="shared" si="46"/>
        <v>903.21</v>
      </c>
      <c r="P993" s="12">
        <f t="shared" si="47"/>
        <v>270.96300000000002</v>
      </c>
    </row>
    <row r="994" spans="1:16" x14ac:dyDescent="0.3">
      <c r="A994">
        <v>55421</v>
      </c>
      <c r="B994" s="1">
        <v>45732</v>
      </c>
      <c r="C994">
        <v>315</v>
      </c>
      <c r="D994">
        <v>30</v>
      </c>
      <c r="E994" t="s">
        <v>37</v>
      </c>
      <c r="F994" t="s">
        <v>40</v>
      </c>
      <c r="G994">
        <v>2</v>
      </c>
      <c r="H994">
        <v>307.12</v>
      </c>
      <c r="I994" t="s">
        <v>15</v>
      </c>
      <c r="J994" t="s">
        <v>800</v>
      </c>
      <c r="K994">
        <v>4</v>
      </c>
      <c r="L994" t="s">
        <v>21</v>
      </c>
      <c r="M994">
        <v>26</v>
      </c>
      <c r="N994" s="18" t="str">
        <f t="shared" si="45"/>
        <v>18-30</v>
      </c>
      <c r="O994" s="12">
        <f t="shared" si="46"/>
        <v>614.24</v>
      </c>
      <c r="P994" s="12">
        <f t="shared" si="47"/>
        <v>184.27199999999999</v>
      </c>
    </row>
    <row r="995" spans="1:16" x14ac:dyDescent="0.3">
      <c r="A995">
        <v>10539</v>
      </c>
      <c r="B995" s="1">
        <v>45733</v>
      </c>
      <c r="C995">
        <v>142</v>
      </c>
      <c r="D995">
        <v>40</v>
      </c>
      <c r="E995" t="s">
        <v>24</v>
      </c>
      <c r="F995" t="s">
        <v>25</v>
      </c>
      <c r="G995">
        <v>1</v>
      </c>
      <c r="H995">
        <v>34.64</v>
      </c>
      <c r="I995" t="s">
        <v>26</v>
      </c>
      <c r="J995" t="s">
        <v>142</v>
      </c>
      <c r="K995">
        <v>3</v>
      </c>
      <c r="L995" t="s">
        <v>17</v>
      </c>
      <c r="M995">
        <v>44</v>
      </c>
      <c r="N995" s="18" t="str">
        <f t="shared" si="45"/>
        <v>31-45</v>
      </c>
      <c r="O995" s="12">
        <f t="shared" si="46"/>
        <v>34.64</v>
      </c>
      <c r="P995" s="12">
        <f t="shared" si="47"/>
        <v>10.391999999999999</v>
      </c>
    </row>
    <row r="996" spans="1:16" x14ac:dyDescent="0.3">
      <c r="A996">
        <v>68238</v>
      </c>
      <c r="B996" s="1">
        <v>45733</v>
      </c>
      <c r="C996">
        <v>261</v>
      </c>
      <c r="D996">
        <v>50</v>
      </c>
      <c r="E996" t="s">
        <v>18</v>
      </c>
      <c r="F996" t="s">
        <v>19</v>
      </c>
      <c r="G996">
        <v>3</v>
      </c>
      <c r="H996">
        <v>332.25</v>
      </c>
      <c r="I996" t="s">
        <v>35</v>
      </c>
      <c r="J996" t="s">
        <v>190</v>
      </c>
      <c r="K996">
        <v>4</v>
      </c>
      <c r="L996" t="s">
        <v>21</v>
      </c>
      <c r="M996">
        <v>68</v>
      </c>
      <c r="N996" s="18" t="str">
        <f t="shared" si="45"/>
        <v>60+</v>
      </c>
      <c r="O996" s="12">
        <f t="shared" si="46"/>
        <v>996.75</v>
      </c>
      <c r="P996" s="12">
        <f t="shared" si="47"/>
        <v>299.02499999999998</v>
      </c>
    </row>
    <row r="997" spans="1:16" x14ac:dyDescent="0.3">
      <c r="A997">
        <v>25747</v>
      </c>
      <c r="B997" s="1">
        <v>45734</v>
      </c>
      <c r="C997">
        <v>874</v>
      </c>
      <c r="D997">
        <v>30</v>
      </c>
      <c r="E997" t="s">
        <v>37</v>
      </c>
      <c r="F997" t="s">
        <v>95</v>
      </c>
      <c r="G997">
        <v>4</v>
      </c>
      <c r="H997">
        <v>60.76</v>
      </c>
      <c r="I997" t="s">
        <v>35</v>
      </c>
      <c r="J997" t="s">
        <v>255</v>
      </c>
      <c r="K997">
        <v>1</v>
      </c>
      <c r="L997" t="s">
        <v>17</v>
      </c>
      <c r="M997">
        <v>64</v>
      </c>
      <c r="N997" s="18" t="str">
        <f t="shared" si="45"/>
        <v>60+</v>
      </c>
      <c r="O997" s="12">
        <f t="shared" si="46"/>
        <v>243.04</v>
      </c>
      <c r="P997" s="12">
        <f t="shared" si="47"/>
        <v>72.911999999999992</v>
      </c>
    </row>
    <row r="998" spans="1:16" x14ac:dyDescent="0.3">
      <c r="A998">
        <v>66977</v>
      </c>
      <c r="B998" s="1">
        <v>45734</v>
      </c>
      <c r="C998">
        <v>568</v>
      </c>
      <c r="D998">
        <v>20</v>
      </c>
      <c r="E998" t="s">
        <v>28</v>
      </c>
      <c r="F998" t="s">
        <v>72</v>
      </c>
      <c r="G998">
        <v>1</v>
      </c>
      <c r="H998">
        <v>354.32</v>
      </c>
      <c r="I998" t="s">
        <v>26</v>
      </c>
      <c r="J998" t="s">
        <v>259</v>
      </c>
      <c r="K998">
        <v>5</v>
      </c>
      <c r="L998" t="s">
        <v>21</v>
      </c>
      <c r="M998">
        <v>67</v>
      </c>
      <c r="N998" s="18" t="str">
        <f t="shared" si="45"/>
        <v>60+</v>
      </c>
      <c r="O998" s="12">
        <f t="shared" si="46"/>
        <v>354.32</v>
      </c>
      <c r="P998" s="12">
        <f t="shared" si="47"/>
        <v>106.29599999999999</v>
      </c>
    </row>
    <row r="999" spans="1:16" x14ac:dyDescent="0.3">
      <c r="A999">
        <v>24175</v>
      </c>
      <c r="B999" s="1">
        <v>45735</v>
      </c>
      <c r="C999">
        <v>122</v>
      </c>
      <c r="D999">
        <v>40</v>
      </c>
      <c r="E999" t="s">
        <v>24</v>
      </c>
      <c r="F999" t="s">
        <v>49</v>
      </c>
      <c r="G999">
        <v>5</v>
      </c>
      <c r="H999">
        <v>470.43</v>
      </c>
      <c r="I999" t="s">
        <v>15</v>
      </c>
      <c r="J999" t="s">
        <v>813</v>
      </c>
      <c r="K999">
        <v>4</v>
      </c>
      <c r="L999" t="s">
        <v>21</v>
      </c>
      <c r="M999">
        <v>25</v>
      </c>
      <c r="N999" s="18" t="str">
        <f t="shared" si="45"/>
        <v>18-30</v>
      </c>
      <c r="O999" s="12">
        <f t="shared" si="46"/>
        <v>2352.15</v>
      </c>
      <c r="P999" s="12">
        <f t="shared" si="47"/>
        <v>705.64499999999998</v>
      </c>
    </row>
    <row r="1000" spans="1:16" x14ac:dyDescent="0.3">
      <c r="A1000">
        <v>27730</v>
      </c>
      <c r="B1000" s="1">
        <v>45735</v>
      </c>
      <c r="C1000">
        <v>385</v>
      </c>
      <c r="D1000">
        <v>30</v>
      </c>
      <c r="E1000" t="s">
        <v>37</v>
      </c>
      <c r="F1000" t="s">
        <v>40</v>
      </c>
      <c r="G1000">
        <v>1</v>
      </c>
      <c r="H1000">
        <v>366.27</v>
      </c>
      <c r="I1000" t="s">
        <v>26</v>
      </c>
      <c r="J1000" t="s">
        <v>926</v>
      </c>
      <c r="K1000">
        <v>5</v>
      </c>
      <c r="L1000" t="s">
        <v>21</v>
      </c>
      <c r="M1000">
        <v>44</v>
      </c>
      <c r="N1000" s="18" t="str">
        <f t="shared" si="45"/>
        <v>31-45</v>
      </c>
      <c r="O1000" s="12">
        <f t="shared" si="46"/>
        <v>366.27</v>
      </c>
      <c r="P1000" s="12">
        <f t="shared" si="47"/>
        <v>109.88099999999999</v>
      </c>
    </row>
    <row r="1001" spans="1:16" x14ac:dyDescent="0.3">
      <c r="A1001">
        <v>75395</v>
      </c>
      <c r="B1001" s="1">
        <v>45735</v>
      </c>
      <c r="C1001">
        <v>175</v>
      </c>
      <c r="D1001">
        <v>40</v>
      </c>
      <c r="E1001" t="s">
        <v>24</v>
      </c>
      <c r="F1001" t="s">
        <v>63</v>
      </c>
      <c r="G1001">
        <v>2</v>
      </c>
      <c r="H1001">
        <v>300.16000000000003</v>
      </c>
      <c r="I1001" t="s">
        <v>26</v>
      </c>
      <c r="J1001" t="s">
        <v>999</v>
      </c>
      <c r="K1001">
        <v>3</v>
      </c>
      <c r="L1001" t="s">
        <v>21</v>
      </c>
      <c r="M1001">
        <v>64</v>
      </c>
      <c r="N1001" s="18" t="str">
        <f t="shared" si="45"/>
        <v>60+</v>
      </c>
      <c r="O1001" s="12">
        <f t="shared" si="46"/>
        <v>600.32000000000005</v>
      </c>
      <c r="P1001" s="12">
        <f t="shared" si="47"/>
        <v>180.096</v>
      </c>
    </row>
  </sheetData>
  <mergeCells count="3">
    <mergeCell ref="R2:S2"/>
    <mergeCell ref="U2:V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Missing Values Analysis</vt:lpstr>
      <vt:lpstr>Duplicate Checker</vt:lpstr>
      <vt:lpstr>Outlier</vt:lpstr>
      <vt:lpstr>Data Dictionary+Transformation</vt:lpstr>
      <vt:lpstr>Data Quality</vt:lpstr>
      <vt:lpstr>Exploratory Data Analysis (EDA)</vt:lpstr>
      <vt:lpstr>Top Categories &amp; Products</vt:lpstr>
      <vt:lpstr>Segment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grids</dc:creator>
  <cp:lastModifiedBy>Aayushi Pathak</cp:lastModifiedBy>
  <dcterms:created xsi:type="dcterms:W3CDTF">2025-12-09T12:58:09Z</dcterms:created>
  <dcterms:modified xsi:type="dcterms:W3CDTF">2025-12-10T16:36:00Z</dcterms:modified>
</cp:coreProperties>
</file>